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36741a0e4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önetim Özeti" sheetId="1" r:id="R9a11a22961764160"/>
    <x:sheet xmlns:r="http://schemas.openxmlformats.org/officeDocument/2006/relationships" name="Ana Grup Özeti" sheetId="2" r:id="R4a7c32bf587a4f52"/>
    <x:sheet xmlns:r="http://schemas.openxmlformats.org/officeDocument/2006/relationships" name="Kampanya Özeti" sheetId="3" r:id="R2742f381dbed4a70"/>
    <x:sheet xmlns:r="http://schemas.openxmlformats.org/officeDocument/2006/relationships" name="Reklam Seti Özeti" sheetId="4" r:id="R56616f02ed1043b7"/>
    <x:sheet xmlns:r="http://schemas.openxmlformats.org/officeDocument/2006/relationships" name="Ham Veri" sheetId="5" r:id="R77a2bcb3f42c4b25"/>
    <x:sheet xmlns:r="http://schemas.openxmlformats.org/officeDocument/2006/relationships" name="Amaç Eşleme" sheetId="6" r:id="R22374a278001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#,##0;[Red](#,##0);-"/>
    <x:numFmt numFmtId="202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B5563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i/>
      <x:sz val="10"/>
      <x:color rgb="FF1F2937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eecd470da4b5b" /><Relationship Type="http://schemas.openxmlformats.org/officeDocument/2006/relationships/theme" Target="/xl/theme/theme1.xml" Id="R064608fcfdfc4193" /><Relationship Type="http://schemas.openxmlformats.org/officeDocument/2006/relationships/sharedStrings" Target="/xl/sharedStrings.xml" Id="R4ce02bea60994f41" /><Relationship Type="http://schemas.openxmlformats.org/officeDocument/2006/relationships/worksheet" Target="/xl/worksheets/sheet1.xml" Id="R9a11a22961764160" /><Relationship Type="http://schemas.openxmlformats.org/officeDocument/2006/relationships/worksheet" Target="/xl/worksheets/sheet2.xml" Id="R4a7c32bf587a4f52" /><Relationship Type="http://schemas.openxmlformats.org/officeDocument/2006/relationships/worksheet" Target="/xl/worksheets/sheet3.xml" Id="R2742f381dbed4a70" /><Relationship Type="http://schemas.openxmlformats.org/officeDocument/2006/relationships/worksheet" Target="/xl/worksheets/sheet4.xml" Id="R56616f02ed1043b7" /><Relationship Type="http://schemas.openxmlformats.org/officeDocument/2006/relationships/worksheet" Target="/xl/worksheets/sheet5.xml" Id="R77a2bcb3f42c4b25" /><Relationship Type="http://schemas.openxmlformats.org/officeDocument/2006/relationships/worksheet" Target="/xl/worksheets/sheet6.xml" Id="R22374a2780014e8a" /></Relationships>
</file>

<file path=xl/tables/table1.xml><?xml version="1.0" encoding="utf-8"?>
<x:table xmlns:x="http://schemas.openxmlformats.org/spreadsheetml/2006/main" id="1" name="ManagementSummaryTable" displayName="ManagementSummaryTable" ref="A4:M8" headerRowCount="1" totalsRowCount="0" totalsRowShown="0">
  <x:autoFilter ref="A4:M8"/>
  <x:tableColumns count="13">
    <x:tableColumn id="1" name="Pazar"/>
    <x:tableColumn id="2" name="İş Amacı"/>
    <x:tableColumn id="3" name="Güncel Günlük Bütçe"/>
    <x:tableColumn id="4" name="Güncel Ömür Boyu Bütçe"/>
    <x:tableColumn id="5" name="Temmuz Harcama"/>
    <x:tableColumn id="6" name="Ağustos Harcama"/>
    <x:tableColumn id="7" name="Toplam Harcama"/>
    <x:tableColumn id="8" name="Form Lead"/>
    <x:tableColumn id="9" name="WhatsApp Lead"/>
    <x:tableColumn id="10" name="Toplam Lead"/>
    <x:tableColumn id="11" name="Ham Mesaj Sonucu"/>
    <x:tableColumn id="12" name="CPL"/>
    <x:tableColumn id="13" name="Harcama Payı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GroupSummaryTable" displayName="MainGroupSummaryTable" ref="A4:P22" headerRowCount="1" totalsRowCount="0" totalsRowShown="0">
  <x:autoFilter ref="A4:P22"/>
  <x:tableColumns count="16">
    <x:tableColumn id="1" name="Pazar"/>
    <x:tableColumn id="2" name="Dil"/>
    <x:tableColumn id="3" name="İş Amacı"/>
    <x:tableColumn id="4" name="Ana Grup"/>
    <x:tableColumn id="5" name="Günlük Bütçe"/>
    <x:tableColumn id="6" name="Ömür Boyu Bütçe"/>
    <x:tableColumn id="7" name="Temmuz Harcama"/>
    <x:tableColumn id="8" name="Ağustos Harcama"/>
    <x:tableColumn id="9" name="Toplam Harcama"/>
    <x:tableColumn id="10" name="Harcama Payı %"/>
    <x:tableColumn id="11" name="Form Lead"/>
    <x:tableColumn id="12" name="WhatsApp Lead"/>
    <x:tableColumn id="13" name="Toplam Lead"/>
    <x:tableColumn id="14" name="Ham Mesaj Sonucu"/>
    <x:tableColumn id="15" name="CPL"/>
    <x:tableColumn id="16" name="Kampanya Sayıs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mpaignSummaryTable" displayName="CampaignSummaryTable" ref="A4:V47" headerRowCount="1" totalsRowCount="0" totalsRowShown="0">
  <x:autoFilter ref="A4:V47"/>
  <x:tableColumns count="22">
    <x:tableColumn id="1" name="Pazar"/>
    <x:tableColumn id="2" name="Dil"/>
    <x:tableColumn id="3" name="İş Amacı"/>
    <x:tableColumn id="4" name="Ana Grup"/>
    <x:tableColumn id="5" name="Reklam Hesabı"/>
    <x:tableColumn id="6" name="Kampanya"/>
    <x:tableColumn id="7" name="Kampanya ID"/>
    <x:tableColumn id="8" name="Durum"/>
    <x:tableColumn id="9" name="Bütçe Seviyesi"/>
    <x:tableColumn id="10" name="Günlük Bütçe"/>
    <x:tableColumn id="11" name="Ömür Boyu Bütçe"/>
    <x:tableColumn id="12" name="Temmuz Harcama"/>
    <x:tableColumn id="13" name="Ağustos Harcama"/>
    <x:tableColumn id="14" name="Toplam Harcama"/>
    <x:tableColumn id="15" name="Grup İçi Harcama Payı %"/>
    <x:tableColumn id="16" name="Form Lead"/>
    <x:tableColumn id="17" name="WhatsApp Lead"/>
    <x:tableColumn id="18" name="Toplam Lead"/>
    <x:tableColumn id="19" name="Ham Mesaj Sonucu"/>
    <x:tableColumn id="20" name="Video İzlenme"/>
    <x:tableColumn id="21" name="CPL"/>
    <x:tableColumn id="22" name="Reklam Seti Sayıs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SetSummaryTable" displayName="AdSetSummaryTable" ref="A4:X167" headerRowCount="1" totalsRowCount="0" totalsRowShown="0">
  <x:autoFilter ref="A4:X167"/>
  <x:tableColumns count="24">
    <x:tableColumn id="1" name="Pazar"/>
    <x:tableColumn id="2" name="Dil"/>
    <x:tableColumn id="3" name="İş Amacı"/>
    <x:tableColumn id="4" name="Ana Grup"/>
    <x:tableColumn id="5" name="Reklam Hesabı"/>
    <x:tableColumn id="6" name="Kampanya"/>
    <x:tableColumn id="7" name="Reklam Seti"/>
    <x:tableColumn id="8" name="Set Durumu"/>
    <x:tableColumn id="9" name="Optimizasyon"/>
    <x:tableColumn id="10" name="Kampanya Günlük Bütçe"/>
    <x:tableColumn id="11" name="Kampanya Ömür Boyu"/>
    <x:tableColumn id="12" name="Set Günlük Bütçe"/>
    <x:tableColumn id="13" name="Set Ömür Boyu"/>
    <x:tableColumn id="14" name="Temmuz Harcama"/>
    <x:tableColumn id="15" name="Ağustos Harcama"/>
    <x:tableColumn id="16" name="Toplam Harcama"/>
    <x:tableColumn id="17" name="Kampanya İçi Pay %"/>
    <x:tableColumn id="18" name="Form Lead"/>
    <x:tableColumn id="19" name="WhatsApp Lead"/>
    <x:tableColumn id="20" name="Toplam Lead"/>
    <x:tableColumn id="21" name="Ham Mesaj Sonucu"/>
    <x:tableColumn id="22" name="Video İzlenme"/>
    <x:tableColumn id="23" name="CPL"/>
    <x:tableColumn id="24" name="Set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wMetaDataTable" displayName="RawMetaDataTable" ref="A4:AA330" headerRowCount="1" totalsRowCount="0" totalsRowShown="0">
  <x:autoFilter ref="A4:AA330"/>
  <x:tableColumns count="27">
    <x:tableColumn id="1" name="Dönem"/>
    <x:tableColumn id="2" name="Pazar"/>
    <x:tableColumn id="3" name="Dil"/>
    <x:tableColumn id="4" name="İş Amacı"/>
    <x:tableColumn id="5" name="Ana Grup"/>
    <x:tableColumn id="6" name="Reklam Hesabı"/>
    <x:tableColumn id="7" name="Para Birimi"/>
    <x:tableColumn id="8" name="Kampanya"/>
    <x:tableColumn id="9" name="Kampanya ID"/>
    <x:tableColumn id="10" name="Kampanya Durumu"/>
    <x:tableColumn id="11" name="Reklam Seti"/>
    <x:tableColumn id="12" name="Set ID"/>
    <x:tableColumn id="13" name="Set Durumu"/>
    <x:tableColumn id="14" name="Optimizasyon"/>
    <x:tableColumn id="15" name="Kampanya Günlük Bütçe"/>
    <x:tableColumn id="16" name="Kampanya Ömür Boyu"/>
    <x:tableColumn id="17" name="Set Günlük Bütçe"/>
    <x:tableColumn id="18" name="Set Ömür Boyu"/>
    <x:tableColumn id="19" name="Gerçekleşen Harcama"/>
    <x:tableColumn id="20" name="Gösterim"/>
    <x:tableColumn id="21" name="Erişim"/>
    <x:tableColumn id="22" name="Tıklama"/>
    <x:tableColumn id="23" name="Form Lead"/>
    <x:tableColumn id="24" name="WhatsApp Lead"/>
    <x:tableColumn id="25" name="Toplam Lead"/>
    <x:tableColumn id="26" name="Ham Mesaj Sonucu"/>
    <x:tableColumn id="27" name="Video İzlen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a732797d5c4a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da01d9394c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4361f838124f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5270a3090f43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f749fcd17e64d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6" hidden="0" customWidth="1"/>
    <x:col min="10" max="10" width="14" hidden="0" customWidth="1"/>
    <x:col min="11" max="11" width="12" hidden="0" customWidth="1"/>
    <x:col min="12" max="12" width="14" hidden="0" customWidth="1"/>
    <x:col min="13" max="13" width="16" hidden="0" customWidth="1"/>
  </x:cols>
  <x:sheetData>
    <x:row r="1">
      <x:c r="A1" s="39" t="str">
        <x:v>Yerli / Yabancı Yönetim Özeti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>
      <x:c r="A2" s="24" t="str">
        <x:v>Canlı Meta okuması: 2026-08-10T10:53:54.803Z. Harcama: Temmuz 2026 tam ay + Ağustos 2026 1–10. Günlük ve ömür boyu bütçeler ayrı tutulur.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</x:row>
    <x:row r="4">
      <x:c r="A4" s="40" t="str">
        <x:v>Pazar</x:v>
      </x:c>
      <x:c r="B4" s="40" t="str">
        <x:v>İş Amacı</x:v>
      </x:c>
      <x:c r="C4" s="40" t="str">
        <x:v>Güncel Günlük Bütçe</x:v>
      </x:c>
      <x:c r="D4" s="40" t="str">
        <x:v>Güncel Ömür Boyu Bütçe</x:v>
      </x:c>
      <x:c r="E4" s="40" t="str">
        <x:v>Temmuz Harcama</x:v>
      </x:c>
      <x:c r="F4" s="40" t="str">
        <x:v>Ağustos Harcama</x:v>
      </x:c>
      <x:c r="G4" s="40" t="str">
        <x:v>Toplam Harcama</x:v>
      </x:c>
      <x:c r="H4" s="40" t="str">
        <x:v>Form Lead</x:v>
      </x:c>
      <x:c r="I4" s="40" t="str">
        <x:v>WhatsApp Lead</x:v>
      </x:c>
      <x:c r="J4" s="40" t="str">
        <x:v>Toplam Lead</x:v>
      </x:c>
      <x:c r="K4" s="40" t="str">
        <x:v>Ham Mesaj Sonucu</x:v>
      </x:c>
      <x:c r="L4" s="40" t="str">
        <x:v>CPL</x:v>
      </x:c>
      <x:c r="M4" s="40" t="str">
        <x:v>Harcama Payı %</x:v>
      </x:c>
    </x:row>
    <x:row r="5">
      <x:c r="A5" s="25" t="str">
        <x:v>Yabancı</x:v>
      </x:c>
      <x:c r="B5" s="25" t="str">
        <x:v>Bilinirlik / İzlenme / Trafik</x:v>
      </x:c>
      <x:c r="C5" s="27" t="n">
        <x:v>4000</x:v>
      </x:c>
      <x:c r="D5" s="27" t="n">
        <x:v>0</x:v>
      </x:c>
      <x:c r="E5" s="27" t="n">
        <x:v>75159.75</x:v>
      </x:c>
      <x:c r="F5" s="27" t="n">
        <x:v>16694.04</x:v>
      </x:c>
      <x:c r="G5" s="27" t="n">
        <x:v>91853.79000000001</x:v>
      </x:c>
      <x:c r="H5" s="28" t="n">
        <x:v>0</x:v>
      </x:c>
      <x:c r="I5" s="28" t="n">
        <x:v>0</x:v>
      </x:c>
      <x:c r="J5" s="28" t="n">
        <x:v>0</x:v>
      </x:c>
      <x:c r="K5" s="28" t="n">
        <x:v>56</x:v>
      </x:c>
      <x:c r="L5" s="27" t="n">
        <x:f>IFERROR(G5/J5,0)</x:f>
        <x:v>0</x:v>
      </x:c>
      <x:c r="M5" s="29" t="n">
        <x:f>IFERROR(G5/SUMIFS($G$5:$G$8,$A$5:$A$8,A5),0)</x:f>
        <x:v>0.07017992618935034</x:v>
      </x:c>
    </x:row>
    <x:row r="6">
      <x:c r="A6" s="25" t="str">
        <x:v>Yabancı</x:v>
      </x:c>
      <x:c r="B6" s="25" t="str">
        <x:v>Lead</x:v>
      </x:c>
      <x:c r="C6" s="27" t="n">
        <x:v>48000</x:v>
      </x:c>
      <x:c r="D6" s="27" t="n">
        <x:v>0</x:v>
      </x:c>
      <x:c r="E6" s="27" t="n">
        <x:v>981652.34</x:v>
      </x:c>
      <x:c r="F6" s="27" t="n">
        <x:v>235326.68</x:v>
      </x:c>
      <x:c r="G6" s="27" t="n">
        <x:v>1216979.02</x:v>
      </x:c>
      <x:c r="H6" s="28" t="n">
        <x:v>501</x:v>
      </x:c>
      <x:c r="I6" s="28" t="n">
        <x:v>781</x:v>
      </x:c>
      <x:c r="J6" s="28" t="n">
        <x:v>1282</x:v>
      </x:c>
      <x:c r="K6" s="28" t="n">
        <x:v>898</x:v>
      </x:c>
      <x:c r="L6" s="27" t="n">
        <x:f>IFERROR(G6/J6,0)</x:f>
        <x:v>949.2816068642746</x:v>
      </x:c>
      <x:c r="M6" s="29" t="n">
        <x:f>IFERROR(G6/SUMIFS($G$5:$G$8,$A$5:$A$8,A6),0)</x:f>
        <x:v>0.9298200738106497</x:v>
      </x:c>
    </x:row>
    <x:row r="7">
      <x:c r="A7" s="25" t="str">
        <x:v>Yerli</x:v>
      </x:c>
      <x:c r="B7" s="25" t="str">
        <x:v>Bilinirlik / İzlenme / Trafik</x:v>
      </x:c>
      <x:c r="C7" s="27" t="n">
        <x:v>32800</x:v>
      </x:c>
      <x:c r="D7" s="27" t="n">
        <x:v>0</x:v>
      </x:c>
      <x:c r="E7" s="27" t="n">
        <x:v>468529.7400000001</x:v>
      </x:c>
      <x:c r="F7" s="27" t="n">
        <x:v>100209.87</x:v>
      </x:c>
      <x:c r="G7" s="27" t="n">
        <x:v>568739.6100000001</x:v>
      </x:c>
      <x:c r="H7" s="28" t="n">
        <x:v>0</x:v>
      </x:c>
      <x:c r="I7" s="28" t="n">
        <x:v>0</x:v>
      </x:c>
      <x:c r="J7" s="28" t="n">
        <x:v>0</x:v>
      </x:c>
      <x:c r="K7" s="28" t="n">
        <x:v>61</x:v>
      </x:c>
      <x:c r="L7" s="27" t="n">
        <x:f>IFERROR(G7/J7,0)</x:f>
        <x:v>0</x:v>
      </x:c>
      <x:c r="M7" s="29" t="n">
        <x:f>IFERROR(G7/SUMIFS($G$5:$G$8,$A$5:$A$8,A7),0)</x:f>
        <x:v>0.4929536332126546</x:v>
      </x:c>
    </x:row>
    <x:row r="8">
      <x:c r="A8" s="25" t="str">
        <x:v>Yerli</x:v>
      </x:c>
      <x:c r="B8" s="25" t="str">
        <x:v>Lead</x:v>
      </x:c>
      <x:c r="C8" s="27" t="n">
        <x:v>21550</x:v>
      </x:c>
      <x:c r="D8" s="27" t="n">
        <x:v>0</x:v>
      </x:c>
      <x:c r="E8" s="27" t="n">
        <x:v>480324.75000000006</x:v>
      </x:c>
      <x:c r="F8" s="27" t="n">
        <x:v>104674.19</x:v>
      </x:c>
      <x:c r="G8" s="27" t="n">
        <x:v>584998.9400000001</x:v>
      </x:c>
      <x:c r="H8" s="28" t="n">
        <x:v>2125</x:v>
      </x:c>
      <x:c r="I8" s="28" t="n">
        <x:v>0</x:v>
      </x:c>
      <x:c r="J8" s="28" t="n">
        <x:v>2125</x:v>
      </x:c>
      <x:c r="K8" s="28" t="n">
        <x:v>1100</x:v>
      </x:c>
      <x:c r="L8" s="27" t="n">
        <x:f>IFERROR(G8/J8,0)</x:f>
        <x:v>275.2936188235294</x:v>
      </x:c>
      <x:c r="M8" s="29" t="n">
        <x:f>IFERROR(G8/SUMIFS($G$5:$G$8,$A$5:$A$8,A8),0)</x:f>
        <x:v>0.5070463667873453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ca732797d5c4a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34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16" hidden="0" customWidth="1"/>
    <x:col min="13" max="13" width="14" hidden="0" customWidth="1"/>
    <x:col min="14" max="14" width="12" hidden="0" customWidth="1"/>
    <x:col min="15" max="15" width="14" hidden="0" customWidth="1"/>
    <x:col min="16" max="16" width="14" hidden="0" customWidth="1"/>
  </x:cols>
  <x:sheetData>
    <x:row r="1">
      <x:c r="A1" s="39" t="str">
        <x:v>Ana Grup Özeti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</x:row>
    <x:row r="2">
      <x:c r="A2" s="24" t="str">
        <x:v>Kırılım: Pazar → Dil → İş Amacı → Ana Grup. Bütçeler kampanya bazında tekilleştirilmiştir.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4">
      <x:c r="A4" s="40" t="str">
        <x:v>Pazar</x:v>
      </x:c>
      <x:c r="B4" s="40" t="str">
        <x:v>Dil</x:v>
      </x:c>
      <x:c r="C4" s="40" t="str">
        <x:v>İş Amacı</x:v>
      </x:c>
      <x:c r="D4" s="40" t="str">
        <x:v>Ana Grup</x:v>
      </x:c>
      <x:c r="E4" s="40" t="str">
        <x:v>Günlük Bütçe</x:v>
      </x:c>
      <x:c r="F4" s="40" t="str">
        <x:v>Ömür Boyu Bütçe</x:v>
      </x:c>
      <x:c r="G4" s="40" t="str">
        <x:v>Temmuz Harcama</x:v>
      </x:c>
      <x:c r="H4" s="40" t="str">
        <x:v>Ağustos Harcama</x:v>
      </x:c>
      <x:c r="I4" s="40" t="str">
        <x:v>Toplam Harcama</x:v>
      </x:c>
      <x:c r="J4" s="40" t="str">
        <x:v>Harcama Payı %</x:v>
      </x:c>
      <x:c r="K4" s="40" t="str">
        <x:v>Form Lead</x:v>
      </x:c>
      <x:c r="L4" s="40" t="str">
        <x:v>WhatsApp Lead</x:v>
      </x:c>
      <x:c r="M4" s="40" t="str">
        <x:v>Toplam Lead</x:v>
      </x:c>
      <x:c r="N4" s="40" t="str">
        <x:v>Ham Mesaj Sonucu</x:v>
      </x:c>
      <x:c r="O4" s="40" t="str">
        <x:v>CPL</x:v>
      </x:c>
      <x:c r="P4" s="40" t="str">
        <x:v>Kampanya Sayısı</x:v>
      </x:c>
    </x:row>
    <x:row r="5">
      <x:c r="A5" s="25" t="str">
        <x:v>Yabancı</x:v>
      </x:c>
      <x:c r="B5" s="25" t="str">
        <x:v>Rusça</x:v>
      </x:c>
      <x:c r="C5" s="25" t="str">
        <x:v>Bilinirlik / İzlenme / Trafik</x:v>
      </x:c>
      <x:c r="D5" s="25" t="str">
        <x:v>Onkoloji</x:v>
      </x:c>
      <x:c r="E5" s="27" t="n">
        <x:v>4000</x:v>
      </x:c>
      <x:c r="F5" s="27" t="n">
        <x:v>0</x:v>
      </x:c>
      <x:c r="G5" s="27" t="n">
        <x:v>75159.75</x:v>
      </x:c>
      <x:c r="H5" s="27" t="n">
        <x:v>16694.04</x:v>
      </x:c>
      <x:c r="I5" s="27" t="n">
        <x:v>91853.79000000001</x:v>
      </x:c>
      <x:c r="J5" s="29" t="n">
        <x:f>IFERROR(I5/SUMIFS($I$5:$I$22,$A$5:$A$22,A5,$C$5:$C$22,C5),0)</x:f>
        <x:v>1</x:v>
      </x:c>
      <x:c r="K5" s="28" t="n">
        <x:v>0</x:v>
      </x:c>
      <x:c r="L5" s="28" t="n">
        <x:v>0</x:v>
      </x:c>
      <x:c r="M5" s="28" t="n">
        <x:v>0</x:v>
      </x:c>
      <x:c r="N5" s="28" t="n">
        <x:v>56</x:v>
      </x:c>
      <x:c r="O5" s="27" t="n">
        <x:f>IFERROR(I5/M5,0)</x:f>
        <x:v>0</x:v>
      </x:c>
      <x:c r="P5" s="28" t="n">
        <x:v>1</x:v>
      </x:c>
    </x:row>
    <x:row r="6">
      <x:c r="A6" s="25" t="str">
        <x:v>Yabancı</x:v>
      </x:c>
      <x:c r="B6" s="25" t="str">
        <x:v>Arapça</x:v>
      </x:c>
      <x:c r="C6" s="25" t="str">
        <x:v>Lead</x:v>
      </x:c>
      <x:c r="D6" s="25" t="str">
        <x:v>Fizik Tedavi / Rehabilitasyon</x:v>
      </x:c>
      <x:c r="E6" s="27" t="n">
        <x:v>25000</x:v>
      </x:c>
      <x:c r="F6" s="27" t="n">
        <x:v>0</x:v>
      </x:c>
      <x:c r="G6" s="27" t="n">
        <x:v>500132.54999999993</x:v>
      </x:c>
      <x:c r="H6" s="27" t="n">
        <x:v>111114.19</x:v>
      </x:c>
      <x:c r="I6" s="27" t="n">
        <x:v>611246.74</x:v>
      </x:c>
      <x:c r="J6" s="29" t="n">
        <x:f>IFERROR(I6/SUMIFS($I$5:$I$22,$A$5:$A$22,A6,$C$5:$C$22,C6),0)</x:f>
        <x:v>0.5022656347847311</x:v>
      </x:c>
      <x:c r="K6" s="28" t="n">
        <x:v>0</x:v>
      </x:c>
      <x:c r="L6" s="28" t="n">
        <x:v>717</x:v>
      </x:c>
      <x:c r="M6" s="28" t="n">
        <x:v>717</x:v>
      </x:c>
      <x:c r="N6" s="28" t="n">
        <x:v>717</x:v>
      </x:c>
      <x:c r="O6" s="27" t="n">
        <x:f>IFERROR(I6/M6,0)</x:f>
        <x:v>852.5059135285913</x:v>
      </x:c>
      <x:c r="P6" s="28" t="n">
        <x:v>1</x:v>
      </x:c>
    </x:row>
    <x:row r="7">
      <x:c r="A7" s="25" t="str">
        <x:v>Yabancı</x:v>
      </x:c>
      <x:c r="B7" s="25" t="str">
        <x:v>Rusça</x:v>
      </x:c>
      <x:c r="C7" s="25" t="str">
        <x:v>Lead</x:v>
      </x:c>
      <x:c r="D7" s="25" t="str">
        <x:v>Fizik Tedavi / Rehabilitasyon</x:v>
      </x:c>
      <x:c r="E7" s="27" t="n">
        <x:v>23000</x:v>
      </x:c>
      <x:c r="F7" s="27" t="n">
        <x:v>0</x:v>
      </x:c>
      <x:c r="G7" s="27" t="n">
        <x:v>470492.80000000005</x:v>
      </x:c>
      <x:c r="H7" s="27" t="n">
        <x:v>104373.25</x:v>
      </x:c>
      <x:c r="I7" s="27" t="n">
        <x:v>574866.05</x:v>
      </x:c>
      <x:c r="J7" s="29" t="n">
        <x:f>IFERROR(I7/SUMIFS($I$5:$I$22,$A$5:$A$22,A7,$C$5:$C$22,C7),0)</x:f>
        <x:v>0.47237137251552624</x:v>
      </x:c>
      <x:c r="K7" s="28" t="n">
        <x:v>392</x:v>
      </x:c>
      <x:c r="L7" s="28" t="n">
        <x:v>0</x:v>
      </x:c>
      <x:c r="M7" s="28" t="n">
        <x:v>392</x:v>
      </x:c>
      <x:c r="N7" s="28" t="n">
        <x:v>117</x:v>
      </x:c>
      <x:c r="O7" s="27" t="n">
        <x:f>IFERROR(I7/M7,0)</x:f>
        <x:v>1466.4950255102042</x:v>
      </x:c>
      <x:c r="P7" s="28" t="n">
        <x:v>1</x:v>
      </x:c>
    </x:row>
    <x:row r="8">
      <x:c r="A8" s="25" t="str">
        <x:v>Yabancı</x:v>
      </x:c>
      <x:c r="B8" s="25" t="str">
        <x:v>Arapça</x:v>
      </x:c>
      <x:c r="C8" s="25" t="str">
        <x:v>Lead</x:v>
      </x:c>
      <x:c r="D8" s="25" t="str">
        <x:v>Medikal Estetik / Plastik Cerrahi</x:v>
      </x:c>
      <x:c r="E8" s="27" t="n">
        <x:v>0</x:v>
      </x:c>
      <x:c r="F8" s="27" t="n">
        <x:v>0</x:v>
      </x:c>
      <x:c r="G8" s="27" t="n">
        <x:v>3902.07</x:v>
      </x:c>
      <x:c r="H8" s="27" t="n">
        <x:v>11740.74</x:v>
      </x:c>
      <x:c r="I8" s="27" t="n">
        <x:v>15642.81</x:v>
      </x:c>
      <x:c r="J8" s="29" t="n">
        <x:f>IFERROR(I8/SUMIFS($I$5:$I$22,$A$5:$A$22,A8,$C$5:$C$22,C8),0)</x:f>
        <x:v>0.012853804168292071</x:v>
      </x:c>
      <x:c r="K8" s="28" t="n">
        <x:v>62</x:v>
      </x:c>
      <x:c r="L8" s="28" t="n">
        <x:v>64</x:v>
      </x:c>
      <x:c r="M8" s="28" t="n">
        <x:v>126</x:v>
      </x:c>
      <x:c r="N8" s="28" t="n">
        <x:v>64</x:v>
      </x:c>
      <x:c r="O8" s="27" t="n">
        <x:f>IFERROR(I8/M8,0)</x:f>
        <x:v>124.14928571428571</x:v>
      </x:c>
      <x:c r="P8" s="28" t="n">
        <x:v>1</x:v>
      </x:c>
    </x:row>
    <x:row r="9">
      <x:c r="A9" s="25" t="str">
        <x:v>Yabancı</x:v>
      </x:c>
      <x:c r="B9" s="25" t="str">
        <x:v>İngilizce</x:v>
      </x:c>
      <x:c r="C9" s="25" t="str">
        <x:v>Lead</x:v>
      </x:c>
      <x:c r="D9" s="25" t="str">
        <x:v>Medikal Estetik / Plastik Cerrahi</x:v>
      </x:c>
      <x:c r="E9" s="27" t="n">
        <x:v>0</x:v>
      </x:c>
      <x:c r="F9" s="27" t="n">
        <x:v>0</x:v>
      </x:c>
      <x:c r="G9" s="27" t="n">
        <x:v>7124.92</x:v>
      </x:c>
      <x:c r="H9" s="27" t="n">
        <x:v>8098.5</x:v>
      </x:c>
      <x:c r="I9" s="27" t="n">
        <x:v>15223.42</x:v>
      </x:c>
      <x:c r="J9" s="29" t="n">
        <x:f>IFERROR(I9/SUMIFS($I$5:$I$22,$A$5:$A$22,A9,$C$5:$C$22,C9),0)</x:f>
        <x:v>0.012509188531450608</x:v>
      </x:c>
      <x:c r="K9" s="28" t="n">
        <x:v>47</x:v>
      </x:c>
      <x:c r="L9" s="28" t="n">
        <x:v>0</x:v>
      </x:c>
      <x:c r="M9" s="28" t="n">
        <x:v>47</x:v>
      </x:c>
      <x:c r="N9" s="28" t="n">
        <x:v>0</x:v>
      </x:c>
      <x:c r="O9" s="27" t="n">
        <x:f>IFERROR(I9/M9,0)</x:f>
        <x:v>323.90255319148935</x:v>
      </x:c>
      <x:c r="P9" s="28" t="n">
        <x:v>1</x:v>
      </x:c>
    </x:row>
    <x:row r="10">
      <x:c r="A10" s="25" t="str">
        <x:v>Yerli</x:v>
      </x:c>
      <x:c r="B10" s="25" t="str">
        <x:v>Türkçe</x:v>
      </x:c>
      <x:c r="C10" s="25" t="str">
        <x:v>Bilinirlik / İzlenme / Trafik</x:v>
      </x:c>
      <x:c r="D10" s="25" t="str">
        <x:v>Diğer / Sınıflandırılacak</x:v>
      </x:c>
      <x:c r="E10" s="27" t="n">
        <x:v>14000</x:v>
      </x:c>
      <x:c r="F10" s="27" t="n">
        <x:v>0</x:v>
      </x:c>
      <x:c r="G10" s="27" t="n">
        <x:v>191553.7</x:v>
      </x:c>
      <x:c r="H10" s="27" t="n">
        <x:v>27612.489999999998</x:v>
      </x:c>
      <x:c r="I10" s="27" t="n">
        <x:v>219166.19</x:v>
      </x:c>
      <x:c r="J10" s="29" t="n">
        <x:f>IFERROR(I10/SUMIFS($I$5:$I$22,$A$5:$A$22,A10,$C$5:$C$22,C10),0)</x:f>
        <x:v>0.38535418695385054</x:v>
      </x:c>
      <x:c r="K10" s="28" t="n">
        <x:v>0</x:v>
      </x:c>
      <x:c r="L10" s="28" t="n">
        <x:v>0</x:v>
      </x:c>
      <x:c r="M10" s="28" t="n">
        <x:v>0</x:v>
      </x:c>
      <x:c r="N10" s="28" t="n">
        <x:v>23</x:v>
      </x:c>
      <x:c r="O10" s="27" t="n">
        <x:f>IFERROR(I10/M10,0)</x:f>
        <x:v>0</x:v>
      </x:c>
      <x:c r="P10" s="28" t="n">
        <x:v>9</x:v>
      </x:c>
    </x:row>
    <x:row r="11">
      <x:c r="A11" s="25" t="str">
        <x:v>Yerli</x:v>
      </x:c>
      <x:c r="B11" s="25" t="str">
        <x:v>Türkçe</x:v>
      </x:c>
      <x:c r="C11" s="25" t="str">
        <x:v>Bilinirlik / İzlenme / Trafik</x:v>
      </x:c>
      <x:c r="D11" s="25" t="str">
        <x:v>Doğum Kampanyası</x:v>
      </x:c>
      <x:c r="E11" s="27" t="n">
        <x:v>3000</x:v>
      </x:c>
      <x:c r="F11" s="27" t="n">
        <x:v>0</x:v>
      </x:c>
      <x:c r="G11" s="27" t="n">
        <x:v>36794.93</x:v>
      </x:c>
      <x:c r="H11" s="27" t="n">
        <x:v>4848.85</x:v>
      </x:c>
      <x:c r="I11" s="27" t="n">
        <x:v>41643.78</x:v>
      </x:c>
      <x:c r="J11" s="29" t="n">
        <x:f>IFERROR(I11/SUMIFS($I$5:$I$22,$A$5:$A$22,A11,$C$5:$C$22,C11),0)</x:f>
        <x:v>0.0732211705810327</x:v>
      </x:c>
      <x:c r="K11" s="28" t="n">
        <x:v>0</x:v>
      </x:c>
      <x:c r="L11" s="28" t="n">
        <x:v>0</x:v>
      </x:c>
      <x:c r="M11" s="28" t="n">
        <x:v>0</x:v>
      </x:c>
      <x:c r="N11" s="28" t="n">
        <x:v>4</x:v>
      </x:c>
      <x:c r="O11" s="27" t="n">
        <x:f>IFERROR(I11/M11,0)</x:f>
        <x:v>0</x:v>
      </x:c>
      <x:c r="P11" s="28" t="n">
        <x:v>5</x:v>
      </x:c>
    </x:row>
    <x:row r="12">
      <x:c r="A12" s="25" t="str">
        <x:v>Yerli</x:v>
      </x:c>
      <x:c r="B12" s="25" t="str">
        <x:v>Türkçe</x:v>
      </x:c>
      <x:c r="C12" s="25" t="str">
        <x:v>Bilinirlik / İzlenme / Trafik</x:v>
      </x:c>
      <x:c r="D12" s="25" t="str">
        <x:v>Doktor Kampanyası</x:v>
      </x:c>
      <x:c r="E12" s="27" t="n">
        <x:v>10300</x:v>
      </x:c>
      <x:c r="F12" s="27" t="n">
        <x:v>0</x:v>
      </x:c>
      <x:c r="G12" s="27" t="n">
        <x:v>170245.55000000005</x:v>
      </x:c>
      <x:c r="H12" s="27" t="n">
        <x:v>46956.479999999996</x:v>
      </x:c>
      <x:c r="I12" s="27" t="n">
        <x:v>217202.03000000003</x:v>
      </x:c>
      <x:c r="J12" s="29" t="n">
        <x:f>IFERROR(I12/SUMIFS($I$5:$I$22,$A$5:$A$22,A12,$C$5:$C$22,C12),0)</x:f>
        <x:v>0.3819006557324187</x:v>
      </x:c>
      <x:c r="K12" s="28" t="n">
        <x:v>0</x:v>
      </x:c>
      <x:c r="L12" s="28" t="n">
        <x:v>0</x:v>
      </x:c>
      <x:c r="M12" s="28" t="n">
        <x:v>0</x:v>
      </x:c>
      <x:c r="N12" s="28" t="n">
        <x:v>3</x:v>
      </x:c>
      <x:c r="O12" s="27" t="n">
        <x:f>IFERROR(I12/M12,0)</x:f>
        <x:v>0</x:v>
      </x:c>
      <x:c r="P12" s="28" t="n">
        <x:v>3</x:v>
      </x:c>
    </x:row>
    <x:row r="13">
      <x:c r="A13" s="25" t="str">
        <x:v>Yerli</x:v>
      </x:c>
      <x:c r="B13" s="25" t="str">
        <x:v>Türkçe</x:v>
      </x:c>
      <x:c r="C13" s="25" t="str">
        <x:v>Bilinirlik / İzlenme / Trafik</x:v>
      </x:c>
      <x:c r="D13" s="25" t="str">
        <x:v>Marka / Kurumsal</x:v>
      </x:c>
      <x:c r="E13" s="27" t="n">
        <x:v>2000</x:v>
      </x:c>
      <x:c r="F13" s="27" t="n">
        <x:v>0</x:v>
      </x:c>
      <x:c r="G13" s="27" t="n">
        <x:v>43225.72</x:v>
      </x:c>
      <x:c r="H13" s="27" t="n">
        <x:v>9690.48</x:v>
      </x:c>
      <x:c r="I13" s="27" t="n">
        <x:v>52916.2</x:v>
      </x:c>
      <x:c r="J13" s="29" t="n">
        <x:f>IFERROR(I13/SUMIFS($I$5:$I$22,$A$5:$A$22,A13,$C$5:$C$22,C13),0)</x:f>
        <x:v>0.09304117221587575</x:v>
      </x:c>
      <x:c r="K13" s="28" t="n">
        <x:v>0</x:v>
      </x:c>
      <x:c r="L13" s="28" t="n">
        <x:v>0</x:v>
      </x:c>
      <x:c r="M13" s="28" t="n">
        <x:v>0</x:v>
      </x:c>
      <x:c r="N13" s="28" t="n">
        <x:v>13</x:v>
      </x:c>
      <x:c r="O13" s="27" t="n">
        <x:f>IFERROR(I13/M13,0)</x:f>
        <x:v>0</x:v>
      </x:c>
      <x:c r="P13" s="28" t="n">
        <x:v>1</x:v>
      </x:c>
    </x:row>
    <x:row r="14">
      <x:c r="A14" s="25" t="str">
        <x:v>Yerli</x:v>
      </x:c>
      <x:c r="B14" s="25" t="str">
        <x:v>Türkçe</x:v>
      </x:c>
      <x:c r="C14" s="25" t="str">
        <x:v>Bilinirlik / İzlenme / Trafik</x:v>
      </x:c>
      <x:c r="D14" s="25" t="str">
        <x:v>Medikal Estetik / Plastik Cerrahi</x:v>
      </x:c>
      <x:c r="E14" s="27" t="n">
        <x:v>2500</x:v>
      </x:c>
      <x:c r="F14" s="27" t="n">
        <x:v>0</x:v>
      </x:c>
      <x:c r="G14" s="27" t="n">
        <x:v>22411.510000000002</x:v>
      </x:c>
      <x:c r="H14" s="27" t="n">
        <x:v>11101.57</x:v>
      </x:c>
      <x:c r="I14" s="27" t="n">
        <x:v>33513.08</x:v>
      </x:c>
      <x:c r="J14" s="29" t="n">
        <x:f>IFERROR(I14/SUMIFS($I$5:$I$22,$A$5:$A$22,A14,$C$5:$C$22,C14),0)</x:f>
        <x:v>0.05892517315613029</x:v>
      </x:c>
      <x:c r="K14" s="28" t="n">
        <x:v>0</x:v>
      </x:c>
      <x:c r="L14" s="28" t="n">
        <x:v>0</x:v>
      </x:c>
      <x:c r="M14" s="28" t="n">
        <x:v>0</x:v>
      </x:c>
      <x:c r="N14" s="28" t="n">
        <x:v>13</x:v>
      </x:c>
      <x:c r="O14" s="27" t="n">
        <x:f>IFERROR(I14/M14,0)</x:f>
        <x:v>0</x:v>
      </x:c>
      <x:c r="P14" s="28" t="n">
        <x:v>3</x:v>
      </x:c>
    </x:row>
    <x:row r="15">
      <x:c r="A15" s="25" t="str">
        <x:v>Yerli</x:v>
      </x:c>
      <x:c r="B15" s="25" t="str">
        <x:v>Türkçe</x:v>
      </x:c>
      <x:c r="C15" s="25" t="str">
        <x:v>Bilinirlik / İzlenme / Trafik</x:v>
      </x:c>
      <x:c r="D15" s="25" t="str">
        <x:v>Onkoloji</x:v>
      </x:c>
      <x:c r="E15" s="27" t="n">
        <x:v>1000</x:v>
      </x:c>
      <x:c r="F15" s="27" t="n">
        <x:v>0</x:v>
      </x:c>
      <x:c r="G15" s="27" t="n">
        <x:v>4298.33</x:v>
      </x:c>
      <x:c r="H15" s="27" t="n">
        <x:v>0</x:v>
      </x:c>
      <x:c r="I15" s="27" t="n">
        <x:v>4298.33</x:v>
      </x:c>
      <x:c r="J15" s="29" t="n">
        <x:f>IFERROR(I15/SUMIFS($I$5:$I$22,$A$5:$A$22,A15,$C$5:$C$22,C15),0)</x:f>
        <x:v>0.007557641360692287</x:v>
      </x:c>
      <x:c r="K15" s="28" t="n">
        <x:v>0</x:v>
      </x:c>
      <x:c r="L15" s="28" t="n">
        <x:v>0</x:v>
      </x:c>
      <x:c r="M15" s="28" t="n">
        <x:v>0</x:v>
      </x:c>
      <x:c r="N15" s="28" t="n">
        <x:v>5</x:v>
      </x:c>
      <x:c r="O15" s="27" t="n">
        <x:f>IFERROR(I15/M15,0)</x:f>
        <x:v>0</x:v>
      </x:c>
      <x:c r="P15" s="28" t="n">
        <x:v>1</x:v>
      </x:c>
    </x:row>
    <x:row r="16">
      <x:c r="A16" s="25" t="str">
        <x:v>Yerli</x:v>
      </x:c>
      <x:c r="B16" s="25" t="str">
        <x:v>Türkçe</x:v>
      </x:c>
      <x:c r="C16" s="25" t="str">
        <x:v>Lead</x:v>
      </x:c>
      <x:c r="D16" s="25" t="str">
        <x:v>Check-up</x:v>
      </x:c>
      <x:c r="E16" s="27" t="n">
        <x:v>1500</x:v>
      </x:c>
      <x:c r="F16" s="27" t="n">
        <x:v>0</x:v>
      </x:c>
      <x:c r="G16" s="27" t="n">
        <x:v>33433.880000000005</x:v>
      </x:c>
      <x:c r="H16" s="27" t="n">
        <x:v>7264.5</x:v>
      </x:c>
      <x:c r="I16" s="27" t="n">
        <x:v>40698.380000000005</x:v>
      </x:c>
      <x:c r="J16" s="29" t="n">
        <x:f>IFERROR(I16/SUMIFS($I$5:$I$22,$A$5:$A$22,A16,$C$5:$C$22,C16),0)</x:f>
        <x:v>0.06957000640035349</x:v>
      </x:c>
      <x:c r="K16" s="28" t="n">
        <x:v>179</x:v>
      </x:c>
      <x:c r="L16" s="28" t="n">
        <x:v>0</x:v>
      </x:c>
      <x:c r="M16" s="28" t="n">
        <x:v>179</x:v>
      </x:c>
      <x:c r="N16" s="28" t="n">
        <x:v>172</x:v>
      </x:c>
      <x:c r="O16" s="27" t="n">
        <x:f>IFERROR(I16/M16,0)</x:f>
        <x:v>227.36525139664806</x:v>
      </x:c>
      <x:c r="P16" s="28" t="n">
        <x:v>2</x:v>
      </x:c>
    </x:row>
    <x:row r="17">
      <x:c r="A17" s="25" t="str">
        <x:v>Yerli</x:v>
      </x:c>
      <x:c r="B17" s="25" t="str">
        <x:v>Türkçe</x:v>
      </x:c>
      <x:c r="C17" s="25" t="str">
        <x:v>Lead</x:v>
      </x:c>
      <x:c r="D17" s="25" t="str">
        <x:v>Diğer / Sınıflandırılacak</x:v>
      </x:c>
      <x:c r="E17" s="27" t="n">
        <x:v>350</x:v>
      </x:c>
      <x:c r="F17" s="27" t="n">
        <x:v>0</x:v>
      </x:c>
      <x:c r="G17" s="27" t="n">
        <x:v>8115.76</x:v>
      </x:c>
      <x:c r="H17" s="27" t="n">
        <x:v>1664.84</x:v>
      </x:c>
      <x:c r="I17" s="27" t="n">
        <x:v>9780.6</x:v>
      </x:c>
      <x:c r="J17" s="29" t="n">
        <x:f>IFERROR(I17/SUMIFS($I$5:$I$22,$A$5:$A$22,A17,$C$5:$C$22,C17),0)</x:f>
        <x:v>0.0167190046532392</x:v>
      </x:c>
      <x:c r="K17" s="28" t="n">
        <x:v>79</x:v>
      </x:c>
      <x:c r="L17" s="28" t="n">
        <x:v>0</x:v>
      </x:c>
      <x:c r="M17" s="28" t="n">
        <x:v>79</x:v>
      </x:c>
      <x:c r="N17" s="28" t="n">
        <x:v>73</x:v>
      </x:c>
      <x:c r="O17" s="27" t="n">
        <x:f>IFERROR(I17/M17,0)</x:f>
        <x:v>123.80506329113925</x:v>
      </x:c>
      <x:c r="P17" s="28" t="n">
        <x:v>1</x:v>
      </x:c>
    </x:row>
    <x:row r="18">
      <x:c r="A18" s="25" t="str">
        <x:v>Yerli</x:v>
      </x:c>
      <x:c r="B18" s="25" t="str">
        <x:v>Türkçe</x:v>
      </x:c>
      <x:c r="C18" s="25" t="str">
        <x:v>Lead</x:v>
      </x:c>
      <x:c r="D18" s="25" t="str">
        <x:v>Doğum Kampanyası</x:v>
      </x:c>
      <x:c r="E18" s="27" t="n">
        <x:v>7000</x:v>
      </x:c>
      <x:c r="F18" s="27" t="n">
        <x:v>0</x:v>
      </x:c>
      <x:c r="G18" s="27" t="n">
        <x:v>160130.56</x:v>
      </x:c>
      <x:c r="H18" s="27" t="n">
        <x:v>36237.03</x:v>
      </x:c>
      <x:c r="I18" s="27" t="n">
        <x:v>196367.59</x:v>
      </x:c>
      <x:c r="J18" s="29" t="n">
        <x:f>IFERROR(I18/SUMIFS($I$5:$I$22,$A$5:$A$22,A18,$C$5:$C$22,C18),0)</x:f>
        <x:v>0.33567170224274256</x:v>
      </x:c>
      <x:c r="K18" s="28" t="n">
        <x:v>613</x:v>
      </x:c>
      <x:c r="L18" s="28" t="n">
        <x:v>0</x:v>
      </x:c>
      <x:c r="M18" s="28" t="n">
        <x:v>613</x:v>
      </x:c>
      <x:c r="N18" s="28" t="n">
        <x:v>74</x:v>
      </x:c>
      <x:c r="O18" s="27" t="n">
        <x:f>IFERROR(I18/M18,0)</x:f>
        <x:v>320.3386460032626</x:v>
      </x:c>
      <x:c r="P18" s="28" t="n">
        <x:v>1</x:v>
      </x:c>
    </x:row>
    <x:row r="19">
      <x:c r="A19" s="25" t="str">
        <x:v>Yerli</x:v>
      </x:c>
      <x:c r="B19" s="25" t="str">
        <x:v>Türkçe</x:v>
      </x:c>
      <x:c r="C19" s="25" t="str">
        <x:v>Lead</x:v>
      </x:c>
      <x:c r="D19" s="25" t="str">
        <x:v>Fizik Tedavi / Rehabilitasyon</x:v>
      </x:c>
      <x:c r="E19" s="27" t="n">
        <x:v>4000</x:v>
      </x:c>
      <x:c r="F19" s="27" t="n">
        <x:v>0</x:v>
      </x:c>
      <x:c r="G19" s="27" t="n">
        <x:v>90669.2</x:v>
      </x:c>
      <x:c r="H19" s="27" t="n">
        <x:v>20625.16</x:v>
      </x:c>
      <x:c r="I19" s="27" t="n">
        <x:v>111294.36</x:v>
      </x:c>
      <x:c r="J19" s="29" t="n">
        <x:f>IFERROR(I19/SUMIFS($I$5:$I$22,$A$5:$A$22,A19,$C$5:$C$22,C19),0)</x:f>
        <x:v>0.19024711395203556</x:v>
      </x:c>
      <x:c r="K19" s="28" t="n">
        <x:v>163</x:v>
      </x:c>
      <x:c r="L19" s="28" t="n">
        <x:v>0</x:v>
      </x:c>
      <x:c r="M19" s="28" t="n">
        <x:v>163</x:v>
      </x:c>
      <x:c r="N19" s="28" t="n">
        <x:v>33</x:v>
      </x:c>
      <x:c r="O19" s="27" t="n">
        <x:f>IFERROR(I19/M19,0)</x:f>
        <x:v>682.7874846625767</x:v>
      </x:c>
      <x:c r="P19" s="28" t="n">
        <x:v>1</x:v>
      </x:c>
    </x:row>
    <x:row r="20">
      <x:c r="A20" s="25" t="str">
        <x:v>Yerli</x:v>
      </x:c>
      <x:c r="B20" s="25" t="str">
        <x:v>Türkçe</x:v>
      </x:c>
      <x:c r="C20" s="25" t="str">
        <x:v>Lead</x:v>
      </x:c>
      <x:c r="D20" s="25" t="str">
        <x:v>İnsan Kaynakları</x:v>
      </x:c>
      <x:c r="E20" s="27" t="n">
        <x:v>2000</x:v>
      </x:c>
      <x:c r="F20" s="27" t="n">
        <x:v>0</x:v>
      </x:c>
      <x:c r="G20" s="27" t="n">
        <x:v>45090.619999999995</x:v>
      </x:c>
      <x:c r="H20" s="27" t="n">
        <x:v>9571.64</x:v>
      </x:c>
      <x:c r="I20" s="27" t="n">
        <x:v>54662.259999999995</x:v>
      </x:c>
      <x:c r="J20" s="29" t="n">
        <x:f>IFERROR(I20/SUMIFS($I$5:$I$22,$A$5:$A$22,A20,$C$5:$C$22,C20),0)</x:f>
        <x:v>0.0934399299937193</x:v>
      </x:c>
      <x:c r="K20" s="28" t="n">
        <x:v>217</x:v>
      </x:c>
      <x:c r="L20" s="28" t="n">
        <x:v>0</x:v>
      </x:c>
      <x:c r="M20" s="28" t="n">
        <x:v>217</x:v>
      </x:c>
      <x:c r="N20" s="28" t="n">
        <x:v>76</x:v>
      </x:c>
      <x:c r="O20" s="27" t="n">
        <x:f>IFERROR(I20/M20,0)</x:f>
        <x:v>251.89981566820273</x:v>
      </x:c>
      <x:c r="P20" s="28" t="n">
        <x:v>2</x:v>
      </x:c>
    </x:row>
    <x:row r="21">
      <x:c r="A21" s="25" t="str">
        <x:v>Yerli</x:v>
      </x:c>
      <x:c r="B21" s="25" t="str">
        <x:v>Türkçe</x:v>
      </x:c>
      <x:c r="C21" s="25" t="str">
        <x:v>Lead</x:v>
      </x:c>
      <x:c r="D21" s="25" t="str">
        <x:v>Medikal Estetik / Plastik Cerrahi</x:v>
      </x:c>
      <x:c r="E21" s="27" t="n">
        <x:v>5700</x:v>
      </x:c>
      <x:c r="F21" s="27" t="n">
        <x:v>0</x:v>
      </x:c>
      <x:c r="G21" s="27" t="n">
        <x:v>122650.96999999999</x:v>
      </x:c>
      <x:c r="H21" s="27" t="n">
        <x:v>24958.079999999998</x:v>
      </x:c>
      <x:c r="I21" s="27" t="n">
        <x:v>147609.05</x:v>
      </x:c>
      <x:c r="J21" s="29" t="n">
        <x:f>IFERROR(I21/SUMIFS($I$5:$I$22,$A$5:$A$22,A21,$C$5:$C$22,C21),0)</x:f>
        <x:v>0.25232361959493466</x:v>
      </x:c>
      <x:c r="K21" s="28" t="n">
        <x:v>826</x:v>
      </x:c>
      <x:c r="L21" s="28" t="n">
        <x:v>0</x:v>
      </x:c>
      <x:c r="M21" s="28" t="n">
        <x:v>826</x:v>
      </x:c>
      <x:c r="N21" s="28" t="n">
        <x:v>665</x:v>
      </x:c>
      <x:c r="O21" s="27" t="n">
        <x:f>IFERROR(I21/M21,0)</x:f>
        <x:v>178.7034503631961</x:v>
      </x:c>
      <x:c r="P21" s="28" t="n">
        <x:v>8</x:v>
      </x:c>
    </x:row>
    <x:row r="22">
      <x:c r="A22" s="25" t="str">
        <x:v>Yerli</x:v>
      </x:c>
      <x:c r="B22" s="25" t="str">
        <x:v>Türkçe</x:v>
      </x:c>
      <x:c r="C22" s="25" t="str">
        <x:v>Lead</x:v>
      </x:c>
      <x:c r="D22" s="25" t="str">
        <x:v>Saç Ekimi</x:v>
      </x:c>
      <x:c r="E22" s="27" t="n">
        <x:v>1000</x:v>
      </x:c>
      <x:c r="F22" s="27" t="n">
        <x:v>0</x:v>
      </x:c>
      <x:c r="G22" s="27" t="n">
        <x:v>20233.76</x:v>
      </x:c>
      <x:c r="H22" s="27" t="n">
        <x:v>4352.94</x:v>
      </x:c>
      <x:c r="I22" s="27" t="n">
        <x:v>24586.699999999997</x:v>
      </x:c>
      <x:c r="J22" s="29" t="n">
        <x:f>IFERROR(I22/SUMIFS($I$5:$I$22,$A$5:$A$22,A22,$C$5:$C$22,C22),0)</x:f>
        <x:v>0.0420286231629753</x:v>
      </x:c>
      <x:c r="K22" s="28" t="n">
        <x:v>48</x:v>
      </x:c>
      <x:c r="L22" s="28" t="n">
        <x:v>0</x:v>
      </x:c>
      <x:c r="M22" s="28" t="n">
        <x:v>48</x:v>
      </x:c>
      <x:c r="N22" s="28" t="n">
        <x:v>7</x:v>
      </x:c>
      <x:c r="O22" s="27" t="n">
        <x:f>IFERROR(I22/M22,0)</x:f>
        <x:v>512.2229166666666</x:v>
      </x:c>
      <x:c r="P22" s="28" t="n">
        <x:v>1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01da01d9394c4b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32" hidden="0" customWidth="1"/>
    <x:col min="5" max="5" width="28" hidden="0" customWidth="1"/>
    <x:col min="6" max="6" width="44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2" hidden="0" customWidth="1"/>
    <x:col min="17" max="17" width="16" hidden="0" customWidth="1"/>
    <x:col min="18" max="18" width="14" hidden="0" customWidth="1"/>
    <x:col min="19" max="19" width="12" hidden="0" customWidth="1"/>
    <x:col min="20" max="20" width="14" hidden="0" customWidth="1"/>
    <x:col min="21" max="21" width="14" hidden="0" customWidth="1"/>
    <x:col min="22" max="22" width="16" hidden="0" customWidth="1"/>
  </x:cols>
  <x:sheetData>
    <x:row r="1">
      <x:c r="A1" s="39" t="str">
        <x:v>Kampanya Özeti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</x:row>
    <x:row r="2">
      <x:c r="A2" s="24" t="str">
        <x:v>Her kampanya tek satırdır. Kampanya bütçesi varsa o; yoksa reklam seti bütçelerinin toplamı gösterilir.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</x:row>
    <x:row r="4">
      <x:c r="A4" s="40" t="str">
        <x:v>Pazar</x:v>
      </x:c>
      <x:c r="B4" s="40" t="str">
        <x:v>Dil</x:v>
      </x:c>
      <x:c r="C4" s="40" t="str">
        <x:v>İş Amacı</x:v>
      </x:c>
      <x:c r="D4" s="40" t="str">
        <x:v>Ana Grup</x:v>
      </x:c>
      <x:c r="E4" s="40" t="str">
        <x:v>Reklam Hesabı</x:v>
      </x:c>
      <x:c r="F4" s="40" t="str">
        <x:v>Kampanya</x:v>
      </x:c>
      <x:c r="G4" s="40" t="str">
        <x:v>Kampanya ID</x:v>
      </x:c>
      <x:c r="H4" s="40" t="str">
        <x:v>Durum</x:v>
      </x:c>
      <x:c r="I4" s="40" t="str">
        <x:v>Bütçe Seviyesi</x:v>
      </x:c>
      <x:c r="J4" s="40" t="str">
        <x:v>Günlük Bütçe</x:v>
      </x:c>
      <x:c r="K4" s="40" t="str">
        <x:v>Ömür Boyu Bütçe</x:v>
      </x:c>
      <x:c r="L4" s="40" t="str">
        <x:v>Temmuz Harcama</x:v>
      </x:c>
      <x:c r="M4" s="40" t="str">
        <x:v>Ağustos Harcama</x:v>
      </x:c>
      <x:c r="N4" s="40" t="str">
        <x:v>Toplam Harcama</x:v>
      </x:c>
      <x:c r="O4" s="40" t="str">
        <x:v>Grup İçi Harcama Payı %</x:v>
      </x:c>
      <x:c r="P4" s="40" t="str">
        <x:v>Form Lead</x:v>
      </x:c>
      <x:c r="Q4" s="40" t="str">
        <x:v>WhatsApp Lead</x:v>
      </x:c>
      <x:c r="R4" s="40" t="str">
        <x:v>Toplam Lead</x:v>
      </x:c>
      <x:c r="S4" s="40" t="str">
        <x:v>Ham Mesaj Sonucu</x:v>
      </x:c>
      <x:c r="T4" s="40" t="str">
        <x:v>Video İzlenme</x:v>
      </x:c>
      <x:c r="U4" s="40" t="str">
        <x:v>CPL</x:v>
      </x:c>
      <x:c r="V4" s="40" t="str">
        <x:v>Reklam Seti Sayısı</x:v>
      </x:c>
    </x:row>
    <x:row r="5">
      <x:c r="A5" s="25" t="str">
        <x:v>Yabancı</x:v>
      </x:c>
      <x:c r="B5" s="25" t="str">
        <x:v>Rusça</x:v>
      </x:c>
      <x:c r="C5" s="25" t="str">
        <x:v>Bilinirlik / İzlenme / Trafik</x:v>
      </x:c>
      <x:c r="D5" s="25" t="str">
        <x:v>Onkoloji</x:v>
      </x:c>
      <x:c r="E5" s="25" t="str">
        <x:v>Doruk Hospital</x:v>
      </x:c>
      <x:c r="F5" s="25" t="str">
        <x:v>Instagram gönderisi: Аппарат TrueBeam — одна из...</x:v>
      </x:c>
      <x:c r="G5" s="25" t="str">
        <x:v>​120242709752170080</x:v>
      </x:c>
      <x:c r="H5" s="25" t="str">
        <x:v>ACTIVE</x:v>
      </x:c>
      <x:c r="I5" s="25" t="str">
        <x:v>Kampanya</x:v>
      </x:c>
      <x:c r="J5" s="27" t="n">
        <x:v>4000</x:v>
      </x:c>
      <x:c r="K5" s="27" t="n">
        <x:v>0</x:v>
      </x:c>
      <x:c r="L5" s="27" t="n">
        <x:v>75159.75</x:v>
      </x:c>
      <x:c r="M5" s="27" t="n">
        <x:v>16694.04</x:v>
      </x:c>
      <x:c r="N5" s="27" t="n">
        <x:v>91853.79000000001</x:v>
      </x:c>
      <x:c r="O5" s="29" t="n">
        <x:f>IFERROR(N5/SUMIFS($N$5:$N$47,$A$5:$A$47,A5,$C$5:$C$47,C5,$D$5:$D$47,D5),0)</x:f>
        <x:v>1</x:v>
      </x:c>
      <x:c r="P5" s="28" t="n">
        <x:v>0</x:v>
      </x:c>
      <x:c r="Q5" s="28" t="n">
        <x:v>0</x:v>
      </x:c>
      <x:c r="R5" s="28" t="n">
        <x:v>0</x:v>
      </x:c>
      <x:c r="S5" s="28" t="n">
        <x:v>56</x:v>
      </x:c>
      <x:c r="T5" s="28" t="n">
        <x:v>437484</x:v>
      </x:c>
      <x:c r="U5" s="27" t="n">
        <x:f>IFERROR(N5/R5,0)</x:f>
        <x:v>0</x:v>
      </x:c>
      <x:c r="V5" s="28" t="n">
        <x:v>1</x:v>
      </x:c>
    </x:row>
    <x:row r="6">
      <x:c r="A6" s="25" t="str">
        <x:v>Yabancı</x:v>
      </x:c>
      <x:c r="B6" s="25" t="str">
        <x:v>Rusça</x:v>
      </x:c>
      <x:c r="C6" s="25" t="str">
        <x:v>Lead</x:v>
      </x:c>
      <x:c r="D6" s="25" t="str">
        <x:v>Fizik Tedavi / Rehabilitasyon</x:v>
      </x:c>
      <x:c r="E6" s="25" t="str">
        <x:v>Doruk Hospital</x:v>
      </x:c>
      <x:c r="F6" s="25" t="str">
        <x:v>Fizik Tedavi - Intensive FTR - Türki Cumhuriyetler - Tümü - RU - Lechenie v Turtsii - lead</x:v>
      </x:c>
      <x:c r="G6" s="25" t="str">
        <x:v>​120232382033210080</x:v>
      </x:c>
      <x:c r="H6" s="25" t="str">
        <x:v>ACTIVE</x:v>
      </x:c>
      <x:c r="I6" s="25" t="str">
        <x:v>Reklam Seti</x:v>
      </x:c>
      <x:c r="J6" s="27" t="n">
        <x:v>23000</x:v>
      </x:c>
      <x:c r="K6" s="27" t="n">
        <x:v>0</x:v>
      </x:c>
      <x:c r="L6" s="27" t="n">
        <x:v>470492.80000000005</x:v>
      </x:c>
      <x:c r="M6" s="27" t="n">
        <x:v>104373.25</x:v>
      </x:c>
      <x:c r="N6" s="27" t="n">
        <x:v>574866.05</x:v>
      </x:c>
      <x:c r="O6" s="29" t="n">
        <x:f>IFERROR(N6/SUMIFS($N$5:$N$47,$A$5:$A$47,A6,$C$5:$C$47,C6,$D$5:$D$47,D6),0)</x:f>
        <x:v>0.48466389945934235</x:v>
      </x:c>
      <x:c r="P6" s="28" t="n">
        <x:v>392</x:v>
      </x:c>
      <x:c r="Q6" s="28" t="n">
        <x:v>0</x:v>
      </x:c>
      <x:c r="R6" s="28" t="n">
        <x:v>392</x:v>
      </x:c>
      <x:c r="S6" s="28" t="n">
        <x:v>117</x:v>
      </x:c>
      <x:c r="T6" s="28" t="n">
        <x:v>512908</x:v>
      </x:c>
      <x:c r="U6" s="27" t="n">
        <x:f>IFERROR(N6/R6,0)</x:f>
        <x:v>1466.4950255102042</x:v>
      </x:c>
      <x:c r="V6" s="28" t="n">
        <x:v>19</x:v>
      </x:c>
    </x:row>
    <x:row r="7">
      <x:c r="A7" s="25" t="str">
        <x:v>Yabancı</x:v>
      </x:c>
      <x:c r="B7" s="25" t="str">
        <x:v>Arapça</x:v>
      </x:c>
      <x:c r="C7" s="25" t="str">
        <x:v>Lead</x:v>
      </x:c>
      <x:c r="D7" s="25" t="str">
        <x:v>Fizik Tedavi / Rehabilitasyon</x:v>
      </x:c>
      <x:c r="E7" s="25" t="str">
        <x:v>Doruk Hospital</x:v>
      </x:c>
      <x:c r="F7" s="25" t="str">
        <x:v>Whatsapp - Fizik Tedavi - Intensive FTR - Arap Bölgesi - Tümü - AR - Doruk İlaj Turkia</x:v>
      </x:c>
      <x:c r="G7" s="25" t="str">
        <x:v>​120238651325780080</x:v>
      </x:c>
      <x:c r="H7" s="25" t="str">
        <x:v>ACTIVE</x:v>
      </x:c>
      <x:c r="I7" s="25" t="str">
        <x:v>Reklam Seti</x:v>
      </x:c>
      <x:c r="J7" s="27" t="n">
        <x:v>25000</x:v>
      </x:c>
      <x:c r="K7" s="27" t="n">
        <x:v>0</x:v>
      </x:c>
      <x:c r="L7" s="27" t="n">
        <x:v>500132.54999999993</x:v>
      </x:c>
      <x:c r="M7" s="27" t="n">
        <x:v>111114.19</x:v>
      </x:c>
      <x:c r="N7" s="27" t="n">
        <x:v>611246.74</x:v>
      </x:c>
      <x:c r="O7" s="29" t="n">
        <x:f>IFERROR(N7/SUMIFS($N$5:$N$47,$A$5:$A$47,A7,$C$5:$C$47,C7,$D$5:$D$47,D7),0)</x:f>
        <x:v>0.5153361005406577</x:v>
      </x:c>
      <x:c r="P7" s="28" t="n">
        <x:v>0</x:v>
      </x:c>
      <x:c r="Q7" s="28" t="n">
        <x:v>717</x:v>
      </x:c>
      <x:c r="R7" s="28" t="n">
        <x:v>717</x:v>
      </x:c>
      <x:c r="S7" s="28" t="n">
        <x:v>717</x:v>
      </x:c>
      <x:c r="T7" s="28" t="n">
        <x:v>491359</x:v>
      </x:c>
      <x:c r="U7" s="27" t="n">
        <x:f>IFERROR(N7/R7,0)</x:f>
        <x:v>852.5059135285913</x:v>
      </x:c>
      <x:c r="V7" s="28" t="n">
        <x:v>17</x:v>
      </x:c>
    </x:row>
    <x:row r="8">
      <x:c r="A8" s="25" t="str">
        <x:v>Yabancı</x:v>
      </x:c>
      <x:c r="B8" s="25" t="str">
        <x:v>Arapça</x:v>
      </x:c>
      <x:c r="C8" s="25" t="str">
        <x:v>Lead</x:v>
      </x:c>
      <x:c r="D8" s="25" t="str">
        <x:v>Medikal Estetik / Plastik Cerrahi</x:v>
      </x:c>
      <x:c r="E8" s="25" t="str">
        <x:v>Doruk Hospital</x:v>
      </x:c>
      <x:c r="F8" s="25" t="str">
        <x:v>Meme Estetiği - Jinekomasti - Arap Bölgesi - Tümü - AR - Doruk Jinekomasti</x:v>
      </x:c>
      <x:c r="G8" s="25" t="str">
        <x:v>​120247623884690080</x:v>
      </x:c>
      <x:c r="H8" s="25" t="str">
        <x:v>PAUSED</x:v>
      </x:c>
      <x:c r="I8" s="25" t="str">
        <x:v>Reklam Seti</x:v>
      </x:c>
      <x:c r="J8" s="27" t="n">
        <x:v>0</x:v>
      </x:c>
      <x:c r="K8" s="27" t="n">
        <x:v>0</x:v>
      </x:c>
      <x:c r="L8" s="27" t="n">
        <x:v>3902.07</x:v>
      </x:c>
      <x:c r="M8" s="27" t="n">
        <x:v>11740.74</x:v>
      </x:c>
      <x:c r="N8" s="27" t="n">
        <x:v>15642.81</x:v>
      </x:c>
      <x:c r="O8" s="29" t="n">
        <x:f>IFERROR(N8/SUMIFS($N$5:$N$47,$A$5:$A$47,A8,$C$5:$C$47,C8,$D$5:$D$47,D8),0)</x:f>
        <x:v>0.5067936706232021</x:v>
      </x:c>
      <x:c r="P8" s="28" t="n">
        <x:v>62</x:v>
      </x:c>
      <x:c r="Q8" s="28" t="n">
        <x:v>64</x:v>
      </x:c>
      <x:c r="R8" s="28" t="n">
        <x:v>126</x:v>
      </x:c>
      <x:c r="S8" s="28" t="n">
        <x:v>64</x:v>
      </x:c>
      <x:c r="T8" s="28" t="n">
        <x:v>20177</x:v>
      </x:c>
      <x:c r="U8" s="27" t="n">
        <x:f>IFERROR(N8/R8,0)</x:f>
        <x:v>124.14928571428571</x:v>
      </x:c>
      <x:c r="V8" s="28" t="n">
        <x:v>1</x:v>
      </x:c>
    </x:row>
    <x:row r="9">
      <x:c r="A9" s="25" t="str">
        <x:v>Yabancı</x:v>
      </x:c>
      <x:c r="B9" s="25" t="str">
        <x:v>İngilizce</x:v>
      </x:c>
      <x:c r="C9" s="25" t="str">
        <x:v>Lead</x:v>
      </x:c>
      <x:c r="D9" s="25" t="str">
        <x:v>Medikal Estetik / Plastik Cerrahi</x:v>
      </x:c>
      <x:c r="E9" s="25" t="str">
        <x:v>Doruk Hospital</x:v>
      </x:c>
      <x:c r="F9" s="25" t="str">
        <x:v>Meme Estetiği - Jinekomasti - Birleşik Krallık - Tümü - EN - Doruk Jinekomasti</x:v>
      </x:c>
      <x:c r="G9" s="25" t="str">
        <x:v>​120247571768010080</x:v>
      </x:c>
      <x:c r="H9" s="25" t="str">
        <x:v>PAUSED</x:v>
      </x:c>
      <x:c r="I9" s="25" t="str">
        <x:v>Reklam Seti</x:v>
      </x:c>
      <x:c r="J9" s="27" t="n">
        <x:v>0</x:v>
      </x:c>
      <x:c r="K9" s="27" t="n">
        <x:v>0</x:v>
      </x:c>
      <x:c r="L9" s="27" t="n">
        <x:v>7124.92</x:v>
      </x:c>
      <x:c r="M9" s="27" t="n">
        <x:v>8098.5</x:v>
      </x:c>
      <x:c r="N9" s="27" t="n">
        <x:v>15223.42</x:v>
      </x:c>
      <x:c r="O9" s="29" t="n">
        <x:f>IFERROR(N9/SUMIFS($N$5:$N$47,$A$5:$A$47,A9,$C$5:$C$47,C9,$D$5:$D$47,D9),0)</x:f>
        <x:v>0.49320632937679787</x:v>
      </x:c>
      <x:c r="P9" s="28" t="n">
        <x:v>47</x:v>
      </x:c>
      <x:c r="Q9" s="28" t="n">
        <x:v>0</x:v>
      </x:c>
      <x:c r="R9" s="28" t="n">
        <x:v>47</x:v>
      </x:c>
      <x:c r="S9" s="28" t="n">
        <x:v>0</x:v>
      </x:c>
      <x:c r="T9" s="28" t="n">
        <x:v>6116</x:v>
      </x:c>
      <x:c r="U9" s="27" t="n">
        <x:f>IFERROR(N9/R9,0)</x:f>
        <x:v>323.90255319148935</x:v>
      </x:c>
      <x:c r="V9" s="28" t="n">
        <x:v>1</x:v>
      </x:c>
    </x:row>
    <x:row r="10">
      <x:c r="A10" s="25" t="str">
        <x:v>Yerli</x:v>
      </x:c>
      <x:c r="B10" s="25" t="str">
        <x:v>Türkçe</x:v>
      </x:c>
      <x:c r="C10" s="25" t="str">
        <x:v>Bilinirlik / İzlenme / Trafik</x:v>
      </x:c>
      <x:c r="D10" s="25" t="str">
        <x:v>Diğer / Sınıflandırılacak</x:v>
      </x:c>
      <x:c r="E10" s="25" t="str">
        <x:v>Doruk Hastaneleri - SİNA ÖZEL Sağlık Hizmetleri A.ş</x:v>
      </x:c>
      <x:c r="F10" s="25" t="str">
        <x:v>Instagram gönderisi: 🎗️ Kemoterapi Alan Her...</x:v>
      </x:c>
      <x:c r="G10" s="25" t="str">
        <x:v>​120255739290470399</x:v>
      </x:c>
      <x:c r="H10" s="25" t="str">
        <x:v>ACTIVE</x:v>
      </x:c>
      <x:c r="I10" s="25" t="str">
        <x:v>Kampanya</x:v>
      </x:c>
      <x:c r="J10" s="27" t="n">
        <x:v>1000</x:v>
      </x:c>
      <x:c r="K10" s="27" t="n">
        <x:v>0</x:v>
      </x:c>
      <x:c r="L10" s="27" t="n">
        <x:v>4861.85</x:v>
      </x:c>
      <x:c r="M10" s="27" t="n">
        <x:v>0</x:v>
      </x:c>
      <x:c r="N10" s="27" t="n">
        <x:v>4861.85</x:v>
      </x:c>
      <x:c r="O10" s="29" t="n">
        <x:f>IFERROR(N10/SUMIFS($N$5:$N$47,$A$5:$A$47,A10,$C$5:$C$47,C10,$D$5:$D$47,D10),0)</x:f>
        <x:v>0.022183394254378378</x:v>
      </x:c>
      <x:c r="P10" s="28" t="n">
        <x:v>0</x:v>
      </x:c>
      <x:c r="Q10" s="28" t="n">
        <x:v>0</x:v>
      </x:c>
      <x:c r="R10" s="28" t="n">
        <x:v>0</x:v>
      </x:c>
      <x:c r="S10" s="28" t="n">
        <x:v>7</x:v>
      </x:c>
      <x:c r="T10" s="28" t="n">
        <x:v>20669</x:v>
      </x:c>
      <x:c r="U10" s="27" t="n">
        <x:f>IFERROR(N10/R10,0)</x:f>
        <x:v>0</x:v>
      </x:c>
      <x:c r="V10" s="28" t="n">
        <x:v>1</x:v>
      </x:c>
    </x:row>
    <x:row r="11">
      <x:c r="A11" s="25" t="str">
        <x:v>Yerli</x:v>
      </x:c>
      <x:c r="B11" s="25" t="str">
        <x:v>Türkçe</x:v>
      </x:c>
      <x:c r="C11" s="25" t="str">
        <x:v>Bilinirlik / İzlenme / Trafik</x:v>
      </x:c>
      <x:c r="D11" s="25" t="str">
        <x:v>Diğer / Sınıflandırılacak</x:v>
      </x:c>
      <x:c r="E11" s="25" t="str">
        <x:v>Doruk Hastaneleri - SİNA ÖZEL Sağlık Hizmetleri A.ş</x:v>
      </x:c>
      <x:c r="F11" s="25" t="str">
        <x:v>Instagram gönderisi: 🏅 BURSA'DA BİR İLK
Özel...</x:v>
      </x:c>
      <x:c r="G11" s="25" t="str">
        <x:v>​120255738303970399</x:v>
      </x:c>
      <x:c r="H11" s="25" t="str">
        <x:v>ACTIVE</x:v>
      </x:c>
      <x:c r="I11" s="25" t="str">
        <x:v>Kampanya</x:v>
      </x:c>
      <x:c r="J11" s="27" t="n">
        <x:v>1000</x:v>
      </x:c>
      <x:c r="K11" s="27" t="n">
        <x:v>0</x:v>
      </x:c>
      <x:c r="L11" s="27" t="n">
        <x:v>5950.62</x:v>
      </x:c>
      <x:c r="M11" s="27" t="n">
        <x:v>4410.15</x:v>
      </x:c>
      <x:c r="N11" s="27" t="n">
        <x:v>10360.77</x:v>
      </x:c>
      <x:c r="O11" s="29" t="n">
        <x:f>IFERROR(N11/SUMIFS($N$5:$N$47,$A$5:$A$47,A11,$C$5:$C$47,C11,$D$5:$D$47,D11),0)</x:f>
        <x:v>0.04727357810070978</x:v>
      </x:c>
      <x:c r="P11" s="28" t="n">
        <x:v>0</x:v>
      </x:c>
      <x:c r="Q11" s="28" t="n">
        <x:v>0</x:v>
      </x:c>
      <x:c r="R11" s="28" t="n">
        <x:v>0</x:v>
      </x:c>
      <x:c r="S11" s="28" t="n">
        <x:v>1</x:v>
      </x:c>
      <x:c r="T11" s="28" t="n">
        <x:v>64986</x:v>
      </x:c>
      <x:c r="U11" s="27" t="n">
        <x:f>IFERROR(N11/R11,0)</x:f>
        <x:v>0</x:v>
      </x:c>
      <x:c r="V11" s="28" t="n">
        <x:v>1</x:v>
      </x:c>
    </x:row>
    <x:row r="12">
      <x:c r="A12" s="25" t="str">
        <x:v>Yerli</x:v>
      </x:c>
      <x:c r="B12" s="25" t="str">
        <x:v>Türkçe</x:v>
      </x:c>
      <x:c r="C12" s="25" t="str">
        <x:v>Bilinirlik / İzlenme / Trafik</x:v>
      </x:c>
      <x:c r="D12" s="25" t="str">
        <x:v>Diğer / Sınıflandırılacak</x:v>
      </x:c>
      <x:c r="E12" s="25" t="str">
        <x:v>Doruk Hastaneleri - SİNA ÖZEL Sağlık Hizmetleri A.ş</x:v>
      </x:c>
      <x:c r="F12" s="25" t="str">
        <x:v>Instagram gönderisi: 🖐️ Parmak Ucu Defekti Nasıl...</x:v>
      </x:c>
      <x:c r="G12" s="25" t="str">
        <x:v>​120255739194330399</x:v>
      </x:c>
      <x:c r="H12" s="25" t="str">
        <x:v>ACTIVE</x:v>
      </x:c>
      <x:c r="I12" s="25" t="str">
        <x:v>Kampanya</x:v>
      </x:c>
      <x:c r="J12" s="27" t="n">
        <x:v>1000</x:v>
      </x:c>
      <x:c r="K12" s="27" t="n">
        <x:v>0</x:v>
      </x:c>
      <x:c r="L12" s="27" t="n">
        <x:v>5857.14</x:v>
      </x:c>
      <x:c r="M12" s="27" t="n">
        <x:v>3895.68</x:v>
      </x:c>
      <x:c r="N12" s="27" t="n">
        <x:v>9752.82</x:v>
      </x:c>
      <x:c r="O12" s="29" t="n">
        <x:f>IFERROR(N12/SUMIFS($N$5:$N$47,$A$5:$A$47,A12,$C$5:$C$47,C12,$D$5:$D$47,D12),0)</x:f>
        <x:v>0.04449965571788239</x:v>
      </x:c>
      <x:c r="P12" s="28" t="n">
        <x:v>0</x:v>
      </x:c>
      <x:c r="Q12" s="28" t="n">
        <x:v>0</x:v>
      </x:c>
      <x:c r="R12" s="28" t="n">
        <x:v>0</x:v>
      </x:c>
      <x:c r="S12" s="28" t="n">
        <x:v>1</x:v>
      </x:c>
      <x:c r="T12" s="28" t="n">
        <x:v>45213</x:v>
      </x:c>
      <x:c r="U12" s="27" t="n">
        <x:f>IFERROR(N12/R12,0)</x:f>
        <x:v>0</x:v>
      </x:c>
      <x:c r="V12" s="28" t="n">
        <x:v>1</x:v>
      </x:c>
    </x:row>
    <x:row r="13">
      <x:c r="A13" s="25" t="str">
        <x:v>Yerli</x:v>
      </x:c>
      <x:c r="B13" s="25" t="str">
        <x:v>Türkçe</x:v>
      </x:c>
      <x:c r="C13" s="25" t="str">
        <x:v>Bilinirlik / İzlenme / Trafik</x:v>
      </x:c>
      <x:c r="D13" s="25" t="str">
        <x:v>Diğer / Sınıflandırılacak</x:v>
      </x:c>
      <x:c r="E13" s="25" t="str">
        <x:v>Doruk Hastaneleri - SİNA ÖZEL Sağlık Hizmetleri A.ş</x:v>
      </x:c>
      <x:c r="F13" s="25" t="str">
        <x:v>Instagram gönderisi: 🦴 Bel Fıtığında Doğru Zaman...</x:v>
      </x:c>
      <x:c r="G13" s="25" t="str">
        <x:v>​120255739485660399</x:v>
      </x:c>
      <x:c r="H13" s="25" t="str">
        <x:v>ACTIVE</x:v>
      </x:c>
      <x:c r="I13" s="25" t="str">
        <x:v>Kampanya</x:v>
      </x:c>
      <x:c r="J13" s="27" t="n">
        <x:v>1000</x:v>
      </x:c>
      <x:c r="K13" s="27" t="n">
        <x:v>0</x:v>
      </x:c>
      <x:c r="L13" s="27" t="n">
        <x:v>4602.73</x:v>
      </x:c>
      <x:c r="M13" s="27" t="n">
        <x:v>0</x:v>
      </x:c>
      <x:c r="N13" s="27" t="n">
        <x:v>4602.73</x:v>
      </x:c>
      <x:c r="O13" s="29" t="n">
        <x:f>IFERROR(N13/SUMIFS($N$5:$N$47,$A$5:$A$47,A13,$C$5:$C$47,C13,$D$5:$D$47,D13),0)</x:f>
        <x:v>0.021001095105043343</x:v>
      </x:c>
      <x:c r="P13" s="28" t="n">
        <x:v>0</x:v>
      </x:c>
      <x:c r="Q13" s="28" t="n">
        <x:v>0</x:v>
      </x:c>
      <x:c r="R13" s="28" t="n">
        <x:v>0</x:v>
      </x:c>
      <x:c r="S13" s="28" t="n">
        <x:v>4</x:v>
      </x:c>
      <x:c r="T13" s="28" t="n">
        <x:v>21243</x:v>
      </x:c>
      <x:c r="U13" s="27" t="n">
        <x:f>IFERROR(N13/R13,0)</x:f>
        <x:v>0</x:v>
      </x:c>
      <x:c r="V13" s="28" t="n">
        <x:v>1</x:v>
      </x:c>
    </x:row>
    <x:row r="14">
      <x:c r="A14" s="25" t="str">
        <x:v>Yerli</x:v>
      </x:c>
      <x:c r="B14" s="25" t="str">
        <x:v>Türkçe</x:v>
      </x:c>
      <x:c r="C14" s="25" t="str">
        <x:v>Bilinirlik / İzlenme / Trafik</x:v>
      </x:c>
      <x:c r="D14" s="25" t="str">
        <x:v>Diğer / Sınıflandırılacak</x:v>
      </x:c>
      <x:c r="E14" s="25" t="str">
        <x:v>Doruk Hastaneleri - SİNA ÖZEL Sağlık Hizmetleri A.ş</x:v>
      </x:c>
      <x:c r="F14" s="25" t="str">
        <x:v>Instagram gönderisi: 🦴 Omurga Kırıklarında Asıl...</x:v>
      </x:c>
      <x:c r="G14" s="25" t="str">
        <x:v>​120255739460510399</x:v>
      </x:c>
      <x:c r="H14" s="25" t="str">
        <x:v>ACTIVE</x:v>
      </x:c>
      <x:c r="I14" s="25" t="str">
        <x:v>Kampanya</x:v>
      </x:c>
      <x:c r="J14" s="27" t="n">
        <x:v>1000</x:v>
      </x:c>
      <x:c r="K14" s="27" t="n">
        <x:v>0</x:v>
      </x:c>
      <x:c r="L14" s="27" t="n">
        <x:v>4690.69</x:v>
      </x:c>
      <x:c r="M14" s="27" t="n">
        <x:v>0</x:v>
      </x:c>
      <x:c r="N14" s="27" t="n">
        <x:v>4690.69</x:v>
      </x:c>
      <x:c r="O14" s="29" t="n">
        <x:f>IFERROR(N14/SUMIFS($N$5:$N$47,$A$5:$A$47,A14,$C$5:$C$47,C14,$D$5:$D$47,D14),0)</x:f>
        <x:v>0.021402434380959942</x:v>
      </x:c>
      <x:c r="P14" s="28" t="n">
        <x:v>0</x:v>
      </x:c>
      <x:c r="Q14" s="28" t="n">
        <x:v>0</x:v>
      </x:c>
      <x:c r="R14" s="28" t="n">
        <x:v>0</x:v>
      </x:c>
      <x:c r="S14" s="28" t="n">
        <x:v>6</x:v>
      </x:c>
      <x:c r="T14" s="28" t="n">
        <x:v>20700</x:v>
      </x:c>
      <x:c r="U14" s="27" t="n">
        <x:f>IFERROR(N14/R14,0)</x:f>
        <x:v>0</x:v>
      </x:c>
      <x:c r="V14" s="28" t="n">
        <x:v>1</x:v>
      </x:c>
    </x:row>
    <x:row r="15">
      <x:c r="A15" s="25" t="str">
        <x:v>Yerli</x:v>
      </x:c>
      <x:c r="B15" s="25" t="str">
        <x:v>Türkçe</x:v>
      </x:c>
      <x:c r="C15" s="25" t="str">
        <x:v>Bilinirlik / İzlenme / Trafik</x:v>
      </x:c>
      <x:c r="D15" s="25" t="str">
        <x:v>Diğer / Sınıflandırılacak</x:v>
      </x:c>
      <x:c r="E15" s="25" t="str">
        <x:v>Doruk Hastaneleri - SİNA ÖZEL Sağlık Hizmetleri A.ş</x:v>
      </x:c>
      <x:c r="F15" s="25" t="str">
        <x:v>Instagram gönderisi: Ablasyon tedavisi, vücutta...</x:v>
      </x:c>
      <x:c r="G15" s="25" t="str">
        <x:v>​120255738376560399</x:v>
      </x:c>
      <x:c r="H15" s="25" t="str">
        <x:v>ACTIVE</x:v>
      </x:c>
      <x:c r="I15" s="25" t="str">
        <x:v>Kampanya</x:v>
      </x:c>
      <x:c r="J15" s="27" t="n">
        <x:v>1000</x:v>
      </x:c>
      <x:c r="K15" s="27" t="n">
        <x:v>0</x:v>
      </x:c>
      <x:c r="L15" s="27" t="n">
        <x:v>4881.75</x:v>
      </x:c>
      <x:c r="M15" s="27" t="n">
        <x:v>0</x:v>
      </x:c>
      <x:c r="N15" s="27" t="n">
        <x:v>4881.75</x:v>
      </x:c>
      <x:c r="O15" s="29" t="n">
        <x:f>IFERROR(N15/SUMIFS($N$5:$N$47,$A$5:$A$47,A15,$C$5:$C$47,C15,$D$5:$D$47,D15),0)</x:f>
        <x:v>0.022274192930944316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11781</x:v>
      </x:c>
      <x:c r="U15" s="27" t="n">
        <x:f>IFERROR(N15/R15,0)</x:f>
        <x:v>0</x:v>
      </x:c>
      <x:c r="V15" s="28" t="n">
        <x:v>1</x:v>
      </x:c>
    </x:row>
    <x:row r="16">
      <x:c r="A16" s="25" t="str">
        <x:v>Yerli</x:v>
      </x:c>
      <x:c r="B16" s="25" t="str">
        <x:v>Türkçe</x:v>
      </x:c>
      <x:c r="C16" s="25" t="str">
        <x:v>Bilinirlik / İzlenme / Trafik</x:v>
      </x:c>
      <x:c r="D16" s="25" t="str">
        <x:v>Diğer / Sınıflandırılacak</x:v>
      </x:c>
      <x:c r="E16" s="25" t="str">
        <x:v>Doruk Hastaneleri - SİNA ÖZEL Sağlık Hizmetleri A.ş</x:v>
      </x:c>
      <x:c r="F16" s="25" t="str">
        <x:v>Instagram gönderisi: Bir sezon boyunca ortaya...</x:v>
      </x:c>
      <x:c r="G16" s="25" t="str">
        <x:v>​120249614228610399</x:v>
      </x:c>
      <x:c r="H16" s="25" t="str">
        <x:v>ACTIVE</x:v>
      </x:c>
      <x:c r="I16" s="25" t="str">
        <x:v>Reklam Seti</x:v>
      </x:c>
      <x:c r="J16" s="27" t="n">
        <x:v>4000</x:v>
      </x:c>
      <x:c r="K16" s="27" t="n">
        <x:v>0</x:v>
      </x:c>
      <x:c r="L16" s="27" t="n">
        <x:v>89061.13</x:v>
      </x:c>
      <x:c r="M16" s="27" t="n">
        <x:v>19306.66</x:v>
      </x:c>
      <x:c r="N16" s="27" t="n">
        <x:v>108367.79000000001</x:v>
      </x:c>
      <x:c r="O16" s="29" t="n">
        <x:f>IFERROR(N16/SUMIFS($N$5:$N$47,$A$5:$A$47,A16,$C$5:$C$47,C16,$D$5:$D$47,D16),0)</x:f>
        <x:v>0.494454870069147</x:v>
      </x:c>
      <x:c r="P16" s="28" t="n">
        <x:v>0</x:v>
      </x:c>
      <x:c r="Q16" s="28" t="n">
        <x:v>0</x:v>
      </x:c>
      <x:c r="R16" s="28" t="n">
        <x:v>0</x:v>
      </x:c>
      <x:c r="S16" s="28" t="n">
        <x:v>3</x:v>
      </x:c>
      <x:c r="T16" s="28" t="n">
        <x:v>412332</x:v>
      </x:c>
      <x:c r="U16" s="27" t="n">
        <x:f>IFERROR(N16/R16,0)</x:f>
        <x:v>0</x:v>
      </x:c>
      <x:c r="V16" s="28" t="n">
        <x:v>1</x:v>
      </x:c>
    </x:row>
    <x:row r="17">
      <x:c r="A17" s="25" t="str">
        <x:v>Yerli</x:v>
      </x:c>
      <x:c r="B17" s="25" t="str">
        <x:v>Türkçe</x:v>
      </x:c>
      <x:c r="C17" s="25" t="str">
        <x:v>Bilinirlik / İzlenme / Trafik</x:v>
      </x:c>
      <x:c r="D17" s="25" t="str">
        <x:v>Diğer / Sınıflandırılacak</x:v>
      </x:c>
      <x:c r="E17" s="25" t="str">
        <x:v>Doruk Hastaneleri - SİNA ÖZEL Sağlık Hizmetleri A.ş</x:v>
      </x:c>
      <x:c r="F17" s="25" t="str">
        <x:v>Instagram gönderisi: Doruk Sağlık Grubu olarak,...</x:v>
      </x:c>
      <x:c r="G17" s="25" t="str">
        <x:v>​120255099624540399</x:v>
      </x:c>
      <x:c r="H17" s="25" t="str">
        <x:v>ACTIVE</x:v>
      </x:c>
      <x:c r="I17" s="25" t="str">
        <x:v>Kampanya</x:v>
      </x:c>
      <x:c r="J17" s="27" t="n">
        <x:v>3000</x:v>
      </x:c>
      <x:c r="K17" s="27" t="n">
        <x:v>0</x:v>
      </x:c>
      <x:c r="L17" s="27" t="n">
        <x:v>66937.6</x:v>
      </x:c>
      <x:c r="M17" s="27" t="n">
        <x:v>0</x:v>
      </x:c>
      <x:c r="N17" s="27" t="n">
        <x:v>66937.6</x:v>
      </x:c>
      <x:c r="O17" s="29" t="n">
        <x:f>IFERROR(N17/SUMIFS($N$5:$N$47,$A$5:$A$47,A17,$C$5:$C$47,C17,$D$5:$D$47,D17),0)</x:f>
        <x:v>0.3054193714824353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261431</x:v>
      </x:c>
      <x:c r="U17" s="27" t="n">
        <x:f>IFERROR(N17/R17,0)</x:f>
        <x:v>0</x:v>
      </x:c>
      <x:c r="V17" s="28" t="n">
        <x:v>1</x:v>
      </x:c>
    </x:row>
    <x:row r="18">
      <x:c r="A18" s="25" t="str">
        <x:v>Yerli</x:v>
      </x:c>
      <x:c r="B18" s="25" t="str">
        <x:v>Türkçe</x:v>
      </x:c>
      <x:c r="C18" s="25" t="str">
        <x:v>Bilinirlik / İzlenme / Trafik</x:v>
      </x:c>
      <x:c r="D18" s="25" t="str">
        <x:v>Diğer / Sınıflandırılacak</x:v>
      </x:c>
      <x:c r="E18" s="25" t="str">
        <x:v>Doruk Hastaneleri - SİNA ÖZEL Sağlık Hizmetleri A.ş</x:v>
      </x:c>
      <x:c r="F18" s="25" t="str">
        <x:v>Instagram gönderisi: İlişki sonrasında idrar...</x:v>
      </x:c>
      <x:c r="G18" s="25" t="str">
        <x:v>​120255738351260399</x:v>
      </x:c>
      <x:c r="H18" s="25" t="str">
        <x:v>ACTIVE</x:v>
      </x:c>
      <x:c r="I18" s="25" t="str">
        <x:v>Kampanya</x:v>
      </x:c>
      <x:c r="J18" s="27" t="n">
        <x:v>1000</x:v>
      </x:c>
      <x:c r="K18" s="27" t="n">
        <x:v>0</x:v>
      </x:c>
      <x:c r="L18" s="27" t="n">
        <x:v>4710.19</x:v>
      </x:c>
      <x:c r="M18" s="27" t="n">
        <x:v>0</x:v>
      </x:c>
      <x:c r="N18" s="27" t="n">
        <x:v>4710.19</x:v>
      </x:c>
      <x:c r="O18" s="29" t="n">
        <x:f>IFERROR(N18/SUMIFS($N$5:$N$47,$A$5:$A$47,A18,$C$5:$C$47,C18,$D$5:$D$47,D18),0)</x:f>
        <x:v>0.021491407958499433</x:v>
      </x:c>
      <x:c r="P18" s="28" t="n">
        <x:v>0</x:v>
      </x:c>
      <x:c r="Q18" s="28" t="n">
        <x:v>0</x:v>
      </x:c>
      <x:c r="R18" s="28" t="n">
        <x:v>0</x:v>
      </x:c>
      <x:c r="S18" s="28" t="n">
        <x:v>1</x:v>
      </x:c>
      <x:c r="T18" s="28" t="n">
        <x:v>16097</x:v>
      </x:c>
      <x:c r="U18" s="27" t="n">
        <x:f>IFERROR(N18/R18,0)</x:f>
        <x:v>0</x:v>
      </x:c>
      <x:c r="V18" s="28" t="n">
        <x:v>1</x:v>
      </x:c>
    </x:row>
    <x:row r="19">
      <x:c r="A19" s="25" t="str">
        <x:v>Yerli</x:v>
      </x:c>
      <x:c r="B19" s="25" t="str">
        <x:v>Türkçe</x:v>
      </x:c>
      <x:c r="C19" s="25" t="str">
        <x:v>Bilinirlik / İzlenme / Trafik</x:v>
      </x:c>
      <x:c r="D19" s="25" t="str">
        <x:v>Doğum Kampanyası</x:v>
      </x:c>
      <x:c r="E19" s="25" t="str">
        <x:v>Doruk Hastaneleri - SİNA ÖZEL Sağlık Hizmetleri A.ş</x:v>
      </x:c>
      <x:c r="F19" s="25" t="str">
        <x:v>Gebe-Doğum Bilinirlik</x:v>
      </x:c>
      <x:c r="G19" s="25" t="str">
        <x:v>​120247034876600399</x:v>
      </x:c>
      <x:c r="H19" s="25" t="str">
        <x:v>ACTIVE</x:v>
      </x:c>
      <x:c r="I19" s="25" t="str">
        <x:v>Reklam Seti</x:v>
      </x:c>
      <x:c r="J19" s="27" t="n">
        <x:v>1000</x:v>
      </x:c>
      <x:c r="K19" s="27" t="n">
        <x:v>0</x:v>
      </x:c>
      <x:c r="L19" s="27" t="n">
        <x:v>22253.08</x:v>
      </x:c>
      <x:c r="M19" s="27" t="n">
        <x:v>4848.85</x:v>
      </x:c>
      <x:c r="N19" s="27" t="n">
        <x:v>27101.93</x:v>
      </x:c>
      <x:c r="O19" s="29" t="n">
        <x:f>IFERROR(N19/SUMIFS($N$5:$N$47,$A$5:$A$47,A19,$C$5:$C$47,C19,$D$5:$D$47,D19),0)</x:f>
        <x:v>0.6508037935076979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197838</x:v>
      </x:c>
      <x:c r="U19" s="27" t="n">
        <x:f>IFERROR(N19/R19,0)</x:f>
        <x:v>0</x:v>
      </x:c>
      <x:c r="V19" s="28" t="n">
        <x:v>1</x:v>
      </x:c>
    </x:row>
    <x:row r="20">
      <x:c r="A20" s="25" t="str">
        <x:v>Yerli</x:v>
      </x:c>
      <x:c r="B20" s="25" t="str">
        <x:v>Türkçe</x:v>
      </x:c>
      <x:c r="C20" s="25" t="str">
        <x:v>Bilinirlik / İzlenme / Trafik</x:v>
      </x:c>
      <x:c r="D20" s="25" t="str">
        <x:v>Doğum Kampanyası</x:v>
      </x:c>
      <x:c r="E20" s="25" t="str">
        <x:v>Doruk Hastaneleri - SİNA ÖZEL Sağlık Hizmetleri A.ş</x:v>
      </x:c>
      <x:c r="F20" s="25" t="str">
        <x:v>Instagram gönderisi: •Gebelikte Tarama Testleri |...</x:v>
      </x:c>
      <x:c r="G20" s="25" t="str">
        <x:v>​120255739368940399</x:v>
      </x:c>
      <x:c r="H20" s="25" t="str">
        <x:v>PAUSED</x:v>
      </x:c>
      <x:c r="I20" s="25" t="str">
        <x:v>Kampanya</x:v>
      </x:c>
      <x:c r="J20" s="27" t="n">
        <x:v>0</x:v>
      </x:c>
      <x:c r="K20" s="27" t="n">
        <x:v>0</x:v>
      </x:c>
      <x:c r="L20" s="27" t="n">
        <x:v>2378.12</x:v>
      </x:c>
      <x:c r="M20" s="27" t="n">
        <x:v>0</x:v>
      </x:c>
      <x:c r="N20" s="27" t="n">
        <x:v>2378.12</x:v>
      </x:c>
      <x:c r="O20" s="29" t="n">
        <x:f>IFERROR(N20/SUMIFS($N$5:$N$47,$A$5:$A$47,A20,$C$5:$C$47,C20,$D$5:$D$47,D20),0)</x:f>
        <x:v>0.05710624731952767</x:v>
      </x:c>
      <x:c r="P20" s="28" t="n">
        <x:v>0</x:v>
      </x:c>
      <x:c r="Q20" s="28" t="n">
        <x:v>0</x:v>
      </x:c>
      <x:c r="R20" s="28" t="n">
        <x:v>0</x:v>
      </x:c>
      <x:c r="S20" s="28" t="n">
        <x:v>1</x:v>
      </x:c>
      <x:c r="T20" s="28" t="n">
        <x:v>8109</x:v>
      </x:c>
      <x:c r="U20" s="27" t="n">
        <x:f>IFERROR(N20/R20,0)</x:f>
        <x:v>0</x:v>
      </x:c>
      <x:c r="V20" s="28" t="n">
        <x:v>1</x:v>
      </x:c>
    </x:row>
    <x:row r="21">
      <x:c r="A21" s="25" t="str">
        <x:v>Yerli</x:v>
      </x:c>
      <x:c r="B21" s="25" t="str">
        <x:v>Türkçe</x:v>
      </x:c>
      <x:c r="C21" s="25" t="str">
        <x:v>Bilinirlik / İzlenme / Trafik</x:v>
      </x:c>
      <x:c r="D21" s="25" t="str">
        <x:v>Doğum Kampanyası</x:v>
      </x:c>
      <x:c r="E21" s="25" t="str">
        <x:v>Doruk Hastaneleri - SİNA ÖZEL Sağlık Hizmetleri A.ş</x:v>
      </x:c>
      <x:c r="F21" s="25" t="str">
        <x:v>Instagram gönderisi: ✅Gebelikte uyku pozisyonu...</x:v>
      </x:c>
      <x:c r="G21" s="25" t="str">
        <x:v>​120255739424180399</x:v>
      </x:c>
      <x:c r="H21" s="25" t="str">
        <x:v>PAUSED</x:v>
      </x:c>
      <x:c r="I21" s="25" t="str">
        <x:v>Kampanya</x:v>
      </x:c>
      <x:c r="J21" s="27" t="n">
        <x:v>0</x:v>
      </x:c>
      <x:c r="K21" s="27" t="n">
        <x:v>0</x:v>
      </x:c>
      <x:c r="L21" s="27" t="n">
        <x:v>2585.86</x:v>
      </x:c>
      <x:c r="M21" s="27" t="n">
        <x:v>0</x:v>
      </x:c>
      <x:c r="N21" s="27" t="n">
        <x:v>2585.86</x:v>
      </x:c>
      <x:c r="O21" s="29" t="n">
        <x:f>IFERROR(N21/SUMIFS($N$5:$N$47,$A$5:$A$47,A21,$C$5:$C$47,C21,$D$5:$D$47,D21),0)</x:f>
        <x:v>0.062094747402853444</x:v>
      </x:c>
      <x:c r="P21" s="28" t="n">
        <x:v>0</x:v>
      </x:c>
      <x:c r="Q21" s="28" t="n">
        <x:v>0</x:v>
      </x:c>
      <x:c r="R21" s="28" t="n">
        <x:v>0</x:v>
      </x:c>
      <x:c r="S21" s="28" t="n">
        <x:v>2</x:v>
      </x:c>
      <x:c r="T21" s="28" t="n">
        <x:v>16283</x:v>
      </x:c>
      <x:c r="U21" s="27" t="n">
        <x:f>IFERROR(N21/R21,0)</x:f>
        <x:v>0</x:v>
      </x:c>
      <x:c r="V21" s="28" t="n">
        <x:v>1</x:v>
      </x:c>
    </x:row>
    <x:row r="22">
      <x:c r="A22" s="25" t="str">
        <x:v>Yerli</x:v>
      </x:c>
      <x:c r="B22" s="25" t="str">
        <x:v>Türkçe</x:v>
      </x:c>
      <x:c r="C22" s="25" t="str">
        <x:v>Bilinirlik / İzlenme / Trafik</x:v>
      </x:c>
      <x:c r="D22" s="25" t="str">
        <x:v>Doğum Kampanyası</x:v>
      </x:c>
      <x:c r="E22" s="25" t="str">
        <x:v>Doruk Hastaneleri - SİNA ÖZEL Sağlık Hizmetleri A.ş</x:v>
      </x:c>
      <x:c r="F22" s="25" t="str">
        <x:v>Instagram gönderisi: Aşılama tedavisi, gebelik...</x:v>
      </x:c>
      <x:c r="G22" s="25" t="str">
        <x:v>​120255738261970399</x:v>
      </x:c>
      <x:c r="H22" s="25" t="str">
        <x:v>ACTIVE</x:v>
      </x:c>
      <x:c r="I22" s="25" t="str">
        <x:v>Kampanya</x:v>
      </x:c>
      <x:c r="J22" s="27" t="n">
        <x:v>1000</x:v>
      </x:c>
      <x:c r="K22" s="27" t="n">
        <x:v>0</x:v>
      </x:c>
      <x:c r="L22" s="27" t="n">
        <x:v>4999.35</x:v>
      </x:c>
      <x:c r="M22" s="27" t="n">
        <x:v>0</x:v>
      </x:c>
      <x:c r="N22" s="27" t="n">
        <x:v>4999.35</x:v>
      </x:c>
      <x:c r="O22" s="29" t="n">
        <x:f>IFERROR(N22/SUMIFS($N$5:$N$47,$A$5:$A$47,A22,$C$5:$C$47,C22,$D$5:$D$47,D22),0)</x:f>
        <x:v>0.12005034125144261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8545</x:v>
      </x:c>
      <x:c r="U22" s="27" t="n">
        <x:f>IFERROR(N22/R22,0)</x:f>
        <x:v>0</x:v>
      </x:c>
      <x:c r="V22" s="28" t="n">
        <x:v>1</x:v>
      </x:c>
    </x:row>
    <x:row r="23">
      <x:c r="A23" s="25" t="str">
        <x:v>Yerli</x:v>
      </x:c>
      <x:c r="B23" s="25" t="str">
        <x:v>Türkçe</x:v>
      </x:c>
      <x:c r="C23" s="25" t="str">
        <x:v>Bilinirlik / İzlenme / Trafik</x:v>
      </x:c>
      <x:c r="D23" s="25" t="str">
        <x:v>Doğum Kampanyası</x:v>
      </x:c>
      <x:c r="E23" s="25" t="str">
        <x:v>Doruk Hastaneleri - SİNA ÖZEL Sağlık Hizmetleri A.ş</x:v>
      </x:c>
      <x:c r="F23" s="25" t="str">
        <x:v>Instagram gönderisi: Gebelikte bel ağrısı sık...</x:v>
      </x:c>
      <x:c r="G23" s="25" t="str">
        <x:v>​120255738326270399</x:v>
      </x:c>
      <x:c r="H23" s="25" t="str">
        <x:v>ACTIVE</x:v>
      </x:c>
      <x:c r="I23" s="25" t="str">
        <x:v>Kampanya</x:v>
      </x:c>
      <x:c r="J23" s="27" t="n">
        <x:v>1000</x:v>
      </x:c>
      <x:c r="K23" s="27" t="n">
        <x:v>0</x:v>
      </x:c>
      <x:c r="L23" s="27" t="n">
        <x:v>4578.52</x:v>
      </x:c>
      <x:c r="M23" s="27" t="n">
        <x:v>0</x:v>
      </x:c>
      <x:c r="N23" s="27" t="n">
        <x:v>4578.52</x:v>
      </x:c>
      <x:c r="O23" s="29" t="n">
        <x:f>IFERROR(N23/SUMIFS($N$5:$N$47,$A$5:$A$47,A23,$C$5:$C$47,C23,$D$5:$D$47,D23),0)</x:f>
        <x:v>0.1099448705184784</x:v>
      </x:c>
      <x:c r="P23" s="28" t="n">
        <x:v>0</x:v>
      </x:c>
      <x:c r="Q23" s="28" t="n">
        <x:v>0</x:v>
      </x:c>
      <x:c r="R23" s="28" t="n">
        <x:v>0</x:v>
      </x:c>
      <x:c r="S23" s="28" t="n">
        <x:v>1</x:v>
      </x:c>
      <x:c r="T23" s="28" t="n">
        <x:v>11669</x:v>
      </x:c>
      <x:c r="U23" s="27" t="n">
        <x:f>IFERROR(N23/R23,0)</x:f>
        <x:v>0</x:v>
      </x:c>
      <x:c r="V23" s="28" t="n">
        <x:v>1</x:v>
      </x:c>
    </x:row>
    <x:row r="24">
      <x:c r="A24" s="25" t="str">
        <x:v>Yerli</x:v>
      </x:c>
      <x:c r="B24" s="25" t="str">
        <x:v>Türkçe</x:v>
      </x:c>
      <x:c r="C24" s="25" t="str">
        <x:v>Bilinirlik / İzlenme / Trafik</x:v>
      </x:c>
      <x:c r="D24" s="25" t="str">
        <x:v>Doktor Kampanyası</x:v>
      </x:c>
      <x:c r="E24" s="25" t="str">
        <x:v>Doruk Hastaneleri - SİNA ÖZEL Sağlık Hizmetleri A.ş</x:v>
      </x:c>
      <x:c r="F24" s="25" t="str">
        <x:v>Doktor - Bilinirlik Kampanyası - Çekirge</x:v>
      </x:c>
      <x:c r="G24" s="25" t="str">
        <x:v>​120255763855030399</x:v>
      </x:c>
      <x:c r="H24" s="25" t="str">
        <x:v>ACTIVE</x:v>
      </x:c>
      <x:c r="I24" s="25" t="str">
        <x:v>Reklam Seti</x:v>
      </x:c>
      <x:c r="J24" s="27" t="n">
        <x:v>2200</x:v>
      </x:c>
      <x:c r="K24" s="27" t="n">
        <x:v>0</x:v>
      </x:c>
      <x:c r="L24" s="27" t="n">
        <x:v>12218.210000000001</x:v>
      </x:c>
      <x:c r="M24" s="27" t="n">
        <x:v>9978.580000000002</x:v>
      </x:c>
      <x:c r="N24" s="27" t="n">
        <x:v>22196.79</x:v>
      </x:c>
      <x:c r="O24" s="29" t="n">
        <x:f>IFERROR(N24/SUMIFS($N$5:$N$47,$A$5:$A$47,A24,$C$5:$C$47,C24,$D$5:$D$47,D24),0)</x:f>
        <x:v>0.10219421061580317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134335</x:v>
      </x:c>
      <x:c r="U24" s="27" t="n">
        <x:f>IFERROR(N24/R24,0)</x:f>
        <x:v>0</x:v>
      </x:c>
      <x:c r="V24" s="28" t="n">
        <x:v>22</x:v>
      </x:c>
    </x:row>
    <x:row r="25">
      <x:c r="A25" s="25" t="str">
        <x:v>Yerli</x:v>
      </x:c>
      <x:c r="B25" s="25" t="str">
        <x:v>Türkçe</x:v>
      </x:c>
      <x:c r="C25" s="25" t="str">
        <x:v>Bilinirlik / İzlenme / Trafik</x:v>
      </x:c>
      <x:c r="D25" s="25" t="str">
        <x:v>Doktor Kampanyası</x:v>
      </x:c>
      <x:c r="E25" s="25" t="str">
        <x:v>Doruk Hastaneleri - SİNA ÖZEL Sağlık Hizmetleri A.ş</x:v>
      </x:c>
      <x:c r="F25" s="25" t="str">
        <x:v>Doktor - Bilinirlik Kampanyası - Nilüfer</x:v>
      </x:c>
      <x:c r="G25" s="25" t="str">
        <x:v>​120249061996540399</x:v>
      </x:c>
      <x:c r="H25" s="25" t="str">
        <x:v>ACTIVE</x:v>
      </x:c>
      <x:c r="I25" s="25" t="str">
        <x:v>Reklam Seti</x:v>
      </x:c>
      <x:c r="J25" s="27" t="n">
        <x:v>5300</x:v>
      </x:c>
      <x:c r="K25" s="27" t="n">
        <x:v>0</x:v>
      </x:c>
      <x:c r="L25" s="27" t="n">
        <x:v>123147.00000000003</x:v>
      </x:c>
      <x:c r="M25" s="27" t="n">
        <x:v>24556.92999999999</x:v>
      </x:c>
      <x:c r="N25" s="27" t="n">
        <x:v>147703.93000000002</x:v>
      </x:c>
      <x:c r="O25" s="29" t="n">
        <x:f>IFERROR(N25/SUMIFS($N$5:$N$47,$A$5:$A$47,A25,$C$5:$C$47,C25,$D$5:$D$47,D25),0)</x:f>
        <x:v>0.6800301544143027</x:v>
      </x:c>
      <x:c r="P25" s="28" t="n">
        <x:v>0</x:v>
      </x:c>
      <x:c r="Q25" s="28" t="n">
        <x:v>0</x:v>
      </x:c>
      <x:c r="R25" s="28" t="n">
        <x:v>0</x:v>
      </x:c>
      <x:c r="S25" s="28" t="n">
        <x:v>1</x:v>
      </x:c>
      <x:c r="T25" s="28" t="n">
        <x:v>677252</x:v>
      </x:c>
      <x:c r="U25" s="27" t="n">
        <x:f>IFERROR(N25/R25,0)</x:f>
        <x:v>0</x:v>
      </x:c>
      <x:c r="V25" s="28" t="n">
        <x:v>53</x:v>
      </x:c>
    </x:row>
    <x:row r="26">
      <x:c r="A26" s="25" t="str">
        <x:v>Yerli</x:v>
      </x:c>
      <x:c r="B26" s="25" t="str">
        <x:v>Türkçe</x:v>
      </x:c>
      <x:c r="C26" s="25" t="str">
        <x:v>Bilinirlik / İzlenme / Trafik</x:v>
      </x:c>
      <x:c r="D26" s="25" t="str">
        <x:v>Doktor Kampanyası</x:v>
      </x:c>
      <x:c r="E26" s="25" t="str">
        <x:v>Doruk Hastaneleri - SİNA ÖZEL Sağlık Hizmetleri A.ş</x:v>
      </x:c>
      <x:c r="F26" s="25" t="str">
        <x:v>Doktor - Bilinirlik Kampanyası - Yıldırım</x:v>
      </x:c>
      <x:c r="G26" s="25" t="str">
        <x:v>​120255158812950399</x:v>
      </x:c>
      <x:c r="H26" s="25" t="str">
        <x:v>ACTIVE</x:v>
      </x:c>
      <x:c r="I26" s="25" t="str">
        <x:v>Reklam Seti</x:v>
      </x:c>
      <x:c r="J26" s="27" t="n">
        <x:v>2800</x:v>
      </x:c>
      <x:c r="K26" s="27" t="n">
        <x:v>0</x:v>
      </x:c>
      <x:c r="L26" s="27" t="n">
        <x:v>34880.340000000004</x:v>
      </x:c>
      <x:c r="M26" s="27" t="n">
        <x:v>12420.970000000001</x:v>
      </x:c>
      <x:c r="N26" s="27" t="n">
        <x:v>47301.310000000005</x:v>
      </x:c>
      <x:c r="O26" s="29" t="n">
        <x:f>IFERROR(N26/SUMIFS($N$5:$N$47,$A$5:$A$47,A26,$C$5:$C$47,C26,$D$5:$D$47,D26),0)</x:f>
        <x:v>0.21777563496989416</x:v>
      </x:c>
      <x:c r="P26" s="28" t="n">
        <x:v>0</x:v>
      </x:c>
      <x:c r="Q26" s="28" t="n">
        <x:v>0</x:v>
      </x:c>
      <x:c r="R26" s="28" t="n">
        <x:v>0</x:v>
      </x:c>
      <x:c r="S26" s="28" t="n">
        <x:v>2</x:v>
      </x:c>
      <x:c r="T26" s="28" t="n">
        <x:v>284329</x:v>
      </x:c>
      <x:c r="U26" s="27" t="n">
        <x:f>IFERROR(N26/R26,0)</x:f>
        <x:v>0</x:v>
      </x:c>
      <x:c r="V26" s="28" t="n">
        <x:v>28</x:v>
      </x:c>
    </x:row>
    <x:row r="27">
      <x:c r="A27" s="25" t="str">
        <x:v>Yerli</x:v>
      </x:c>
      <x:c r="B27" s="25" t="str">
        <x:v>Türkçe</x:v>
      </x:c>
      <x:c r="C27" s="25" t="str">
        <x:v>Bilinirlik / İzlenme / Trafik</x:v>
      </x:c>
      <x:c r="D27" s="25" t="str">
        <x:v>Marka / Kurumsal</x:v>
      </x:c>
      <x:c r="E27" s="25" t="str">
        <x:v>Doruk Hastaneleri - SİNA ÖZEL Sağlık Hizmetleri A.ş</x:v>
      </x:c>
      <x:c r="F27" s="25" t="str">
        <x:v>ÖSS-TSS - marka bilinirliği</x:v>
      </x:c>
      <x:c r="G27" s="25" t="str">
        <x:v>​120246924981440399</x:v>
      </x:c>
      <x:c r="H27" s="25" t="str">
        <x:v>ACTIVE</x:v>
      </x:c>
      <x:c r="I27" s="25" t="str">
        <x:v>Reklam Seti</x:v>
      </x:c>
      <x:c r="J27" s="27" t="n">
        <x:v>2000</x:v>
      </x:c>
      <x:c r="K27" s="27" t="n">
        <x:v>0</x:v>
      </x:c>
      <x:c r="L27" s="27" t="n">
        <x:v>43225.72</x:v>
      </x:c>
      <x:c r="M27" s="27" t="n">
        <x:v>9690.48</x:v>
      </x:c>
      <x:c r="N27" s="27" t="n">
        <x:v>52916.2</x:v>
      </x:c>
      <x:c r="O27" s="29" t="n">
        <x:f>IFERROR(N27/SUMIFS($N$5:$N$47,$A$5:$A$47,A27,$C$5:$C$47,C27,$D$5:$D$47,D27),0)</x:f>
        <x:v>1</x:v>
      </x:c>
      <x:c r="P27" s="28" t="n">
        <x:v>0</x:v>
      </x:c>
      <x:c r="Q27" s="28" t="n">
        <x:v>0</x:v>
      </x:c>
      <x:c r="R27" s="28" t="n">
        <x:v>0</x:v>
      </x:c>
      <x:c r="S27" s="28" t="n">
        <x:v>13</x:v>
      </x:c>
      <x:c r="T27" s="28" t="n">
        <x:v>190874</x:v>
      </x:c>
      <x:c r="U27" s="27" t="n">
        <x:f>IFERROR(N27/R27,0)</x:f>
        <x:v>0</x:v>
      </x:c>
      <x:c r="V27" s="28" t="n">
        <x:v>2</x:v>
      </x:c>
    </x:row>
    <x:row r="28">
      <x:c r="A28" s="25" t="str">
        <x:v>Yerli</x:v>
      </x:c>
      <x:c r="B28" s="25" t="str">
        <x:v>Türkçe</x:v>
      </x:c>
      <x:c r="C28" s="25" t="str">
        <x:v>Bilinirlik / İzlenme / Trafik</x:v>
      </x:c>
      <x:c r="D28" s="25" t="str">
        <x:v>Medikal Estetik / Plastik Cerrahi</x:v>
      </x:c>
      <x:c r="E28" s="25" t="str">
        <x:v>Doruk Hastaneleri - SİNA ÖZEL Sağlık Hizmetleri A.ş</x:v>
      </x:c>
      <x:c r="F28" s="25" t="str">
        <x:v>Gönderi: "👃 Rinoplasti Ameliyatı Nedir? Yumuşak Doku Neden..."</x:v>
      </x:c>
      <x:c r="G28" s="25" t="str">
        <x:v>​120255739080510399</x:v>
      </x:c>
      <x:c r="H28" s="25" t="str">
        <x:v>ACTIVE</x:v>
      </x:c>
      <x:c r="I28" s="25" t="str">
        <x:v>Kampanya</x:v>
      </x:c>
      <x:c r="J28" s="27" t="n">
        <x:v>1000</x:v>
      </x:c>
      <x:c r="K28" s="27" t="n">
        <x:v>0</x:v>
      </x:c>
      <x:c r="L28" s="27" t="n">
        <x:v>5763.11</x:v>
      </x:c>
      <x:c r="M28" s="27" t="n">
        <x:v>4871.13</x:v>
      </x:c>
      <x:c r="N28" s="27" t="n">
        <x:v>10634.24</x:v>
      </x:c>
      <x:c r="O28" s="29" t="n">
        <x:f>IFERROR(N28/SUMIFS($N$5:$N$47,$A$5:$A$47,A28,$C$5:$C$47,C28,$D$5:$D$47,D28),0)</x:f>
        <x:v>0.3173161046373535</x:v>
      </x:c>
      <x:c r="P28" s="28" t="n">
        <x:v>0</x:v>
      </x:c>
      <x:c r="Q28" s="28" t="n">
        <x:v>0</x:v>
      </x:c>
      <x:c r="R28" s="28" t="n">
        <x:v>0</x:v>
      </x:c>
      <x:c r="S28" s="28" t="n">
        <x:v>5</x:v>
      </x:c>
      <x:c r="T28" s="28" t="n">
        <x:v>47872</x:v>
      </x:c>
      <x:c r="U28" s="27" t="n">
        <x:f>IFERROR(N28/R28,0)</x:f>
        <x:v>0</x:v>
      </x:c>
      <x:c r="V28" s="28" t="n">
        <x:v>1</x:v>
      </x:c>
    </x:row>
    <x:row r="29">
      <x:c r="A29" s="25" t="str">
        <x:v>Yerli</x:v>
      </x:c>
      <x:c r="B29" s="25" t="str">
        <x:v>Türkçe</x:v>
      </x:c>
      <x:c r="C29" s="25" t="str">
        <x:v>Bilinirlik / İzlenme / Trafik</x:v>
      </x:c>
      <x:c r="D29" s="25" t="str">
        <x:v>Medikal Estetik / Plastik Cerrahi</x:v>
      </x:c>
      <x:c r="E29" s="25" t="str">
        <x:v>Doruk Hastaneleri - SİNA ÖZEL Sağlık Hizmetleri A.ş</x:v>
      </x:c>
      <x:c r="F29" s="25" t="str">
        <x:v>Instagram gönderisi: 👃 Rinoplasti Ameliyatı...</x:v>
      </x:c>
      <x:c r="G29" s="25" t="str">
        <x:v>​120255739163090399</x:v>
      </x:c>
      <x:c r="H29" s="25" t="str">
        <x:v>ACTIVE</x:v>
      </x:c>
      <x:c r="I29" s="25" t="str">
        <x:v>Kampanya</x:v>
      </x:c>
      <x:c r="J29" s="27" t="n">
        <x:v>1000</x:v>
      </x:c>
      <x:c r="K29" s="27" t="n">
        <x:v>0</x:v>
      </x:c>
      <x:c r="L29" s="27" t="n">
        <x:v>5953.86</x:v>
      </x:c>
      <x:c r="M29" s="27" t="n">
        <x:v>3977.04</x:v>
      </x:c>
      <x:c r="N29" s="27" t="n">
        <x:v>9930.9</x:v>
      </x:c>
      <x:c r="O29" s="29" t="n">
        <x:f>IFERROR(N29/SUMIFS($N$5:$N$47,$A$5:$A$47,A29,$C$5:$C$47,C29,$D$5:$D$47,D29),0)</x:f>
        <x:v>0.29632907509545525</x:v>
      </x:c>
      <x:c r="P29" s="28" t="n">
        <x:v>0</x:v>
      </x:c>
      <x:c r="Q29" s="28" t="n">
        <x:v>0</x:v>
      </x:c>
      <x:c r="R29" s="28" t="n">
        <x:v>0</x:v>
      </x:c>
      <x:c r="S29" s="28" t="n">
        <x:v>4</x:v>
      </x:c>
      <x:c r="T29" s="28" t="n">
        <x:v>58822</x:v>
      </x:c>
      <x:c r="U29" s="27" t="n">
        <x:f>IFERROR(N29/R29,0)</x:f>
        <x:v>0</x:v>
      </x:c>
      <x:c r="V29" s="28" t="n">
        <x:v>1</x:v>
      </x:c>
    </x:row>
    <x:row r="30">
      <x:c r="A30" s="25" t="str">
        <x:v>Yerli</x:v>
      </x:c>
      <x:c r="B30" s="25" t="str">
        <x:v>Türkçe</x:v>
      </x:c>
      <x:c r="C30" s="25" t="str">
        <x:v>Bilinirlik / İzlenme / Trafik</x:v>
      </x:c>
      <x:c r="D30" s="25" t="str">
        <x:v>Medikal Estetik / Plastik Cerrahi</x:v>
      </x:c>
      <x:c r="E30" s="25" t="str">
        <x:v>Doruk Hastaneleri - SİNA ÖZEL Sağlık Hizmetleri A.ş</x:v>
      </x:c>
      <x:c r="F30" s="25" t="str">
        <x:v>Instagram gönderisi: Medikal estetik alanındaki...</x:v>
      </x:c>
      <x:c r="G30" s="25" t="str">
        <x:v>​120252323141170399</x:v>
      </x:c>
      <x:c r="H30" s="25" t="str">
        <x:v>ACTIVE</x:v>
      </x:c>
      <x:c r="I30" s="25" t="str">
        <x:v>Kampanya</x:v>
      </x:c>
      <x:c r="J30" s="27" t="n">
        <x:v>500</x:v>
      </x:c>
      <x:c r="K30" s="27" t="n">
        <x:v>0</x:v>
      </x:c>
      <x:c r="L30" s="27" t="n">
        <x:v>10694.54</x:v>
      </x:c>
      <x:c r="M30" s="27" t="n">
        <x:v>2253.4</x:v>
      </x:c>
      <x:c r="N30" s="27" t="n">
        <x:v>12947.94</x:v>
      </x:c>
      <x:c r="O30" s="29" t="n">
        <x:f>IFERROR(N30/SUMIFS($N$5:$N$47,$A$5:$A$47,A30,$C$5:$C$47,C30,$D$5:$D$47,D30),0)</x:f>
        <x:v>0.3863548202671912</x:v>
      </x:c>
      <x:c r="P30" s="28" t="n">
        <x:v>0</x:v>
      </x:c>
      <x:c r="Q30" s="28" t="n">
        <x:v>0</x:v>
      </x:c>
      <x:c r="R30" s="28" t="n">
        <x:v>0</x:v>
      </x:c>
      <x:c r="S30" s="28" t="n">
        <x:v>4</x:v>
      </x:c>
      <x:c r="T30" s="28" t="n">
        <x:v>59115</x:v>
      </x:c>
      <x:c r="U30" s="27" t="n">
        <x:f>IFERROR(N30/R30,0)</x:f>
        <x:v>0</x:v>
      </x:c>
      <x:c r="V30" s="28" t="n">
        <x:v>1</x:v>
      </x:c>
    </x:row>
    <x:row r="31">
      <x:c r="A31" s="25" t="str">
        <x:v>Yerli</x:v>
      </x:c>
      <x:c r="B31" s="25" t="str">
        <x:v>Türkçe</x:v>
      </x:c>
      <x:c r="C31" s="25" t="str">
        <x:v>Bilinirlik / İzlenme / Trafik</x:v>
      </x:c>
      <x:c r="D31" s="25" t="str">
        <x:v>Onkoloji</x:v>
      </x:c>
      <x:c r="E31" s="25" t="str">
        <x:v>Doruk Hastaneleri - SİNA ÖZEL Sağlık Hizmetleri A.ş</x:v>
      </x:c>
      <x:c r="F31" s="25" t="str">
        <x:v>Instagram gönderisi: 🎗️ Kanser Tanısı Fizik...</x:v>
      </x:c>
      <x:c r="G31" s="25" t="str">
        <x:v>​120255739336980399</x:v>
      </x:c>
      <x:c r="H31" s="25" t="str">
        <x:v>ACTIVE</x:v>
      </x:c>
      <x:c r="I31" s="25" t="str">
        <x:v>Kampanya</x:v>
      </x:c>
      <x:c r="J31" s="27" t="n">
        <x:v>1000</x:v>
      </x:c>
      <x:c r="K31" s="27" t="n">
        <x:v>0</x:v>
      </x:c>
      <x:c r="L31" s="27" t="n">
        <x:v>4298.33</x:v>
      </x:c>
      <x:c r="M31" s="27" t="n">
        <x:v>0</x:v>
      </x:c>
      <x:c r="N31" s="27" t="n">
        <x:v>4298.33</x:v>
      </x:c>
      <x:c r="O31" s="29" t="n">
        <x:f>IFERROR(N31/SUMIFS($N$5:$N$47,$A$5:$A$47,A31,$C$5:$C$47,C31,$D$5:$D$47,D31),0)</x:f>
        <x:v>1</x:v>
      </x:c>
      <x:c r="P31" s="28" t="n">
        <x:v>0</x:v>
      </x:c>
      <x:c r="Q31" s="28" t="n">
        <x:v>0</x:v>
      </x:c>
      <x:c r="R31" s="28" t="n">
        <x:v>0</x:v>
      </x:c>
      <x:c r="S31" s="28" t="n">
        <x:v>5</x:v>
      </x:c>
      <x:c r="T31" s="28" t="n">
        <x:v>12029</x:v>
      </x:c>
      <x:c r="U31" s="27" t="n">
        <x:f>IFERROR(N31/R31,0)</x:f>
        <x:v>0</x:v>
      </x:c>
      <x:c r="V31" s="28" t="n">
        <x:v>1</x:v>
      </x:c>
    </x:row>
    <x:row r="32">
      <x:c r="A32" s="25" t="str">
        <x:v>Yerli</x:v>
      </x:c>
      <x:c r="B32" s="25" t="str">
        <x:v>Türkçe</x:v>
      </x:c>
      <x:c r="C32" s="25" t="str">
        <x:v>Lead</x:v>
      </x:c>
      <x:c r="D32" s="25" t="str">
        <x:v>Check-up</x:v>
      </x:c>
      <x:c r="E32" s="25" t="str">
        <x:v>Doruk Hastaneleri - SİNA ÖZEL Sağlık Hizmetleri A.ş</x:v>
      </x:c>
      <x:c r="F32" s="25" t="str">
        <x:v>Checkup - genel - lead</x:v>
      </x:c>
      <x:c r="G32" s="25" t="str">
        <x:v>​120220089108220399</x:v>
      </x:c>
      <x:c r="H32" s="25" t="str">
        <x:v>ACTIVE</x:v>
      </x:c>
      <x:c r="I32" s="25" t="str">
        <x:v>Reklam Seti</x:v>
      </x:c>
      <x:c r="J32" s="27" t="n">
        <x:v>1000</x:v>
      </x:c>
      <x:c r="K32" s="27" t="n">
        <x:v>0</x:v>
      </x:c>
      <x:c r="L32" s="27" t="n">
        <x:v>21532.59</x:v>
      </x:c>
      <x:c r="M32" s="27" t="n">
        <x:v>4630.280000000001</x:v>
      </x:c>
      <x:c r="N32" s="27" t="n">
        <x:v>26162.870000000003</x:v>
      </x:c>
      <x:c r="O32" s="29" t="n">
        <x:f>IFERROR(N32/SUMIFS($N$5:$N$47,$A$5:$A$47,A32,$C$5:$C$47,C32,$D$5:$D$47,D32),0)</x:f>
        <x:v>0.6428479462818913</x:v>
      </x:c>
      <x:c r="P32" s="28" t="n">
        <x:v>74</x:v>
      </x:c>
      <x:c r="Q32" s="28" t="n">
        <x:v>0</x:v>
      </x:c>
      <x:c r="R32" s="28" t="n">
        <x:v>74</x:v>
      </x:c>
      <x:c r="S32" s="28" t="n">
        <x:v>69</x:v>
      </x:c>
      <x:c r="T32" s="28" t="n">
        <x:v>27593</x:v>
      </x:c>
      <x:c r="U32" s="27" t="n">
        <x:f>IFERROR(N32/R32,0)</x:f>
        <x:v>353.55229729729734</x:v>
      </x:c>
      <x:c r="V32" s="28" t="n">
        <x:v>9</x:v>
      </x:c>
    </x:row>
    <x:row r="33">
      <x:c r="A33" s="25" t="str">
        <x:v>Yerli</x:v>
      </x:c>
      <x:c r="B33" s="25" t="str">
        <x:v>Türkçe</x:v>
      </x:c>
      <x:c r="C33" s="25" t="str">
        <x:v>Lead</x:v>
      </x:c>
      <x:c r="D33" s="25" t="str">
        <x:v>Check-up</x:v>
      </x:c>
      <x:c r="E33" s="25" t="str">
        <x:v>Doruk Hastaneleri - SİNA ÖZEL Sağlık Hizmetleri A.ş</x:v>
      </x:c>
      <x:c r="F33" s="25" t="str">
        <x:v>Prostat Checkup - lead</x:v>
      </x:c>
      <x:c r="G33" s="25" t="str">
        <x:v>​120251414264130399</x:v>
      </x:c>
      <x:c r="H33" s="25" t="str">
        <x:v>ACTIVE</x:v>
      </x:c>
      <x:c r="I33" s="25" t="str">
        <x:v>Reklam Seti</x:v>
      </x:c>
      <x:c r="J33" s="27" t="n">
        <x:v>500</x:v>
      </x:c>
      <x:c r="K33" s="27" t="n">
        <x:v>0</x:v>
      </x:c>
      <x:c r="L33" s="27" t="n">
        <x:v>11901.29</x:v>
      </x:c>
      <x:c r="M33" s="27" t="n">
        <x:v>2634.22</x:v>
      </x:c>
      <x:c r="N33" s="27" t="n">
        <x:v>14535.51</x:v>
      </x:c>
      <x:c r="O33" s="29" t="n">
        <x:f>IFERROR(N33/SUMIFS($N$5:$N$47,$A$5:$A$47,A33,$C$5:$C$47,C33,$D$5:$D$47,D33),0)</x:f>
        <x:v>0.35715205371810865</x:v>
      </x:c>
      <x:c r="P33" s="28" t="n">
        <x:v>105</x:v>
      </x:c>
      <x:c r="Q33" s="28" t="n">
        <x:v>0</x:v>
      </x:c>
      <x:c r="R33" s="28" t="n">
        <x:v>105</x:v>
      </x:c>
      <x:c r="S33" s="28" t="n">
        <x:v>103</x:v>
      </x:c>
      <x:c r="T33" s="28" t="n">
        <x:v>9026</x:v>
      </x:c>
      <x:c r="U33" s="27" t="n">
        <x:f>IFERROR(N33/R33,0)</x:f>
        <x:v>138.43342857142858</x:v>
      </x:c>
      <x:c r="V33" s="28" t="n">
        <x:v>1</x:v>
      </x:c>
    </x:row>
    <x:row r="34">
      <x:c r="A34" s="25" t="str">
        <x:v>Yerli</x:v>
      </x:c>
      <x:c r="B34" s="25" t="str">
        <x:v>Türkçe</x:v>
      </x:c>
      <x:c r="C34" s="25" t="str">
        <x:v>Lead</x:v>
      </x:c>
      <x:c r="D34" s="25" t="str">
        <x:v>Diğer / Sınıflandırılacak</x:v>
      </x:c>
      <x:c r="E34" s="25" t="str">
        <x:v>Doruk Hastaneleri - SİNA ÖZEL Sağlık Hizmetleri A.ş</x:v>
      </x:c>
      <x:c r="F34" s="25" t="str">
        <x:v>Baş Dönmesi ve Denge Ünitesi / lead</x:v>
      </x:c>
      <x:c r="G34" s="25" t="str">
        <x:v>​120214167265870399</x:v>
      </x:c>
      <x:c r="H34" s="25" t="str">
        <x:v>ACTIVE</x:v>
      </x:c>
      <x:c r="I34" s="25" t="str">
        <x:v>Reklam Seti</x:v>
      </x:c>
      <x:c r="J34" s="27" t="n">
        <x:v>350</x:v>
      </x:c>
      <x:c r="K34" s="27" t="n">
        <x:v>0</x:v>
      </x:c>
      <x:c r="L34" s="27" t="n">
        <x:v>8115.76</x:v>
      </x:c>
      <x:c r="M34" s="27" t="n">
        <x:v>1664.84</x:v>
      </x:c>
      <x:c r="N34" s="27" t="n">
        <x:v>9780.6</x:v>
      </x:c>
      <x:c r="O34" s="29" t="n">
        <x:f>IFERROR(N34/SUMIFS($N$5:$N$47,$A$5:$A$47,A34,$C$5:$C$47,C34,$D$5:$D$47,D34),0)</x:f>
        <x:v>1</x:v>
      </x:c>
      <x:c r="P34" s="28" t="n">
        <x:v>79</x:v>
      </x:c>
      <x:c r="Q34" s="28" t="n">
        <x:v>0</x:v>
      </x:c>
      <x:c r="R34" s="28" t="n">
        <x:v>79</x:v>
      </x:c>
      <x:c r="S34" s="28" t="n">
        <x:v>73</x:v>
      </x:c>
      <x:c r="T34" s="28" t="n">
        <x:v>16873</x:v>
      </x:c>
      <x:c r="U34" s="27" t="n">
        <x:f>IFERROR(N34/R34,0)</x:f>
        <x:v>123.80506329113925</x:v>
      </x:c>
      <x:c r="V34" s="28" t="n">
        <x:v>1</x:v>
      </x:c>
    </x:row>
    <x:row r="35">
      <x:c r="A35" s="25" t="str">
        <x:v>Yerli</x:v>
      </x:c>
      <x:c r="B35" s="25" t="str">
        <x:v>Türkçe</x:v>
      </x:c>
      <x:c r="C35" s="25" t="str">
        <x:v>Lead</x:v>
      </x:c>
      <x:c r="D35" s="25" t="str">
        <x:v>Doğum Kampanyası</x:v>
      </x:c>
      <x:c r="E35" s="25" t="str">
        <x:v>Doruk Hastaneleri - SİNA ÖZEL Sağlık Hizmetleri A.ş</x:v>
      </x:c>
      <x:c r="F35" s="25" t="str">
        <x:v>Gebe-Doğum Form Kampanyası</x:v>
      </x:c>
      <x:c r="G35" s="25" t="str">
        <x:v>​120242415465180399</x:v>
      </x:c>
      <x:c r="H35" s="25" t="str">
        <x:v>ACTIVE</x:v>
      </x:c>
      <x:c r="I35" s="25" t="str">
        <x:v>Reklam Seti</x:v>
      </x:c>
      <x:c r="J35" s="27" t="n">
        <x:v>7000</x:v>
      </x:c>
      <x:c r="K35" s="27" t="n">
        <x:v>0</x:v>
      </x:c>
      <x:c r="L35" s="27" t="n">
        <x:v>160130.56</x:v>
      </x:c>
      <x:c r="M35" s="27" t="n">
        <x:v>36237.03</x:v>
      </x:c>
      <x:c r="N35" s="27" t="n">
        <x:v>196367.59</x:v>
      </x:c>
      <x:c r="O35" s="29" t="n">
        <x:f>IFERROR(N35/SUMIFS($N$5:$N$47,$A$5:$A$47,A35,$C$5:$C$47,C35,$D$5:$D$47,D35),0)</x:f>
        <x:v>1</x:v>
      </x:c>
      <x:c r="P35" s="28" t="n">
        <x:v>613</x:v>
      </x:c>
      <x:c r="Q35" s="28" t="n">
        <x:v>0</x:v>
      </x:c>
      <x:c r="R35" s="28" t="n">
        <x:v>613</x:v>
      </x:c>
      <x:c r="S35" s="28" t="n">
        <x:v>74</x:v>
      </x:c>
      <x:c r="T35" s="28" t="n">
        <x:v>91534</x:v>
      </x:c>
      <x:c r="U35" s="27" t="n">
        <x:f>IFERROR(N35/R35,0)</x:f>
        <x:v>320.3386460032626</x:v>
      </x:c>
      <x:c r="V35" s="28" t="n">
        <x:v>3</x:v>
      </x:c>
    </x:row>
    <x:row r="36">
      <x:c r="A36" s="25" t="str">
        <x:v>Yerli</x:v>
      </x:c>
      <x:c r="B36" s="25" t="str">
        <x:v>Türkçe</x:v>
      </x:c>
      <x:c r="C36" s="25" t="str">
        <x:v>Lead</x:v>
      </x:c>
      <x:c r="D36" s="25" t="str">
        <x:v>Fizik Tedavi / Rehabilitasyon</x:v>
      </x:c>
      <x:c r="E36" s="25" t="str">
        <x:v>Doruk Hastaneleri - SİNA ÖZEL Sağlık Hizmetleri A.ş</x:v>
      </x:c>
      <x:c r="F36" s="25" t="str">
        <x:v>FTR Yatılı - lead</x:v>
      </x:c>
      <x:c r="G36" s="25" t="str">
        <x:v>​120246476228800399</x:v>
      </x:c>
      <x:c r="H36" s="25" t="str">
        <x:v>ACTIVE</x:v>
      </x:c>
      <x:c r="I36" s="25" t="str">
        <x:v>Reklam Seti</x:v>
      </x:c>
      <x:c r="J36" s="27" t="n">
        <x:v>4000</x:v>
      </x:c>
      <x:c r="K36" s="27" t="n">
        <x:v>0</x:v>
      </x:c>
      <x:c r="L36" s="27" t="n">
        <x:v>90669.2</x:v>
      </x:c>
      <x:c r="M36" s="27" t="n">
        <x:v>20625.16</x:v>
      </x:c>
      <x:c r="N36" s="27" t="n">
        <x:v>111294.36</x:v>
      </x:c>
      <x:c r="O36" s="29" t="n">
        <x:f>IFERROR(N36/SUMIFS($N$5:$N$47,$A$5:$A$47,A36,$C$5:$C$47,C36,$D$5:$D$47,D36),0)</x:f>
        <x:v>1</x:v>
      </x:c>
      <x:c r="P36" s="28" t="n">
        <x:v>163</x:v>
      </x:c>
      <x:c r="Q36" s="28" t="n">
        <x:v>0</x:v>
      </x:c>
      <x:c r="R36" s="28" t="n">
        <x:v>163</x:v>
      </x:c>
      <x:c r="S36" s="28" t="n">
        <x:v>33</x:v>
      </x:c>
      <x:c r="T36" s="28" t="n">
        <x:v>245450</x:v>
      </x:c>
      <x:c r="U36" s="27" t="n">
        <x:f>IFERROR(N36/R36,0)</x:f>
        <x:v>682.7874846625767</x:v>
      </x:c>
      <x:c r="V36" s="28" t="n">
        <x:v>3</x:v>
      </x:c>
    </x:row>
    <x:row r="37">
      <x:c r="A37" s="25" t="str">
        <x:v>Yerli</x:v>
      </x:c>
      <x:c r="B37" s="25" t="str">
        <x:v>Türkçe</x:v>
      </x:c>
      <x:c r="C37" s="25" t="str">
        <x:v>Lead</x:v>
      </x:c>
      <x:c r="D37" s="25" t="str">
        <x:v>İnsan Kaynakları</x:v>
      </x:c>
      <x:c r="E37" s="25" t="str">
        <x:v>Doruk Hastaneleri - SİNA ÖZEL Sağlık Hizmetleri A.ş</x:v>
      </x:c>
      <x:c r="F37" s="25" t="str">
        <x:v>Hemşire İş Başvuru - lead</x:v>
      </x:c>
      <x:c r="G37" s="25" t="str">
        <x:v>​120246691590090399</x:v>
      </x:c>
      <x:c r="H37" s="25" t="str">
        <x:v>ACTIVE</x:v>
      </x:c>
      <x:c r="I37" s="25" t="str">
        <x:v>Reklam Seti</x:v>
      </x:c>
      <x:c r="J37" s="27" t="n">
        <x:v>1000</x:v>
      </x:c>
      <x:c r="K37" s="27" t="n">
        <x:v>0</x:v>
      </x:c>
      <x:c r="L37" s="27" t="n">
        <x:v>22618.18</x:v>
      </x:c>
      <x:c r="M37" s="27" t="n">
        <x:v>4948.45</x:v>
      </x:c>
      <x:c r="N37" s="27" t="n">
        <x:v>27566.63</x:v>
      </x:c>
      <x:c r="O37" s="29" t="n">
        <x:f>IFERROR(N37/SUMIFS($N$5:$N$47,$A$5:$A$47,A37,$C$5:$C$47,C37,$D$5:$D$47,D37),0)</x:f>
        <x:v>0.5043082741181942</x:v>
      </x:c>
      <x:c r="P37" s="28" t="n">
        <x:v>77</x:v>
      </x:c>
      <x:c r="Q37" s="28" t="n">
        <x:v>0</x:v>
      </x:c>
      <x:c r="R37" s="28" t="n">
        <x:v>77</x:v>
      </x:c>
      <x:c r="S37" s="28" t="n">
        <x:v>73</x:v>
      </x:c>
      <x:c r="T37" s="28" t="n">
        <x:v>0</x:v>
      </x:c>
      <x:c r="U37" s="27" t="n">
        <x:f>IFERROR(N37/R37,0)</x:f>
        <x:v>358.0081818181818</x:v>
      </x:c>
      <x:c r="V37" s="28" t="n">
        <x:v>1</x:v>
      </x:c>
    </x:row>
    <x:row r="38">
      <x:c r="A38" s="25" t="str">
        <x:v>Yerli</x:v>
      </x:c>
      <x:c r="B38" s="25" t="str">
        <x:v>Türkçe</x:v>
      </x:c>
      <x:c r="C38" s="25" t="str">
        <x:v>Lead</x:v>
      </x:c>
      <x:c r="D38" s="25" t="str">
        <x:v>İnsan Kaynakları</x:v>
      </x:c>
      <x:c r="E38" s="25" t="str">
        <x:v>Doruk Hastaneleri - SİNA ÖZEL Sağlık Hizmetleri A.ş</x:v>
      </x:c>
      <x:c r="F38" s="25" t="str">
        <x:v>Uzman Hekim Başvuru</x:v>
      </x:c>
      <x:c r="G38" s="25" t="str">
        <x:v>​120244050701710399</x:v>
      </x:c>
      <x:c r="H38" s="25" t="str">
        <x:v>ACTIVE</x:v>
      </x:c>
      <x:c r="I38" s="25" t="str">
        <x:v>Kampanya</x:v>
      </x:c>
      <x:c r="J38" s="27" t="n">
        <x:v>1000</x:v>
      </x:c>
      <x:c r="K38" s="27" t="n">
        <x:v>0</x:v>
      </x:c>
      <x:c r="L38" s="27" t="n">
        <x:v>22472.44</x:v>
      </x:c>
      <x:c r="M38" s="27" t="n">
        <x:v>4623.19</x:v>
      </x:c>
      <x:c r="N38" s="27" t="n">
        <x:v>27095.629999999997</x:v>
      </x:c>
      <x:c r="O38" s="29" t="n">
        <x:f>IFERROR(N38/SUMIFS($N$5:$N$47,$A$5:$A$47,A38,$C$5:$C$47,C38,$D$5:$D$47,D38),0)</x:f>
        <x:v>0.4956917258818058</x:v>
      </x:c>
      <x:c r="P38" s="28" t="n">
        <x:v>140</x:v>
      </x:c>
      <x:c r="Q38" s="28" t="n">
        <x:v>0</x:v>
      </x:c>
      <x:c r="R38" s="28" t="n">
        <x:v>140</x:v>
      </x:c>
      <x:c r="S38" s="28" t="n">
        <x:v>3</x:v>
      </x:c>
      <x:c r="T38" s="28" t="n">
        <x:v>0</x:v>
      </x:c>
      <x:c r="U38" s="27" t="n">
        <x:f>IFERROR(N38/R38,0)</x:f>
        <x:v>193.54021428571426</x:v>
      </x:c>
      <x:c r="V38" s="28" t="n">
        <x:v>1</x:v>
      </x:c>
    </x:row>
    <x:row r="39">
      <x:c r="A39" s="25" t="str">
        <x:v>Yerli</x:v>
      </x:c>
      <x:c r="B39" s="25" t="str">
        <x:v>Türkçe</x:v>
      </x:c>
      <x:c r="C39" s="25" t="str">
        <x:v>Lead</x:v>
      </x:c>
      <x:c r="D39" s="25" t="str">
        <x:v>Medikal Estetik / Plastik Cerrahi</x:v>
      </x:c>
      <x:c r="E39" s="25" t="str">
        <x:v>Doruk Hastaneleri - SİNA ÖZEL Sağlık Hizmetleri A.ş</x:v>
      </x:c>
      <x:c r="F39" s="25" t="str">
        <x:v>ABO / Göz Kapağı Estetiği / plastik cerrahi / lead</x:v>
      </x:c>
      <x:c r="G39" s="25" t="str">
        <x:v>​120211731920800399</x:v>
      </x:c>
      <x:c r="H39" s="25" t="str">
        <x:v>ACTIVE</x:v>
      </x:c>
      <x:c r="I39" s="25" t="str">
        <x:v>Reklam Seti</x:v>
      </x:c>
      <x:c r="J39" s="27" t="n">
        <x:v>300</x:v>
      </x:c>
      <x:c r="K39" s="27" t="n">
        <x:v>0</x:v>
      </x:c>
      <x:c r="L39" s="27" t="n">
        <x:v>6070.59</x:v>
      </x:c>
      <x:c r="M39" s="27" t="n">
        <x:v>1101.94</x:v>
      </x:c>
      <x:c r="N39" s="27" t="n">
        <x:v>7172.530000000001</x:v>
      </x:c>
      <x:c r="O39" s="29" t="n">
        <x:f>IFERROR(N39/SUMIFS($N$5:$N$47,$A$5:$A$47,A39,$C$5:$C$47,C39,$D$5:$D$47,D39),0)</x:f>
        <x:v>0.048591397343184586</x:v>
      </x:c>
      <x:c r="P39" s="28" t="n">
        <x:v>24</x:v>
      </x:c>
      <x:c r="Q39" s="28" t="n">
        <x:v>0</x:v>
      </x:c>
      <x:c r="R39" s="28" t="n">
        <x:v>24</x:v>
      </x:c>
      <x:c r="S39" s="28" t="n">
        <x:v>5</x:v>
      </x:c>
      <x:c r="T39" s="28" t="n">
        <x:v>0</x:v>
      </x:c>
      <x:c r="U39" s="27" t="n">
        <x:f>IFERROR(N39/R39,0)</x:f>
        <x:v>298.8554166666667</x:v>
      </x:c>
      <x:c r="V39" s="28" t="n">
        <x:v>1</x:v>
      </x:c>
    </x:row>
    <x:row r="40">
      <x:c r="A40" s="25" t="str">
        <x:v>Yerli</x:v>
      </x:c>
      <x:c r="B40" s="25" t="str">
        <x:v>Türkçe</x:v>
      </x:c>
      <x:c r="C40" s="25" t="str">
        <x:v>Lead</x:v>
      </x:c>
      <x:c r="D40" s="25" t="str">
        <x:v>Medikal Estetik / Plastik Cerrahi</x:v>
      </x:c>
      <x:c r="E40" s="25" t="str">
        <x:v>Doruk Hastaneleri - SİNA ÖZEL Sağlık Hizmetleri A.ş</x:v>
      </x:c>
      <x:c r="F40" s="25" t="str">
        <x:v>ABO / Medikal Estetik lead / 16.04.2026</x:v>
      </x:c>
      <x:c r="G40" s="25" t="str">
        <x:v>​120248812698040399</x:v>
      </x:c>
      <x:c r="H40" s="25" t="str">
        <x:v>ACTIVE</x:v>
      </x:c>
      <x:c r="I40" s="25" t="str">
        <x:v>Reklam Seti</x:v>
      </x:c>
      <x:c r="J40" s="27" t="n">
        <x:v>2400</x:v>
      </x:c>
      <x:c r="K40" s="27" t="n">
        <x:v>0</x:v>
      </x:c>
      <x:c r="L40" s="27" t="n">
        <x:v>56408.89</x:v>
      </x:c>
      <x:c r="M40" s="27" t="n">
        <x:v>12353.61</x:v>
      </x:c>
      <x:c r="N40" s="27" t="n">
        <x:v>68762.5</x:v>
      </x:c>
      <x:c r="O40" s="29" t="n">
        <x:f>IFERROR(N40/SUMIFS($N$5:$N$47,$A$5:$A$47,A40,$C$5:$C$47,C40,$D$5:$D$47,D40),0)</x:f>
        <x:v>0.4658420333983587</x:v>
      </x:c>
      <x:c r="P40" s="28" t="n">
        <x:v>613</x:v>
      </x:c>
      <x:c r="Q40" s="28" t="n">
        <x:v>0</x:v>
      </x:c>
      <x:c r="R40" s="28" t="n">
        <x:v>613</x:v>
      </x:c>
      <x:c r="S40" s="28" t="n">
        <x:v>637</x:v>
      </x:c>
      <x:c r="T40" s="28" t="n">
        <x:v>70717</x:v>
      </x:c>
      <x:c r="U40" s="27" t="n">
        <x:f>IFERROR(N40/R40,0)</x:f>
        <x:v>112.17373572593802</x:v>
      </x:c>
      <x:c r="V40" s="28" t="n">
        <x:v>8</x:v>
      </x:c>
    </x:row>
    <x:row r="41">
      <x:c r="A41" s="25" t="str">
        <x:v>Yerli</x:v>
      </x:c>
      <x:c r="B41" s="25" t="str">
        <x:v>Türkçe</x:v>
      </x:c>
      <x:c r="C41" s="25" t="str">
        <x:v>Lead</x:v>
      </x:c>
      <x:c r="D41" s="25" t="str">
        <x:v>Medikal Estetik / Plastik Cerrahi</x:v>
      </x:c>
      <x:c r="E41" s="25" t="str">
        <x:v>Doruk Hastaneleri - SİNA ÖZEL Sağlık Hizmetleri A.ş</x:v>
      </x:c>
      <x:c r="F41" s="25" t="str">
        <x:v>ABO / Meme Estetiği / plastik cerrahi / lead</x:v>
      </x:c>
      <x:c r="G41" s="25" t="str">
        <x:v>​120211732311210399</x:v>
      </x:c>
      <x:c r="H41" s="25" t="str">
        <x:v>ACTIVE</x:v>
      </x:c>
      <x:c r="I41" s="25" t="str">
        <x:v>Reklam Seti</x:v>
      </x:c>
      <x:c r="J41" s="27" t="n">
        <x:v>1000</x:v>
      </x:c>
      <x:c r="K41" s="27" t="n">
        <x:v>0</x:v>
      </x:c>
      <x:c r="L41" s="27" t="n">
        <x:v>19798.39</x:v>
      </x:c>
      <x:c r="M41" s="27" t="n">
        <x:v>3667.96</x:v>
      </x:c>
      <x:c r="N41" s="27" t="n">
        <x:v>23466.35</x:v>
      </x:c>
      <x:c r="O41" s="29" t="n">
        <x:f>IFERROR(N41/SUMIFS($N$5:$N$47,$A$5:$A$47,A41,$C$5:$C$47,C41,$D$5:$D$47,D41),0)</x:f>
        <x:v>0.15897636357662354</x:v>
      </x:c>
      <x:c r="P41" s="28" t="n">
        <x:v>64</x:v>
      </x:c>
      <x:c r="Q41" s="28" t="n">
        <x:v>0</x:v>
      </x:c>
      <x:c r="R41" s="28" t="n">
        <x:v>64</x:v>
      </x:c>
      <x:c r="S41" s="28" t="n">
        <x:v>7</x:v>
      </x:c>
      <x:c r="T41" s="28" t="n">
        <x:v>0</x:v>
      </x:c>
      <x:c r="U41" s="27" t="n">
        <x:f>IFERROR(N41/R41,0)</x:f>
        <x:v>366.66171875</x:v>
      </x:c>
      <x:c r="V41" s="28" t="n">
        <x:v>1</x:v>
      </x:c>
    </x:row>
    <x:row r="42">
      <x:c r="A42" s="25" t="str">
        <x:v>Yerli</x:v>
      </x:c>
      <x:c r="B42" s="25" t="str">
        <x:v>Türkçe</x:v>
      </x:c>
      <x:c r="C42" s="25" t="str">
        <x:v>Lead</x:v>
      </x:c>
      <x:c r="D42" s="25" t="str">
        <x:v>Medikal Estetik / Plastik Cerrahi</x:v>
      </x:c>
      <x:c r="E42" s="25" t="str">
        <x:v>Doruk Hastaneleri - SİNA ÖZEL Sağlık Hizmetleri A.ş</x:v>
      </x:c>
      <x:c r="F42" s="25" t="str">
        <x:v>ABO / Rinoplasti / plastik cerrahi / lead</x:v>
      </x:c>
      <x:c r="G42" s="25" t="str">
        <x:v>​120211732654260399</x:v>
      </x:c>
      <x:c r="H42" s="25" t="str">
        <x:v>ACTIVE</x:v>
      </x:c>
      <x:c r="I42" s="25" t="str">
        <x:v>Reklam Seti</x:v>
      </x:c>
      <x:c r="J42" s="27" t="n">
        <x:v>800</x:v>
      </x:c>
      <x:c r="K42" s="27" t="n">
        <x:v>0</x:v>
      </x:c>
      <x:c r="L42" s="27" t="n">
        <x:v>16042.89</x:v>
      </x:c>
      <x:c r="M42" s="27" t="n">
        <x:v>3131.81</x:v>
      </x:c>
      <x:c r="N42" s="27" t="n">
        <x:v>19174.7</x:v>
      </x:c>
      <x:c r="O42" s="29" t="n">
        <x:f>IFERROR(N42/SUMIFS($N$5:$N$47,$A$5:$A$47,A42,$C$5:$C$47,C42,$D$5:$D$47,D42),0)</x:f>
        <x:v>0.1299019267450065</x:v>
      </x:c>
      <x:c r="P42" s="28" t="n">
        <x:v>27</x:v>
      </x:c>
      <x:c r="Q42" s="28" t="n">
        <x:v>0</x:v>
      </x:c>
      <x:c r="R42" s="28" t="n">
        <x:v>27</x:v>
      </x:c>
      <x:c r="S42" s="28" t="n">
        <x:v>4</x:v>
      </x:c>
      <x:c r="T42" s="28" t="n">
        <x:v>0</x:v>
      </x:c>
      <x:c r="U42" s="27" t="n">
        <x:f>IFERROR(N42/R42,0)</x:f>
        <x:v>710.1740740740742</x:v>
      </x:c>
      <x:c r="V42" s="28" t="n">
        <x:v>1</x:v>
      </x:c>
    </x:row>
    <x:row r="43">
      <x:c r="A43" s="25" t="str">
        <x:v>Yerli</x:v>
      </x:c>
      <x:c r="B43" s="25" t="str">
        <x:v>Türkçe</x:v>
      </x:c>
      <x:c r="C43" s="25" t="str">
        <x:v>Lead</x:v>
      </x:c>
      <x:c r="D43" s="25" t="str">
        <x:v>Medikal Estetik / Plastik Cerrahi</x:v>
      </x:c>
      <x:c r="E43" s="25" t="str">
        <x:v>Doruk Hastaneleri - SİNA ÖZEL Sağlık Hizmetleri A.ş</x:v>
      </x:c>
      <x:c r="F43" s="25" t="str">
        <x:v>ABO / Vücut Şekillendirme / plastik cerrahi / lead</x:v>
      </x:c>
      <x:c r="G43" s="25" t="str">
        <x:v>​120211732712890399</x:v>
      </x:c>
      <x:c r="H43" s="25" t="str">
        <x:v>ACTIVE</x:v>
      </x:c>
      <x:c r="I43" s="25" t="str">
        <x:v>Reklam Seti</x:v>
      </x:c>
      <x:c r="J43" s="27" t="n">
        <x:v>300</x:v>
      </x:c>
      <x:c r="K43" s="27" t="n">
        <x:v>0</x:v>
      </x:c>
      <x:c r="L43" s="27" t="n">
        <x:v>6204.61</x:v>
      </x:c>
      <x:c r="M43" s="27" t="n">
        <x:v>1227.74</x:v>
      </x:c>
      <x:c r="N43" s="27" t="n">
        <x:v>7432.349999999999</x:v>
      </x:c>
      <x:c r="O43" s="29" t="n">
        <x:f>IFERROR(N43/SUMIFS($N$5:$N$47,$A$5:$A$47,A43,$C$5:$C$47,C43,$D$5:$D$47,D43),0)</x:f>
        <x:v>0.05035158752122583</x:v>
      </x:c>
      <x:c r="P43" s="28" t="n">
        <x:v>35</x:v>
      </x:c>
      <x:c r="Q43" s="28" t="n">
        <x:v>0</x:v>
      </x:c>
      <x:c r="R43" s="28" t="n">
        <x:v>35</x:v>
      </x:c>
      <x:c r="S43" s="28" t="n">
        <x:v>5</x:v>
      </x:c>
      <x:c r="T43" s="28" t="n">
        <x:v>0</x:v>
      </x:c>
      <x:c r="U43" s="27" t="n">
        <x:f>IFERROR(N43/R43,0)</x:f>
        <x:v>212.35285714285712</x:v>
      </x:c>
      <x:c r="V43" s="28" t="n">
        <x:v>1</x:v>
      </x:c>
    </x:row>
    <x:row r="44">
      <x:c r="A44" s="25" t="str">
        <x:v>Yerli</x:v>
      </x:c>
      <x:c r="B44" s="25" t="str">
        <x:v>Türkçe</x:v>
      </x:c>
      <x:c r="C44" s="25" t="str">
        <x:v>Lead</x:v>
      </x:c>
      <x:c r="D44" s="25" t="str">
        <x:v>Medikal Estetik / Plastik Cerrahi</x:v>
      </x:c>
      <x:c r="E44" s="25" t="str">
        <x:v>Doruk Hastaneleri - SİNA ÖZEL Sağlık Hizmetleri A.ş</x:v>
      </x:c>
      <x:c r="F44" s="25" t="str">
        <x:v>ABO / Yüz Germe (Facelift) / plastik cerrahi / lead</x:v>
      </x:c>
      <x:c r="G44" s="25" t="str">
        <x:v>​120211732754080399</x:v>
      </x:c>
      <x:c r="H44" s="25" t="str">
        <x:v>ACTIVE</x:v>
      </x:c>
      <x:c r="I44" s="25" t="str">
        <x:v>Reklam Seti</x:v>
      </x:c>
      <x:c r="J44" s="27" t="n">
        <x:v>300</x:v>
      </x:c>
      <x:c r="K44" s="27" t="n">
        <x:v>0</x:v>
      </x:c>
      <x:c r="L44" s="27" t="n">
        <x:v>6137.23</x:v>
      </x:c>
      <x:c r="M44" s="27" t="n">
        <x:v>1215.68</x:v>
      </x:c>
      <x:c r="N44" s="27" t="n">
        <x:v>7352.91</x:v>
      </x:c>
      <x:c r="O44" s="29" t="n">
        <x:f>IFERROR(N44/SUMIFS($N$5:$N$47,$A$5:$A$47,A44,$C$5:$C$47,C44,$D$5:$D$47,D44),0)</x:f>
        <x:v>0.04981340913717689</x:v>
      </x:c>
      <x:c r="P44" s="28" t="n">
        <x:v>13</x:v>
      </x:c>
      <x:c r="Q44" s="28" t="n">
        <x:v>0</x:v>
      </x:c>
      <x:c r="R44" s="28" t="n">
        <x:v>13</x:v>
      </x:c>
      <x:c r="S44" s="28" t="n">
        <x:v>3</x:v>
      </x:c>
      <x:c r="T44" s="28" t="n">
        <x:v>0</x:v>
      </x:c>
      <x:c r="U44" s="27" t="n">
        <x:f>IFERROR(N44/R44,0)</x:f>
        <x:v>565.6084615384615</x:v>
      </x:c>
      <x:c r="V44" s="28" t="n">
        <x:v>1</x:v>
      </x:c>
    </x:row>
    <x:row r="45">
      <x:c r="A45" s="25" t="str">
        <x:v>Yerli</x:v>
      </x:c>
      <x:c r="B45" s="25" t="str">
        <x:v>Türkçe</x:v>
      </x:c>
      <x:c r="C45" s="25" t="str">
        <x:v>Lead</x:v>
      </x:c>
      <x:c r="D45" s="25" t="str">
        <x:v>Medikal Estetik / Plastik Cerrahi</x:v>
      </x:c>
      <x:c r="E45" s="25" t="str">
        <x:v>Doruk Hastaneleri - SİNA ÖZEL Sağlık Hizmetleri A.ş</x:v>
      </x:c>
      <x:c r="F45" s="25" t="str">
        <x:v>ABO /Jinekomasti / plastik cerrahi / lead</x:v>
      </x:c>
      <x:c r="G45" s="25" t="str">
        <x:v>​120211732618490399</x:v>
      </x:c>
      <x:c r="H45" s="25" t="str">
        <x:v>ACTIVE</x:v>
      </x:c>
      <x:c r="I45" s="25" t="str">
        <x:v>Reklam Seti</x:v>
      </x:c>
      <x:c r="J45" s="27" t="n">
        <x:v>300</x:v>
      </x:c>
      <x:c r="K45" s="27" t="n">
        <x:v>0</x:v>
      </x:c>
      <x:c r="L45" s="27" t="n">
        <x:v>6006.43</x:v>
      </x:c>
      <x:c r="M45" s="27" t="n">
        <x:v>1147.2</x:v>
      </x:c>
      <x:c r="N45" s="27" t="n">
        <x:v>7153.63</x:v>
      </x:c>
      <x:c r="O45" s="29" t="n">
        <x:f>IFERROR(N45/SUMIFS($N$5:$N$47,$A$5:$A$47,A45,$C$5:$C$47,C45,$D$5:$D$47,D45),0)</x:f>
        <x:v>0.04846335641344485</x:v>
      </x:c>
      <x:c r="P45" s="28" t="n">
        <x:v>21</x:v>
      </x:c>
      <x:c r="Q45" s="28" t="n">
        <x:v>0</x:v>
      </x:c>
      <x:c r="R45" s="28" t="n">
        <x:v>21</x:v>
      </x:c>
      <x:c r="S45" s="28" t="n">
        <x:v>1</x:v>
      </x:c>
      <x:c r="T45" s="28" t="n">
        <x:v>0</x:v>
      </x:c>
      <x:c r="U45" s="27" t="n">
        <x:f>IFERROR(N45/R45,0)</x:f>
        <x:v>340.6490476190476</x:v>
      </x:c>
      <x:c r="V45" s="28" t="n">
        <x:v>1</x:v>
      </x:c>
    </x:row>
    <x:row r="46">
      <x:c r="A46" s="25" t="str">
        <x:v>Yerli</x:v>
      </x:c>
      <x:c r="B46" s="25" t="str">
        <x:v>Türkçe</x:v>
      </x:c>
      <x:c r="C46" s="25" t="str">
        <x:v>Lead</x:v>
      </x:c>
      <x:c r="D46" s="25" t="str">
        <x:v>Medikal Estetik / Plastik Cerrahi</x:v>
      </x:c>
      <x:c r="E46" s="25" t="str">
        <x:v>Doruk Hastaneleri - SİNA ÖZEL Sağlık Hizmetleri A.ş</x:v>
      </x:c>
      <x:c r="F46" s="25" t="str">
        <x:v>ABO /Kepçe Kulak / plastik cerrahi / lead</x:v>
      </x:c>
      <x:c r="G46" s="25" t="str">
        <x:v>​120211732243050399</x:v>
      </x:c>
      <x:c r="H46" s="25" t="str">
        <x:v>ACTIVE</x:v>
      </x:c>
      <x:c r="I46" s="25" t="str">
        <x:v>Reklam Seti</x:v>
      </x:c>
      <x:c r="J46" s="27" t="n">
        <x:v>300</x:v>
      </x:c>
      <x:c r="K46" s="27" t="n">
        <x:v>0</x:v>
      </x:c>
      <x:c r="L46" s="27" t="n">
        <x:v>5981.94</x:v>
      </x:c>
      <x:c r="M46" s="27" t="n">
        <x:v>1112.14</x:v>
      </x:c>
      <x:c r="N46" s="27" t="n">
        <x:v>7094.08</x:v>
      </x:c>
      <x:c r="O46" s="29" t="n">
        <x:f>IFERROR(N46/SUMIFS($N$5:$N$47,$A$5:$A$47,A46,$C$5:$C$47,C46,$D$5:$D$47,D46),0)</x:f>
        <x:v>0.04805992586497915</x:v>
      </x:c>
      <x:c r="P46" s="28" t="n">
        <x:v>29</x:v>
      </x:c>
      <x:c r="Q46" s="28" t="n">
        <x:v>0</x:v>
      </x:c>
      <x:c r="R46" s="28" t="n">
        <x:v>29</x:v>
      </x:c>
      <x:c r="S46" s="28" t="n">
        <x:v>3</x:v>
      </x:c>
      <x:c r="T46" s="28" t="n">
        <x:v>0</x:v>
      </x:c>
      <x:c r="U46" s="27" t="n">
        <x:f>IFERROR(N46/R46,0)</x:f>
        <x:v>244.62344827586207</x:v>
      </x:c>
      <x:c r="V46" s="28" t="n">
        <x:v>1</x:v>
      </x:c>
    </x:row>
    <x:row r="47">
      <x:c r="A47" s="25" t="str">
        <x:v>Yerli</x:v>
      </x:c>
      <x:c r="B47" s="25" t="str">
        <x:v>Türkçe</x:v>
      </x:c>
      <x:c r="C47" s="25" t="str">
        <x:v>Lead</x:v>
      </x:c>
      <x:c r="D47" s="25" t="str">
        <x:v>Saç Ekimi</x:v>
      </x:c>
      <x:c r="E47" s="25" t="str">
        <x:v>Doruk Hastaneleri - SİNA ÖZEL Sağlık Hizmetleri A.ş</x:v>
      </x:c>
      <x:c r="F47" s="25" t="str">
        <x:v>CBO / Saç Ekimi - lead / soğuk</x:v>
      </x:c>
      <x:c r="G47" s="25" t="str">
        <x:v>​120202624613730399</x:v>
      </x:c>
      <x:c r="H47" s="25" t="str">
        <x:v>ACTIVE</x:v>
      </x:c>
      <x:c r="I47" s="25" t="str">
        <x:v>Reklam Seti</x:v>
      </x:c>
      <x:c r="J47" s="27" t="n">
        <x:v>1000</x:v>
      </x:c>
      <x:c r="K47" s="27" t="n">
        <x:v>0</x:v>
      </x:c>
      <x:c r="L47" s="27" t="n">
        <x:v>20233.76</x:v>
      </x:c>
      <x:c r="M47" s="27" t="n">
        <x:v>4352.94</x:v>
      </x:c>
      <x:c r="N47" s="27" t="n">
        <x:v>24586.699999999997</x:v>
      </x:c>
      <x:c r="O47" s="29" t="n">
        <x:f>IFERROR(N47/SUMIFS($N$5:$N$47,$A$5:$A$47,A47,$C$5:$C$47,C47,$D$5:$D$47,D47),0)</x:f>
        <x:v>1</x:v>
      </x:c>
      <x:c r="P47" s="28" t="n">
        <x:v>48</x:v>
      </x:c>
      <x:c r="Q47" s="28" t="n">
        <x:v>0</x:v>
      </x:c>
      <x:c r="R47" s="28" t="n">
        <x:v>48</x:v>
      </x:c>
      <x:c r="S47" s="28" t="n">
        <x:v>7</x:v>
      </x:c>
      <x:c r="T47" s="28" t="n">
        <x:v>0</x:v>
      </x:c>
      <x:c r="U47" s="27" t="n">
        <x:f>IFERROR(N47/R47,0)</x:f>
        <x:v>512.2229166666666</x:v>
      </x:c>
      <x:c r="V47" s="28" t="n">
        <x:v>4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b44361f838124f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32" hidden="0" customWidth="1"/>
    <x:col min="5" max="5" width="28" hidden="0" customWidth="1"/>
    <x:col min="6" max="6" width="44" hidden="0" customWidth="1"/>
    <x:col min="7" max="7" width="44" hidden="0" customWidth="1"/>
    <x:col min="8" max="8" width="16" hidden="0" customWidth="1"/>
    <x:col min="9" max="9" width="2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2" hidden="0" customWidth="1"/>
    <x:col min="19" max="19" width="16" hidden="0" customWidth="1"/>
    <x:col min="20" max="20" width="14" hidden="0" customWidth="1"/>
    <x:col min="21" max="21" width="12" hidden="0" customWidth="1"/>
    <x:col min="22" max="22" width="14" hidden="0" customWidth="1"/>
    <x:col min="23" max="23" width="14" hidden="0" customWidth="1"/>
    <x:col min="24" max="24" width="20" hidden="0" customWidth="1"/>
  </x:cols>
  <x:sheetData>
    <x:row r="1">
      <x:c r="A1" s="39" t="str">
        <x:v>Reklam Seti Özeti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</x:row>
    <x:row r="2">
      <x:c r="A2" s="24" t="str">
        <x:v>Kampanya seviyeli bütçeler ve reklam seti seviyeli bütçeler ayrı sütunlarda gösterilir; böylece çift sayım önlenir.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</x:row>
    <x:row r="4">
      <x:c r="A4" s="40" t="str">
        <x:v>Pazar</x:v>
      </x:c>
      <x:c r="B4" s="40" t="str">
        <x:v>Dil</x:v>
      </x:c>
      <x:c r="C4" s="40" t="str">
        <x:v>İş Amacı</x:v>
      </x:c>
      <x:c r="D4" s="40" t="str">
        <x:v>Ana Grup</x:v>
      </x:c>
      <x:c r="E4" s="40" t="str">
        <x:v>Reklam Hesabı</x:v>
      </x:c>
      <x:c r="F4" s="40" t="str">
        <x:v>Kampanya</x:v>
      </x:c>
      <x:c r="G4" s="40" t="str">
        <x:v>Reklam Seti</x:v>
      </x:c>
      <x:c r="H4" s="40" t="str">
        <x:v>Set Durumu</x:v>
      </x:c>
      <x:c r="I4" s="40" t="str">
        <x:v>Optimizasyon</x:v>
      </x:c>
      <x:c r="J4" s="40" t="str">
        <x:v>Kampanya Günlük Bütçe</x:v>
      </x:c>
      <x:c r="K4" s="40" t="str">
        <x:v>Kampanya Ömür Boyu</x:v>
      </x:c>
      <x:c r="L4" s="40" t="str">
        <x:v>Set Günlük Bütçe</x:v>
      </x:c>
      <x:c r="M4" s="40" t="str">
        <x:v>Set Ömür Boyu</x:v>
      </x:c>
      <x:c r="N4" s="40" t="str">
        <x:v>Temmuz Harcama</x:v>
      </x:c>
      <x:c r="O4" s="40" t="str">
        <x:v>Ağustos Harcama</x:v>
      </x:c>
      <x:c r="P4" s="40" t="str">
        <x:v>Toplam Harcama</x:v>
      </x:c>
      <x:c r="Q4" s="40" t="str">
        <x:v>Kampanya İçi Pay %</x:v>
      </x:c>
      <x:c r="R4" s="40" t="str">
        <x:v>Form Lead</x:v>
      </x:c>
      <x:c r="S4" s="40" t="str">
        <x:v>WhatsApp Lead</x:v>
      </x:c>
      <x:c r="T4" s="40" t="str">
        <x:v>Toplam Lead</x:v>
      </x:c>
      <x:c r="U4" s="40" t="str">
        <x:v>Ham Mesaj Sonucu</x:v>
      </x:c>
      <x:c r="V4" s="40" t="str">
        <x:v>Video İzlenme</x:v>
      </x:c>
      <x:c r="W4" s="40" t="str">
        <x:v>CPL</x:v>
      </x:c>
      <x:c r="X4" s="40" t="str">
        <x:v>Set ID</x:v>
      </x:c>
    </x:row>
    <x:row r="5">
      <x:c r="A5" s="25" t="str">
        <x:v>Yabancı</x:v>
      </x:c>
      <x:c r="B5" s="25" t="str">
        <x:v>Rusça</x:v>
      </x:c>
      <x:c r="C5" s="25" t="str">
        <x:v>Bilinirlik / İzlenme / Trafik</x:v>
      </x:c>
      <x:c r="D5" s="25" t="str">
        <x:v>Onkoloji</x:v>
      </x:c>
      <x:c r="E5" s="25" t="str">
        <x:v>Doruk Hospital</x:v>
      </x:c>
      <x:c r="F5" s="25" t="str">
        <x:v>Instagram gönderisi: Аппарат TrueBeam — одна из...</x:v>
      </x:c>
      <x:c r="G5" s="25" t="str">
        <x:v>Instagram gönderisi: Аппарат TrueBeam — одна из...</x:v>
      </x:c>
      <x:c r="H5" s="25" t="str">
        <x:v>ACTIVE</x:v>
      </x:c>
      <x:c r="I5" s="25" t="str">
        <x:v>VISIT_INSTAGRAM_PROFILE</x:v>
      </x:c>
      <x:c r="J5" s="27" t="n">
        <x:v>4000</x:v>
      </x:c>
      <x:c r="K5" s="27" t="n">
        <x:v>0</x:v>
      </x:c>
      <x:c r="L5" s="27" t="n">
        <x:v>0</x:v>
      </x:c>
      <x:c r="M5" s="27" t="n">
        <x:v>0</x:v>
      </x:c>
      <x:c r="N5" s="27" t="n">
        <x:v>75159.75</x:v>
      </x:c>
      <x:c r="O5" s="27" t="n">
        <x:v>16694.04</x:v>
      </x:c>
      <x:c r="P5" s="27" t="n">
        <x:v>91853.79000000001</x:v>
      </x:c>
      <x:c r="Q5" s="29" t="n">
        <x:f>IFERROR(P5/SUMIFS($P$5:$P$167,$F$5:$F$167,F5,$E$5:$E$167,E5),0)</x:f>
        <x:v>1</x:v>
      </x:c>
      <x:c r="R5" s="28" t="n">
        <x:v>0</x:v>
      </x:c>
      <x:c r="S5" s="28" t="n">
        <x:v>0</x:v>
      </x:c>
      <x:c r="T5" s="28" t="n">
        <x:v>0</x:v>
      </x:c>
      <x:c r="U5" s="28" t="n">
        <x:v>56</x:v>
      </x:c>
      <x:c r="V5" s="28" t="n">
        <x:v>437484</x:v>
      </x:c>
      <x:c r="W5" s="27" t="n">
        <x:f>IFERROR(P5/T5,0)</x:f>
        <x:v>0</x:v>
      </x:c>
      <x:c r="X5" s="25" t="str">
        <x:v>​120242709752580080</x:v>
      </x:c>
    </x:row>
    <x:row r="6">
      <x:c r="A6" s="25" t="str">
        <x:v>Yabancı</x:v>
      </x:c>
      <x:c r="B6" s="25" t="str">
        <x:v>Rusça</x:v>
      </x:c>
      <x:c r="C6" s="25" t="str">
        <x:v>Lead</x:v>
      </x:c>
      <x:c r="D6" s="25" t="str">
        <x:v>Fizik Tedavi / Rehabilitasyon</x:v>
      </x:c>
      <x:c r="E6" s="25" t="str">
        <x:v>Doruk Hospital</x:v>
      </x:c>
      <x:c r="F6" s="25" t="str">
        <x:v>Fizik Tedavi - Intensive FTR - Türki Cumhuriyetler - Tümü - RU - Lechenie v Turtsii - lead</x:v>
      </x:c>
      <x:c r="G6" s="25" t="str">
        <x:v>FTR - genel - lead - cold - kazakistan - kombine2</x:v>
      </x:c>
      <x:c r="H6" s="25" t="str">
        <x:v>ACTIVE</x:v>
      </x:c>
      <x:c r="I6" s="25" t="str">
        <x:v>LEAD_GENERATION</x:v>
      </x:c>
      <x:c r="J6" s="27" t="n">
        <x:v>0</x:v>
      </x:c>
      <x:c r="K6" s="27" t="n">
        <x:v>0</x:v>
      </x:c>
      <x:c r="L6" s="27" t="n">
        <x:v>9000</x:v>
      </x:c>
      <x:c r="M6" s="27" t="n">
        <x:v>0</x:v>
      </x:c>
      <x:c r="N6" s="27" t="n">
        <x:v>186491.28</x:v>
      </x:c>
      <x:c r="O6" s="27" t="n">
        <x:v>39338.17</x:v>
      </x:c>
      <x:c r="P6" s="27" t="n">
        <x:v>225829.45</x:v>
      </x:c>
      <x:c r="Q6" s="29" t="n">
        <x:f>IFERROR(P6/SUMIFS($P$5:$P$167,$F$5:$F$167,F6,$E$5:$E$167,E6),0)</x:f>
        <x:v>0.3928383838287197</x:v>
      </x:c>
      <x:c r="R6" s="28" t="n">
        <x:v>172</x:v>
      </x:c>
      <x:c r="S6" s="28" t="n">
        <x:v>0</x:v>
      </x:c>
      <x:c r="T6" s="28" t="n">
        <x:v>172</x:v>
      </x:c>
      <x:c r="U6" s="28" t="n">
        <x:v>55</x:v>
      </x:c>
      <x:c r="V6" s="28" t="n">
        <x:v>113748</x:v>
      </x:c>
      <x:c r="W6" s="27" t="n">
        <x:f>IFERROR(P6/T6,0)</x:f>
        <x:v>1312.9619186046511</x:v>
      </x:c>
      <x:c r="X6" s="25" t="str">
        <x:v>​120238630159690080</x:v>
      </x:c>
    </x:row>
    <x:row r="7">
      <x:c r="A7" s="25" t="str">
        <x:v>Yabancı</x:v>
      </x:c>
      <x:c r="B7" s="25" t="str">
        <x:v>Rusça</x:v>
      </x:c>
      <x:c r="C7" s="25" t="str">
        <x:v>Lead</x:v>
      </x:c>
      <x:c r="D7" s="25" t="str">
        <x:v>Fizik Tedavi / Rehabilitasyon</x:v>
      </x:c>
      <x:c r="E7" s="25" t="str">
        <x:v>Doruk Hospital</x:v>
      </x:c>
      <x:c r="F7" s="25" t="str">
        <x:v>Fizik Tedavi - Intensive FTR - Türki Cumhuriyetler - Tümü - RU - Lechenie v Turtsii - lead</x:v>
      </x:c>
      <x:c r="G7" s="25" t="str">
        <x:v>FTR - genel - lead - cold - Kırgızistan,Tacikistan- kombine2 - iOS hedefli - Kopya</x:v>
      </x:c>
      <x:c r="H7" s="25" t="str">
        <x:v>ACTIVE</x:v>
      </x:c>
      <x:c r="I7" s="25" t="str">
        <x:v>LEAD_GENERATION</x:v>
      </x:c>
      <x:c r="J7" s="27" t="n">
        <x:v>0</x:v>
      </x:c>
      <x:c r="K7" s="27" t="n">
        <x:v>0</x:v>
      </x:c>
      <x:c r="L7" s="27" t="n">
        <x:v>3000</x:v>
      </x:c>
      <x:c r="M7" s="27" t="n">
        <x:v>0</x:v>
      </x:c>
      <x:c r="N7" s="27" t="n">
        <x:v>58285.29</x:v>
      </x:c>
      <x:c r="O7" s="27" t="n">
        <x:v>13001.13</x:v>
      </x:c>
      <x:c r="P7" s="27" t="n">
        <x:v>71286.42</x:v>
      </x:c>
      <x:c r="Q7" s="29" t="n">
        <x:f>IFERROR(P7/SUMIFS($P$5:$P$167,$F$5:$F$167,F7,$E$5:$E$167,E7),0)</x:f>
        <x:v>0.12400527044517587</x:v>
      </x:c>
      <x:c r="R7" s="28" t="n">
        <x:v>47</x:v>
      </x:c>
      <x:c r="S7" s="28" t="n">
        <x:v>0</x:v>
      </x:c>
      <x:c r="T7" s="28" t="n">
        <x:v>47</x:v>
      </x:c>
      <x:c r="U7" s="28" t="n">
        <x:v>23</x:v>
      </x:c>
      <x:c r="V7" s="28" t="n">
        <x:v>123908</x:v>
      </x:c>
      <x:c r="W7" s="27" t="n">
        <x:f>IFERROR(P7/T7,0)</x:f>
        <x:v>1516.732340425532</x:v>
      </x:c>
      <x:c r="X7" s="25" t="str">
        <x:v>​120241183408140080</x:v>
      </x:c>
    </x:row>
    <x:row r="8">
      <x:c r="A8" s="25" t="str">
        <x:v>Yabancı</x:v>
      </x:c>
      <x:c r="B8" s="25" t="str">
        <x:v>Rusça</x:v>
      </x:c>
      <x:c r="C8" s="25" t="str">
        <x:v>Lead</x:v>
      </x:c>
      <x:c r="D8" s="25" t="str">
        <x:v>Fizik Tedavi / Rehabilitasyon</x:v>
      </x:c>
      <x:c r="E8" s="25" t="str">
        <x:v>Doruk Hospital</x:v>
      </x:c>
      <x:c r="F8" s="25" t="str">
        <x:v>Fizik Tedavi - Intensive FTR - Türki Cumhuriyetler - Tümü - RU - Lechenie v Turtsii - lead</x:v>
      </x:c>
      <x:c r="G8" s="25" t="str">
        <x:v>FTR - genel - lead - cold - Kırgızistan,Tacikistan,Belarus,Gürcistan - kombine2 - Android hedefli - Kopya - Kopya</x:v>
      </x:c>
      <x:c r="H8" s="25" t="str">
        <x:v>ACTIVE</x:v>
      </x:c>
      <x:c r="I8" s="25" t="str">
        <x:v>LEAD_GENERATION</x:v>
      </x:c>
      <x:c r="J8" s="27" t="n">
        <x:v>0</x:v>
      </x:c>
      <x:c r="K8" s="27" t="n">
        <x:v>0</x:v>
      </x:c>
      <x:c r="L8" s="27" t="n">
        <x:v>3000</x:v>
      </x:c>
      <x:c r="M8" s="27" t="n">
        <x:v>0</x:v>
      </x:c>
      <x:c r="N8" s="27" t="n">
        <x:v>58033.3</x:v>
      </x:c>
      <x:c r="O8" s="27" t="n">
        <x:v>13133.61</x:v>
      </x:c>
      <x:c r="P8" s="27" t="n">
        <x:v>71166.91</x:v>
      </x:c>
      <x:c r="Q8" s="29" t="n">
        <x:f>IFERROR(P8/SUMIFS($P$5:$P$167,$F$5:$F$167,F8,$E$5:$E$167,E8),0)</x:f>
        <x:v>0.12379737853713921</x:v>
      </x:c>
      <x:c r="R8" s="28" t="n">
        <x:v>20</x:v>
      </x:c>
      <x:c r="S8" s="28" t="n">
        <x:v>0</x:v>
      </x:c>
      <x:c r="T8" s="28" t="n">
        <x:v>20</x:v>
      </x:c>
      <x:c r="U8" s="28" t="n">
        <x:v>14</x:v>
      </x:c>
      <x:c r="V8" s="28" t="n">
        <x:v>105634</x:v>
      </x:c>
      <x:c r="W8" s="27" t="n">
        <x:f>IFERROR(P8/T8,0)</x:f>
        <x:v>3558.3455000000004</x:v>
      </x:c>
      <x:c r="X8" s="25" t="str">
        <x:v>​120241183620740080</x:v>
      </x:c>
    </x:row>
    <x:row r="9">
      <x:c r="A9" s="25" t="str">
        <x:v>Yabancı</x:v>
      </x:c>
      <x:c r="B9" s="25" t="str">
        <x:v>Rusça</x:v>
      </x:c>
      <x:c r="C9" s="25" t="str">
        <x:v>Lead</x:v>
      </x:c>
      <x:c r="D9" s="25" t="str">
        <x:v>Fizik Tedavi / Rehabilitasyon</x:v>
      </x:c>
      <x:c r="E9" s="25" t="str">
        <x:v>Doruk Hospital</x:v>
      </x:c>
      <x:c r="F9" s="25" t="str">
        <x:v>Fizik Tedavi - Intensive FTR - Türki Cumhuriyetler - Tümü - RU - Lechenie v Turtsii - lead</x:v>
      </x:c>
      <x:c r="G9" s="25" t="str">
        <x:v>FTR - genel - lead - cold - özbekistan - kombine2 - Android hedefli - Kopya</x:v>
      </x:c>
      <x:c r="H9" s="25" t="str">
        <x:v>ACTIVE</x:v>
      </x:c>
      <x:c r="I9" s="25" t="str">
        <x:v>LEAD_GENERATION</x:v>
      </x:c>
      <x:c r="J9" s="27" t="n">
        <x:v>0</x:v>
      </x:c>
      <x:c r="K9" s="27" t="n">
        <x:v>0</x:v>
      </x:c>
      <x:c r="L9" s="27" t="n">
        <x:v>2500</x:v>
      </x:c>
      <x:c r="M9" s="27" t="n">
        <x:v>0</x:v>
      </x:c>
      <x:c r="N9" s="27" t="n">
        <x:v>52245.49</x:v>
      </x:c>
      <x:c r="O9" s="27" t="n">
        <x:v>12907.94</x:v>
      </x:c>
      <x:c r="P9" s="27" t="n">
        <x:v>65153.43</x:v>
      </x:c>
      <x:c r="Q9" s="29" t="n">
        <x:f>IFERROR(P9/SUMIFS($P$5:$P$167,$F$5:$F$167,F9,$E$5:$E$167,E9),0)</x:f>
        <x:v>0.1133367155705229</x:v>
      </x:c>
      <x:c r="R9" s="28" t="n">
        <x:v>39</x:v>
      </x:c>
      <x:c r="S9" s="28" t="n">
        <x:v>0</x:v>
      </x:c>
      <x:c r="T9" s="28" t="n">
        <x:v>39</x:v>
      </x:c>
      <x:c r="U9" s="28" t="n">
        <x:v>6</x:v>
      </x:c>
      <x:c r="V9" s="28" t="n">
        <x:v>70368</x:v>
      </x:c>
      <x:c r="W9" s="27" t="n">
        <x:f>IFERROR(P9/T9,0)</x:f>
        <x:v>1670.6007692307692</x:v>
      </x:c>
      <x:c r="X9" s="25" t="str">
        <x:v>​120241183245540080</x:v>
      </x:c>
    </x:row>
    <x:row r="10">
      <x:c r="A10" s="25" t="str">
        <x:v>Yabancı</x:v>
      </x:c>
      <x:c r="B10" s="25" t="str">
        <x:v>Rusça</x:v>
      </x:c>
      <x:c r="C10" s="25" t="str">
        <x:v>Lead</x:v>
      </x:c>
      <x:c r="D10" s="25" t="str">
        <x:v>Fizik Tedavi / Rehabilitasyon</x:v>
      </x:c>
      <x:c r="E10" s="25" t="str">
        <x:v>Doruk Hospital</x:v>
      </x:c>
      <x:c r="F10" s="25" t="str">
        <x:v>Fizik Tedavi - Intensive FTR - Türki Cumhuriyetler - Tümü - RU - Lechenie v Turtsii - lead</x:v>
      </x:c>
      <x:c r="G10" s="25" t="str">
        <x:v>FTR - genel - lead - cold - özbekistan- kombine2 - iOS hedefli</x:v>
      </x:c>
      <x:c r="H10" s="25" t="str">
        <x:v>ACTIVE</x:v>
      </x:c>
      <x:c r="I10" s="25" t="str">
        <x:v>LEAD_GENERATION</x:v>
      </x:c>
      <x:c r="J10" s="27" t="n">
        <x:v>0</x:v>
      </x:c>
      <x:c r="K10" s="27" t="n">
        <x:v>0</x:v>
      </x:c>
      <x:c r="L10" s="27" t="n">
        <x:v>2500</x:v>
      </x:c>
      <x:c r="M10" s="27" t="n">
        <x:v>0</x:v>
      </x:c>
      <x:c r="N10" s="27" t="n">
        <x:v>54902</x:v>
      </x:c>
      <x:c r="O10" s="27" t="n">
        <x:v>12203.6</x:v>
      </x:c>
      <x:c r="P10" s="27" t="n">
        <x:v>67105.6</x:v>
      </x:c>
      <x:c r="Q10" s="29" t="n">
        <x:f>IFERROR(P10/SUMIFS($P$5:$P$167,$F$5:$F$167,F10,$E$5:$E$167,E10),0)</x:f>
        <x:v>0.11673258492130471</x:v>
      </x:c>
      <x:c r="R10" s="28" t="n">
        <x:v>85</x:v>
      </x:c>
      <x:c r="S10" s="28" t="n">
        <x:v>0</x:v>
      </x:c>
      <x:c r="T10" s="28" t="n">
        <x:v>85</x:v>
      </x:c>
      <x:c r="U10" s="28" t="n">
        <x:v>8</x:v>
      </x:c>
      <x:c r="V10" s="28" t="n">
        <x:v>33927</x:v>
      </x:c>
      <x:c r="W10" s="27" t="n">
        <x:f>IFERROR(P10/T10,0)</x:f>
        <x:v>789.4776470588235</x:v>
      </x:c>
      <x:c r="X10" s="25" t="str">
        <x:v>​120238972513950080</x:v>
      </x:c>
    </x:row>
    <x:row r="11">
      <x:c r="A11" s="25" t="str">
        <x:v>Yabancı</x:v>
      </x:c>
      <x:c r="B11" s="25" t="str">
        <x:v>Rusça</x:v>
      </x:c>
      <x:c r="C11" s="25" t="str">
        <x:v>Lead</x:v>
      </x:c>
      <x:c r="D11" s="25" t="str">
        <x:v>Fizik Tedavi / Rehabilitasyon</x:v>
      </x:c>
      <x:c r="E11" s="25" t="str">
        <x:v>Doruk Hospital</x:v>
      </x:c>
      <x:c r="F11" s="25" t="str">
        <x:v>Fizik Tedavi - Intensive FTR - Türki Cumhuriyetler - Tümü - RU - Lechenie v Turtsii - lead</x:v>
      </x:c>
      <x:c r="G11" s="25" t="str">
        <x:v>FTR - genel - lead - cold -belarus,gürcistan - kombine2 - iOS hedefli</x:v>
      </x:c>
      <x:c r="H11" s="25" t="str">
        <x:v>ACTIVE</x:v>
      </x:c>
      <x:c r="I11" s="25" t="str">
        <x:v>LEAD_GENERATION</x:v>
      </x:c>
      <x:c r="J11" s="27" t="n">
        <x:v>0</x:v>
      </x:c>
      <x:c r="K11" s="27" t="n">
        <x:v>0</x:v>
      </x:c>
      <x:c r="L11" s="27" t="n">
        <x:v>3000</x:v>
      </x:c>
      <x:c r="M11" s="27" t="n">
        <x:v>0</x:v>
      </x:c>
      <x:c r="N11" s="27" t="n">
        <x:v>60535.44</x:v>
      </x:c>
      <x:c r="O11" s="27" t="n">
        <x:v>13788.8</x:v>
      </x:c>
      <x:c r="P11" s="27" t="n">
        <x:v>74324.24</x:v>
      </x:c>
      <x:c r="Q11" s="29" t="n">
        <x:f>IFERROR(P11/SUMIFS($P$5:$P$167,$F$5:$F$167,F11,$E$5:$E$167,E11),0)</x:f>
        <x:v>0.12928966669713754</x:v>
      </x:c>
      <x:c r="R11" s="28" t="n">
        <x:v>29</x:v>
      </x:c>
      <x:c r="S11" s="28" t="n">
        <x:v>0</x:v>
      </x:c>
      <x:c r="T11" s="28" t="n">
        <x:v>29</x:v>
      </x:c>
      <x:c r="U11" s="28" t="n">
        <x:v>11</x:v>
      </x:c>
      <x:c r="V11" s="28" t="n">
        <x:v>65323</x:v>
      </x:c>
      <x:c r="W11" s="27" t="n">
        <x:f>IFERROR(P11/T11,0)</x:f>
        <x:v>2562.904827586207</x:v>
      </x:c>
      <x:c r="X11" s="25" t="str">
        <x:v>​120240027593170080</x:v>
      </x:c>
    </x:row>
    <x:row r="12">
      <x:c r="A12" s="25" t="str">
        <x:v>Yabancı</x:v>
      </x:c>
      <x:c r="B12" s="25" t="str">
        <x:v>Arapça</x:v>
      </x:c>
      <x:c r="C12" s="25" t="str">
        <x:v>Lead</x:v>
      </x:c>
      <x:c r="D12" s="25" t="str">
        <x:v>Fizik Tedavi / Rehabilitasyon</x:v>
      </x:c>
      <x:c r="E12" s="25" t="str">
        <x:v>Doruk Hospital</x:v>
      </x:c>
      <x:c r="F12" s="25" t="str">
        <x:v>Whatsapp - Fizik Tedavi - Intensive FTR - Arap Bölgesi - Tümü - AR - Doruk İlaj Turkia</x:v>
      </x:c>
      <x:c r="G12" s="25" t="str">
        <x:v>BAE Whatsapp IOS luks</x:v>
      </x:c>
      <x:c r="H12" s="25" t="str">
        <x:v>ACTIVE</x:v>
      </x:c>
      <x:c r="I12" s="25" t="str">
        <x:v>CONVERSATIONS</x:v>
      </x:c>
      <x:c r="J12" s="27" t="n">
        <x:v>0</x:v>
      </x:c>
      <x:c r="K12" s="27" t="n">
        <x:v>0</x:v>
      </x:c>
      <x:c r="L12" s="27" t="n">
        <x:v>4500</x:v>
      </x:c>
      <x:c r="M12" s="27" t="n">
        <x:v>0</x:v>
      </x:c>
      <x:c r="N12" s="27" t="n">
        <x:v>109953.15</x:v>
      </x:c>
      <x:c r="O12" s="27" t="n">
        <x:v>25981.51</x:v>
      </x:c>
      <x:c r="P12" s="27" t="n">
        <x:v>135934.66</x:v>
      </x:c>
      <x:c r="Q12" s="29" t="n">
        <x:f>IFERROR(P12/SUMIFS($P$5:$P$167,$F$5:$F$167,F12,$E$5:$E$167,E12),0)</x:f>
        <x:v>0.22238917789565635</x:v>
      </x:c>
      <x:c r="R12" s="28" t="n">
        <x:v>0</x:v>
      </x:c>
      <x:c r="S12" s="28" t="n">
        <x:v>134</x:v>
      </x:c>
      <x:c r="T12" s="28" t="n">
        <x:v>134</x:v>
      </x:c>
      <x:c r="U12" s="28" t="n">
        <x:v>134</x:v>
      </x:c>
      <x:c r="V12" s="28" t="n">
        <x:v>82440</x:v>
      </x:c>
      <x:c r="W12" s="27" t="n">
        <x:f>IFERROR(P12/T12,0)</x:f>
        <x:v>1014.4377611940299</x:v>
      </x:c>
      <x:c r="X12" s="25" t="str">
        <x:v>​120238816549140080</x:v>
      </x:c>
    </x:row>
    <x:row r="13">
      <x:c r="A13" s="25" t="str">
        <x:v>Yabancı</x:v>
      </x:c>
      <x:c r="B13" s="25" t="str">
        <x:v>Arapça</x:v>
      </x:c>
      <x:c r="C13" s="25" t="str">
        <x:v>Lead</x:v>
      </x:c>
      <x:c r="D13" s="25" t="str">
        <x:v>Fizik Tedavi / Rehabilitasyon</x:v>
      </x:c>
      <x:c r="E13" s="25" t="str">
        <x:v>Doruk Hospital</x:v>
      </x:c>
      <x:c r="F13" s="25" t="str">
        <x:v>Whatsapp - Fizik Tedavi - Intensive FTR - Arap Bölgesi - Tümü - AR - Doruk İlaj Turkia</x:v>
      </x:c>
      <x:c r="G13" s="25" t="str">
        <x:v>Bahreyn - Umman Whatsapp IOS luks - Kopya</x:v>
      </x:c>
      <x:c r="H13" s="25" t="str">
        <x:v>ACTIVE</x:v>
      </x:c>
      <x:c r="I13" s="25" t="str">
        <x:v>CONVERSATIONS</x:v>
      </x:c>
      <x:c r="J13" s="27" t="n">
        <x:v>0</x:v>
      </x:c>
      <x:c r="K13" s="27" t="n">
        <x:v>0</x:v>
      </x:c>
      <x:c r="L13" s="27" t="n">
        <x:v>3500</x:v>
      </x:c>
      <x:c r="M13" s="27" t="n">
        <x:v>0</x:v>
      </x:c>
      <x:c r="N13" s="27" t="n">
        <x:v>89964.73</x:v>
      </x:c>
      <x:c r="O13" s="27" t="n">
        <x:v>21878.99</x:v>
      </x:c>
      <x:c r="P13" s="27" t="n">
        <x:v>111843.72</x:v>
      </x:c>
      <x:c r="Q13" s="29" t="n">
        <x:f>IFERROR(P13/SUMIFS($P$5:$P$167,$F$5:$F$167,F13,$E$5:$E$167,E13),0)</x:f>
        <x:v>0.18297638691700835</x:v>
      </x:c>
      <x:c r="R13" s="28" t="n">
        <x:v>0</x:v>
      </x:c>
      <x:c r="S13" s="28" t="n">
        <x:v>174</x:v>
      </x:c>
      <x:c r="T13" s="28" t="n">
        <x:v>174</x:v>
      </x:c>
      <x:c r="U13" s="28" t="n">
        <x:v>174</x:v>
      </x:c>
      <x:c r="V13" s="28" t="n">
        <x:v>129467</x:v>
      </x:c>
      <x:c r="W13" s="27" t="n">
        <x:f>IFERROR(P13/T13,0)</x:f>
        <x:v>642.78</x:v>
      </x:c>
      <x:c r="X13" s="25" t="str">
        <x:v>​120238888789550080</x:v>
      </x:c>
    </x:row>
    <x:row r="14">
      <x:c r="A14" s="25" t="str">
        <x:v>Yabancı</x:v>
      </x:c>
      <x:c r="B14" s="25" t="str">
        <x:v>Arapça</x:v>
      </x:c>
      <x:c r="C14" s="25" t="str">
        <x:v>Lead</x:v>
      </x:c>
      <x:c r="D14" s="25" t="str">
        <x:v>Fizik Tedavi / Rehabilitasyon</x:v>
      </x:c>
      <x:c r="E14" s="25" t="str">
        <x:v>Doruk Hospital</x:v>
      </x:c>
      <x:c r="F14" s="25" t="str">
        <x:v>Whatsapp - Fizik Tedavi - Intensive FTR - Arap Bölgesi - Tümü - AR - Doruk İlaj Turkia</x:v>
      </x:c>
      <x:c r="G14" s="25" t="str">
        <x:v>Katar Whatsapp IOS luks</x:v>
      </x:c>
      <x:c r="H14" s="25" t="str">
        <x:v>ACTIVE</x:v>
      </x:c>
      <x:c r="I14" s="25" t="str">
        <x:v>CONVERSATIONS</x:v>
      </x:c>
      <x:c r="J14" s="27" t="n">
        <x:v>0</x:v>
      </x:c>
      <x:c r="K14" s="27" t="n">
        <x:v>0</x:v>
      </x:c>
      <x:c r="L14" s="27" t="n">
        <x:v>3000</x:v>
      </x:c>
      <x:c r="M14" s="27" t="n">
        <x:v>0</x:v>
      </x:c>
      <x:c r="N14" s="27" t="n">
        <x:v>72559.42</x:v>
      </x:c>
      <x:c r="O14" s="27" t="n">
        <x:v>15677.89</x:v>
      </x:c>
      <x:c r="P14" s="27" t="n">
        <x:v>88237.31</x:v>
      </x:c>
      <x:c r="Q14" s="29" t="n">
        <x:f>IFERROR(P14/SUMIFS($P$5:$P$167,$F$5:$F$167,F14,$E$5:$E$167,E14),0)</x:f>
        <x:v>0.14435628728261193</x:v>
      </x:c>
      <x:c r="R14" s="28" t="n">
        <x:v>0</x:v>
      </x:c>
      <x:c r="S14" s="28" t="n">
        <x:v>117</x:v>
      </x:c>
      <x:c r="T14" s="28" t="n">
        <x:v>117</x:v>
      </x:c>
      <x:c r="U14" s="28" t="n">
        <x:v>117</x:v>
      </x:c>
      <x:c r="V14" s="28" t="n">
        <x:v>80627</x:v>
      </x:c>
      <x:c r="W14" s="27" t="n">
        <x:f>IFERROR(P14/T14,0)</x:f>
        <x:v>754.1650427350427</x:v>
      </x:c>
      <x:c r="X14" s="25" t="str">
        <x:v>​120238816571390080</x:v>
      </x:c>
    </x:row>
    <x:row r="15">
      <x:c r="A15" s="25" t="str">
        <x:v>Yabancı</x:v>
      </x:c>
      <x:c r="B15" s="25" t="str">
        <x:v>Arapça</x:v>
      </x:c>
      <x:c r="C15" s="25" t="str">
        <x:v>Lead</x:v>
      </x:c>
      <x:c r="D15" s="25" t="str">
        <x:v>Fizik Tedavi / Rehabilitasyon</x:v>
      </x:c>
      <x:c r="E15" s="25" t="str">
        <x:v>Doruk Hospital</x:v>
      </x:c>
      <x:c r="F15" s="25" t="str">
        <x:v>Whatsapp - Fizik Tedavi - Intensive FTR - Arap Bölgesi - Tümü - AR - Doruk İlaj Turkia</x:v>
      </x:c>
      <x:c r="G15" s="25" t="str">
        <x:v>Kuveyt Whatsapp IOS luks</x:v>
      </x:c>
      <x:c r="H15" s="25" t="str">
        <x:v>ACTIVE</x:v>
      </x:c>
      <x:c r="I15" s="25" t="str">
        <x:v>CONVERSATIONS</x:v>
      </x:c>
      <x:c r="J15" s="27" t="n">
        <x:v>0</x:v>
      </x:c>
      <x:c r="K15" s="27" t="n">
        <x:v>0</x:v>
      </x:c>
      <x:c r="L15" s="27" t="n">
        <x:v>11000</x:v>
      </x:c>
      <x:c r="M15" s="27" t="n">
        <x:v>0</x:v>
      </x:c>
      <x:c r="N15" s="27" t="n">
        <x:v>177021.58</x:v>
      </x:c>
      <x:c r="O15" s="27" t="n">
        <x:v>38400.71</x:v>
      </x:c>
      <x:c r="P15" s="27" t="n">
        <x:v>215422.28999999998</x:v>
      </x:c>
      <x:c r="Q15" s="29" t="n">
        <x:f>IFERROR(P15/SUMIFS($P$5:$P$167,$F$5:$F$167,F15,$E$5:$E$167,E15),0)</x:f>
        <x:v>0.35243098392639277</x:v>
      </x:c>
      <x:c r="R15" s="28" t="n">
        <x:v>0</x:v>
      </x:c>
      <x:c r="S15" s="28" t="n">
        <x:v>250</x:v>
      </x:c>
      <x:c r="T15" s="28" t="n">
        <x:v>250</x:v>
      </x:c>
      <x:c r="U15" s="28" t="n">
        <x:v>250</x:v>
      </x:c>
      <x:c r="V15" s="28" t="n">
        <x:v>136809</x:v>
      </x:c>
      <x:c r="W15" s="27" t="n">
        <x:f>IFERROR(P15/T15,0)</x:f>
        <x:v>861.6891599999999</x:v>
      </x:c>
      <x:c r="X15" s="25" t="str">
        <x:v>​120238816571400080</x:v>
      </x:c>
    </x:row>
    <x:row r="16">
      <x:c r="A16" s="25" t="str">
        <x:v>Yabancı</x:v>
      </x:c>
      <x:c r="B16" s="25" t="str">
        <x:v>Arapça</x:v>
      </x:c>
      <x:c r="C16" s="25" t="str">
        <x:v>Lead</x:v>
      </x:c>
      <x:c r="D16" s="25" t="str">
        <x:v>Fizik Tedavi / Rehabilitasyon</x:v>
      </x:c>
      <x:c r="E16" s="25" t="str">
        <x:v>Doruk Hospital</x:v>
      </x:c>
      <x:c r="F16" s="25" t="str">
        <x:v>Whatsapp - Fizik Tedavi - Intensive FTR - Arap Bölgesi - Tümü - AR - Doruk İlaj Turkia</x:v>
      </x:c>
      <x:c r="G16" s="25" t="str">
        <x:v>Kuveyt,Katar Whatsapp android luks</x:v>
      </x:c>
      <x:c r="H16" s="25" t="str">
        <x:v>ACTIVE</x:v>
      </x:c>
      <x:c r="I16" s="25" t="str">
        <x:v>CONVERSATIONS</x:v>
      </x:c>
      <x:c r="J16" s="27" t="n">
        <x:v>0</x:v>
      </x:c>
      <x:c r="K16" s="27" t="n">
        <x:v>0</x:v>
      </x:c>
      <x:c r="L16" s="27" t="n">
        <x:v>3000</x:v>
      </x:c>
      <x:c r="M16" s="27" t="n">
        <x:v>0</x:v>
      </x:c>
      <x:c r="N16" s="27" t="n">
        <x:v>50633.67</x:v>
      </x:c>
      <x:c r="O16" s="27" t="n">
        <x:v>9175.09</x:v>
      </x:c>
      <x:c r="P16" s="27" t="n">
        <x:v>59808.759999999995</x:v>
      </x:c>
      <x:c r="Q16" s="29" t="n">
        <x:f>IFERROR(P16/SUMIFS($P$5:$P$167,$F$5:$F$167,F16,$E$5:$E$167,E16),0)</x:f>
        <x:v>0.09784716397833057</x:v>
      </x:c>
      <x:c r="R16" s="28" t="n">
        <x:v>0</x:v>
      </x:c>
      <x:c r="S16" s="28" t="n">
        <x:v>42</x:v>
      </x:c>
      <x:c r="T16" s="28" t="n">
        <x:v>42</x:v>
      </x:c>
      <x:c r="U16" s="28" t="n">
        <x:v>42</x:v>
      </x:c>
      <x:c r="V16" s="28" t="n">
        <x:v>62016</x:v>
      </x:c>
      <x:c r="W16" s="27" t="n">
        <x:f>IFERROR(P16/T16,0)</x:f>
        <x:v>1424.0180952380952</x:v>
      </x:c>
      <x:c r="X16" s="25" t="str">
        <x:v>​120238816571650080</x:v>
      </x:c>
    </x:row>
    <x:row r="17">
      <x:c r="A17" s="25" t="str">
        <x:v>Yabancı</x:v>
      </x:c>
      <x:c r="B17" s="25" t="str">
        <x:v>Arapça</x:v>
      </x:c>
      <x:c r="C17" s="25" t="str">
        <x:v>Lead</x:v>
      </x:c>
      <x:c r="D17" s="25" t="str">
        <x:v>Medikal Estetik / Plastik Cerrahi</x:v>
      </x:c>
      <x:c r="E17" s="25" t="str">
        <x:v>Doruk Hospital</x:v>
      </x:c>
      <x:c r="F17" s="25" t="str">
        <x:v>Meme Estetiği - Jinekomasti - Arap Bölgesi - Tümü - AR - Doruk Jinekomasti</x:v>
      </x:c>
      <x:c r="G17" s="25" t="str">
        <x:v>Jinekomasti - Arap Bölgesi</x:v>
      </x:c>
      <x:c r="H17" s="25" t="str">
        <x:v>CAMPAIGN_PAUSED</x:v>
      </x:c>
      <x:c r="I17" s="25" t="str">
        <x:v>LEAD_GENERATION</x:v>
      </x:c>
      <x:c r="J17" s="27" t="n">
        <x:v>0</x:v>
      </x:c>
      <x:c r="K17" s="27" t="n">
        <x:v>0</x:v>
      </x:c>
      <x:c r="L17" s="27" t="n">
        <x:v>4000</x:v>
      </x:c>
      <x:c r="M17" s="27" t="n">
        <x:v>0</x:v>
      </x:c>
      <x:c r="N17" s="27" t="n">
        <x:v>3902.07</x:v>
      </x:c>
      <x:c r="O17" s="27" t="n">
        <x:v>11740.74</x:v>
      </x:c>
      <x:c r="P17" s="27" t="n">
        <x:v>15642.81</x:v>
      </x:c>
      <x:c r="Q17" s="29" t="n">
        <x:f>IFERROR(P17/SUMIFS($P$5:$P$167,$F$5:$F$167,F17,$E$5:$E$167,E17),0)</x:f>
        <x:v>1</x:v>
      </x:c>
      <x:c r="R17" s="28" t="n">
        <x:v>62</x:v>
      </x:c>
      <x:c r="S17" s="28" t="n">
        <x:v>64</x:v>
      </x:c>
      <x:c r="T17" s="28" t="n">
        <x:v>126</x:v>
      </x:c>
      <x:c r="U17" s="28" t="n">
        <x:v>64</x:v>
      </x:c>
      <x:c r="V17" s="28" t="n">
        <x:v>20177</x:v>
      </x:c>
      <x:c r="W17" s="27" t="n">
        <x:f>IFERROR(P17/T17,0)</x:f>
        <x:v>124.14928571428571</x:v>
      </x:c>
      <x:c r="X17" s="25" t="str">
        <x:v>​120247623884680080</x:v>
      </x:c>
    </x:row>
    <x:row r="18">
      <x:c r="A18" s="25" t="str">
        <x:v>Yabancı</x:v>
      </x:c>
      <x:c r="B18" s="25" t="str">
        <x:v>İngilizce</x:v>
      </x:c>
      <x:c r="C18" s="25" t="str">
        <x:v>Lead</x:v>
      </x:c>
      <x:c r="D18" s="25" t="str">
        <x:v>Medikal Estetik / Plastik Cerrahi</x:v>
      </x:c>
      <x:c r="E18" s="25" t="str">
        <x:v>Doruk Hospital</x:v>
      </x:c>
      <x:c r="F18" s="25" t="str">
        <x:v>Meme Estetiği - Jinekomasti - Birleşik Krallık - Tümü - EN - Doruk Jinekomasti</x:v>
      </x:c>
      <x:c r="G18" s="25" t="str">
        <x:v>Jinekomasti - UK</x:v>
      </x:c>
      <x:c r="H18" s="25" t="str">
        <x:v>CAMPAIGN_PAUSED</x:v>
      </x:c>
      <x:c r="I18" s="25" t="str">
        <x:v>LEAD_GENERATION</x:v>
      </x:c>
      <x:c r="J18" s="27" t="n">
        <x:v>0</x:v>
      </x:c>
      <x:c r="K18" s="27" t="n">
        <x:v>0</x:v>
      </x:c>
      <x:c r="L18" s="27" t="n">
        <x:v>3000</x:v>
      </x:c>
      <x:c r="M18" s="27" t="n">
        <x:v>0</x:v>
      </x:c>
      <x:c r="N18" s="27" t="n">
        <x:v>7124.92</x:v>
      </x:c>
      <x:c r="O18" s="27" t="n">
        <x:v>8098.5</x:v>
      </x:c>
      <x:c r="P18" s="27" t="n">
        <x:v>15223.42</x:v>
      </x:c>
      <x:c r="Q18" s="29" t="n">
        <x:f>IFERROR(P18/SUMIFS($P$5:$P$167,$F$5:$F$167,F18,$E$5:$E$167,E18),0)</x:f>
        <x:v>1</x:v>
      </x:c>
      <x:c r="R18" s="28" t="n">
        <x:v>47</x:v>
      </x:c>
      <x:c r="S18" s="28" t="n">
        <x:v>0</x:v>
      </x:c>
      <x:c r="T18" s="28" t="n">
        <x:v>47</x:v>
      </x:c>
      <x:c r="U18" s="28" t="n">
        <x:v>0</x:v>
      </x:c>
      <x:c r="V18" s="28" t="n">
        <x:v>6116</x:v>
      </x:c>
      <x:c r="W18" s="27" t="n">
        <x:f>IFERROR(P18/T18,0)</x:f>
        <x:v>323.90255319148935</x:v>
      </x:c>
      <x:c r="X18" s="25" t="str">
        <x:v>​120247576936700080</x:v>
      </x:c>
    </x:row>
    <x:row r="19">
      <x:c r="A19" s="25" t="str">
        <x:v>Yerli</x:v>
      </x:c>
      <x:c r="B19" s="25" t="str">
        <x:v>Türkçe</x:v>
      </x:c>
      <x:c r="C19" s="25" t="str">
        <x:v>Bilinirlik / İzlenme / Trafik</x:v>
      </x:c>
      <x:c r="D19" s="25" t="str">
        <x:v>Diğer / Sınıflandırılacak</x:v>
      </x:c>
      <x:c r="E19" s="25" t="str">
        <x:v>Doruk Hastaneleri - SİNA ÖZEL Sağlık Hizmetleri A.ş</x:v>
      </x:c>
      <x:c r="F19" s="25" t="str">
        <x:v>Instagram gönderisi: 🎗️ Kemoterapi Alan Her...</x:v>
      </x:c>
      <x:c r="G19" s="25" t="str">
        <x:v>Instagram gönderisi: 🎗️ Kemoterapi Alan Her...</x:v>
      </x:c>
      <x:c r="H19" s="25" t="str">
        <x:v>ACTIVE</x:v>
      </x:c>
      <x:c r="I19" s="25" t="str">
        <x:v>VISIT_INSTAGRAM_PROFILE</x:v>
      </x:c>
      <x:c r="J19" s="27" t="n">
        <x:v>1000</x:v>
      </x:c>
      <x:c r="K19" s="27" t="n">
        <x:v>0</x:v>
      </x:c>
      <x:c r="L19" s="27" t="n">
        <x:v>0</x:v>
      </x:c>
      <x:c r="M19" s="27" t="n">
        <x:v>0</x:v>
      </x:c>
      <x:c r="N19" s="27" t="n">
        <x:v>4861.85</x:v>
      </x:c>
      <x:c r="O19" s="27" t="n">
        <x:v>0</x:v>
      </x:c>
      <x:c r="P19" s="27" t="n">
        <x:v>4861.85</x:v>
      </x:c>
      <x:c r="Q19" s="29" t="n">
        <x:f>IFERROR(P19/SUMIFS($P$5:$P$167,$F$5:$F$167,F19,$E$5:$E$167,E19),0)</x:f>
        <x:v>1</x:v>
      </x:c>
      <x:c r="R19" s="28" t="n">
        <x:v>0</x:v>
      </x:c>
      <x:c r="S19" s="28" t="n">
        <x:v>0</x:v>
      </x:c>
      <x:c r="T19" s="28" t="n">
        <x:v>0</x:v>
      </x:c>
      <x:c r="U19" s="28" t="n">
        <x:v>7</x:v>
      </x:c>
      <x:c r="V19" s="28" t="n">
        <x:v>20669</x:v>
      </x:c>
      <x:c r="W19" s="27" t="n">
        <x:f>IFERROR(P19/T19,0)</x:f>
        <x:v>0</x:v>
      </x:c>
      <x:c r="X19" s="25" t="str">
        <x:v>​120255739290740399</x:v>
      </x:c>
    </x:row>
    <x:row r="20">
      <x:c r="A20" s="25" t="str">
        <x:v>Yerli</x:v>
      </x:c>
      <x:c r="B20" s="25" t="str">
        <x:v>Türkçe</x:v>
      </x:c>
      <x:c r="C20" s="25" t="str">
        <x:v>Bilinirlik / İzlenme / Trafik</x:v>
      </x:c>
      <x:c r="D20" s="25" t="str">
        <x:v>Diğer / Sınıflandırılacak</x:v>
      </x:c>
      <x:c r="E20" s="25" t="str">
        <x:v>Doruk Hastaneleri - SİNA ÖZEL Sağlık Hizmetleri A.ş</x:v>
      </x:c>
      <x:c r="F20" s="25" t="str">
        <x:v>Instagram gönderisi: 🏅 BURSA'DA BİR İLK
Özel...</x:v>
      </x:c>
      <x:c r="G20" s="25" t="str">
        <x:v>Instagram gönderisi: 🏅 BURSA'DA BİR İLK
Özel...</x:v>
      </x:c>
      <x:c r="H20" s="25" t="str">
        <x:v>ACTIVE</x:v>
      </x:c>
      <x:c r="I20" s="25" t="str">
        <x:v>VISIT_INSTAGRAM_PROFILE</x:v>
      </x:c>
      <x:c r="J20" s="27" t="n">
        <x:v>1000</x:v>
      </x:c>
      <x:c r="K20" s="27" t="n">
        <x:v>0</x:v>
      </x:c>
      <x:c r="L20" s="27" t="n">
        <x:v>0</x:v>
      </x:c>
      <x:c r="M20" s="27" t="n">
        <x:v>0</x:v>
      </x:c>
      <x:c r="N20" s="27" t="n">
        <x:v>5950.62</x:v>
      </x:c>
      <x:c r="O20" s="27" t="n">
        <x:v>4410.15</x:v>
      </x:c>
      <x:c r="P20" s="27" t="n">
        <x:v>10360.77</x:v>
      </x:c>
      <x:c r="Q20" s="29" t="n">
        <x:f>IFERROR(P20/SUMIFS($P$5:$P$167,$F$5:$F$167,F20,$E$5:$E$167,E20),0)</x:f>
        <x:v>1</x:v>
      </x:c>
      <x:c r="R20" s="28" t="n">
        <x:v>0</x:v>
      </x:c>
      <x:c r="S20" s="28" t="n">
        <x:v>0</x:v>
      </x:c>
      <x:c r="T20" s="28" t="n">
        <x:v>0</x:v>
      </x:c>
      <x:c r="U20" s="28" t="n">
        <x:v>1</x:v>
      </x:c>
      <x:c r="V20" s="28" t="n">
        <x:v>64986</x:v>
      </x:c>
      <x:c r="W20" s="27" t="n">
        <x:f>IFERROR(P20/T20,0)</x:f>
        <x:v>0</x:v>
      </x:c>
      <x:c r="X20" s="25" t="str">
        <x:v>​120255738304110399</x:v>
      </x:c>
    </x:row>
    <x:row r="21">
      <x:c r="A21" s="25" t="str">
        <x:v>Yerli</x:v>
      </x:c>
      <x:c r="B21" s="25" t="str">
        <x:v>Türkçe</x:v>
      </x:c>
      <x:c r="C21" s="25" t="str">
        <x:v>Bilinirlik / İzlenme / Trafik</x:v>
      </x:c>
      <x:c r="D21" s="25" t="str">
        <x:v>Diğer / Sınıflandırılacak</x:v>
      </x:c>
      <x:c r="E21" s="25" t="str">
        <x:v>Doruk Hastaneleri - SİNA ÖZEL Sağlık Hizmetleri A.ş</x:v>
      </x:c>
      <x:c r="F21" s="25" t="str">
        <x:v>Instagram gönderisi: 🖐️ Parmak Ucu Defekti Nasıl...</x:v>
      </x:c>
      <x:c r="G21" s="25" t="str">
        <x:v>Instagram gönderisi: 🖐️ Parmak Ucu Defekti Nasıl...</x:v>
      </x:c>
      <x:c r="H21" s="25" t="str">
        <x:v>ACTIVE</x:v>
      </x:c>
      <x:c r="I21" s="25" t="str">
        <x:v>VISIT_INSTAGRAM_PROFILE</x:v>
      </x:c>
      <x:c r="J21" s="27" t="n">
        <x:v>1000</x:v>
      </x:c>
      <x:c r="K21" s="27" t="n">
        <x:v>0</x:v>
      </x:c>
      <x:c r="L21" s="27" t="n">
        <x:v>0</x:v>
      </x:c>
      <x:c r="M21" s="27" t="n">
        <x:v>0</x:v>
      </x:c>
      <x:c r="N21" s="27" t="n">
        <x:v>5857.14</x:v>
      </x:c>
      <x:c r="O21" s="27" t="n">
        <x:v>3895.68</x:v>
      </x:c>
      <x:c r="P21" s="27" t="n">
        <x:v>9752.82</x:v>
      </x:c>
      <x:c r="Q21" s="29" t="n">
        <x:f>IFERROR(P21/SUMIFS($P$5:$P$167,$F$5:$F$167,F21,$E$5:$E$167,E21),0)</x:f>
        <x:v>1</x:v>
      </x:c>
      <x:c r="R21" s="28" t="n">
        <x:v>0</x:v>
      </x:c>
      <x:c r="S21" s="28" t="n">
        <x:v>0</x:v>
      </x:c>
      <x:c r="T21" s="28" t="n">
        <x:v>0</x:v>
      </x:c>
      <x:c r="U21" s="28" t="n">
        <x:v>1</x:v>
      </x:c>
      <x:c r="V21" s="28" t="n">
        <x:v>45213</x:v>
      </x:c>
      <x:c r="W21" s="27" t="n">
        <x:f>IFERROR(P21/T21,0)</x:f>
        <x:v>0</x:v>
      </x:c>
      <x:c r="X21" s="25" t="str">
        <x:v>​120255739195110399</x:v>
      </x:c>
    </x:row>
    <x:row r="22">
      <x:c r="A22" s="25" t="str">
        <x:v>Yerli</x:v>
      </x:c>
      <x:c r="B22" s="25" t="str">
        <x:v>Türkçe</x:v>
      </x:c>
      <x:c r="C22" s="25" t="str">
        <x:v>Bilinirlik / İzlenme / Trafik</x:v>
      </x:c>
      <x:c r="D22" s="25" t="str">
        <x:v>Diğer / Sınıflandırılacak</x:v>
      </x:c>
      <x:c r="E22" s="25" t="str">
        <x:v>Doruk Hastaneleri - SİNA ÖZEL Sağlık Hizmetleri A.ş</x:v>
      </x:c>
      <x:c r="F22" s="25" t="str">
        <x:v>Instagram gönderisi: 🦴 Bel Fıtığında Doğru Zaman...</x:v>
      </x:c>
      <x:c r="G22" s="25" t="str">
        <x:v>Instagram gönderisi: 🦴 Bel Fıtığında Doğru Zaman...</x:v>
      </x:c>
      <x:c r="H22" s="25" t="str">
        <x:v>ACTIVE</x:v>
      </x:c>
      <x:c r="I22" s="25" t="str">
        <x:v>VISIT_INSTAGRAM_PROFILE</x:v>
      </x:c>
      <x:c r="J22" s="27" t="n">
        <x:v>1000</x:v>
      </x:c>
      <x:c r="K22" s="27" t="n">
        <x:v>0</x:v>
      </x:c>
      <x:c r="L22" s="27" t="n">
        <x:v>0</x:v>
      </x:c>
      <x:c r="M22" s="27" t="n">
        <x:v>0</x:v>
      </x:c>
      <x:c r="N22" s="27" t="n">
        <x:v>4602.73</x:v>
      </x:c>
      <x:c r="O22" s="27" t="n">
        <x:v>0</x:v>
      </x:c>
      <x:c r="P22" s="27" t="n">
        <x:v>4602.73</x:v>
      </x:c>
      <x:c r="Q22" s="29" t="n">
        <x:f>IFERROR(P22/SUMIFS($P$5:$P$167,$F$5:$F$167,F22,$E$5:$E$167,E22),0)</x:f>
        <x:v>1</x:v>
      </x:c>
      <x:c r="R22" s="28" t="n">
        <x:v>0</x:v>
      </x:c>
      <x:c r="S22" s="28" t="n">
        <x:v>0</x:v>
      </x:c>
      <x:c r="T22" s="28" t="n">
        <x:v>0</x:v>
      </x:c>
      <x:c r="U22" s="28" t="n">
        <x:v>4</x:v>
      </x:c>
      <x:c r="V22" s="28" t="n">
        <x:v>21243</x:v>
      </x:c>
      <x:c r="W22" s="27" t="n">
        <x:f>IFERROR(P22/T22,0)</x:f>
        <x:v>0</x:v>
      </x:c>
      <x:c r="X22" s="25" t="str">
        <x:v>​120255739486480399</x:v>
      </x:c>
    </x:row>
    <x:row r="23">
      <x:c r="A23" s="25" t="str">
        <x:v>Yerli</x:v>
      </x:c>
      <x:c r="B23" s="25" t="str">
        <x:v>Türkçe</x:v>
      </x:c>
      <x:c r="C23" s="25" t="str">
        <x:v>Bilinirlik / İzlenme / Trafik</x:v>
      </x:c>
      <x:c r="D23" s="25" t="str">
        <x:v>Diğer / Sınıflandırılacak</x:v>
      </x:c>
      <x:c r="E23" s="25" t="str">
        <x:v>Doruk Hastaneleri - SİNA ÖZEL Sağlık Hizmetleri A.ş</x:v>
      </x:c>
      <x:c r="F23" s="25" t="str">
        <x:v>Instagram gönderisi: 🦴 Omurga Kırıklarında Asıl...</x:v>
      </x:c>
      <x:c r="G23" s="25" t="str">
        <x:v>Instagram gönderisi: 🦴 Omurga Kırıklarında Asıl...</x:v>
      </x:c>
      <x:c r="H23" s="25" t="str">
        <x:v>ACTIVE</x:v>
      </x:c>
      <x:c r="I23" s="25" t="str">
        <x:v>VISIT_INSTAGRAM_PROFILE</x:v>
      </x:c>
      <x:c r="J23" s="27" t="n">
        <x:v>1000</x:v>
      </x:c>
      <x:c r="K23" s="27" t="n">
        <x:v>0</x:v>
      </x:c>
      <x:c r="L23" s="27" t="n">
        <x:v>0</x:v>
      </x:c>
      <x:c r="M23" s="27" t="n">
        <x:v>0</x:v>
      </x:c>
      <x:c r="N23" s="27" t="n">
        <x:v>4690.69</x:v>
      </x:c>
      <x:c r="O23" s="27" t="n">
        <x:v>0</x:v>
      </x:c>
      <x:c r="P23" s="27" t="n">
        <x:v>4690.69</x:v>
      </x:c>
      <x:c r="Q23" s="29" t="n">
        <x:f>IFERROR(P23/SUMIFS($P$5:$P$167,$F$5:$F$167,F23,$E$5:$E$167,E23),0)</x:f>
        <x:v>1</x:v>
      </x:c>
      <x:c r="R23" s="28" t="n">
        <x:v>0</x:v>
      </x:c>
      <x:c r="S23" s="28" t="n">
        <x:v>0</x:v>
      </x:c>
      <x:c r="T23" s="28" t="n">
        <x:v>0</x:v>
      </x:c>
      <x:c r="U23" s="28" t="n">
        <x:v>6</x:v>
      </x:c>
      <x:c r="V23" s="28" t="n">
        <x:v>20700</x:v>
      </x:c>
      <x:c r="W23" s="27" t="n">
        <x:f>IFERROR(P23/T23,0)</x:f>
        <x:v>0</x:v>
      </x:c>
      <x:c r="X23" s="25" t="str">
        <x:v>​120255739460790399</x:v>
      </x:c>
    </x:row>
    <x:row r="24">
      <x:c r="A24" s="25" t="str">
        <x:v>Yerli</x:v>
      </x:c>
      <x:c r="B24" s="25" t="str">
        <x:v>Türkçe</x:v>
      </x:c>
      <x:c r="C24" s="25" t="str">
        <x:v>Bilinirlik / İzlenme / Trafik</x:v>
      </x:c>
      <x:c r="D24" s="25" t="str">
        <x:v>Diğer / Sınıflandırılacak</x:v>
      </x:c>
      <x:c r="E24" s="25" t="str">
        <x:v>Doruk Hastaneleri - SİNA ÖZEL Sağlık Hizmetleri A.ş</x:v>
      </x:c>
      <x:c r="F24" s="25" t="str">
        <x:v>Instagram gönderisi: Ablasyon tedavisi, vücutta...</x:v>
      </x:c>
      <x:c r="G24" s="25" t="str">
        <x:v>Instagram gönderisi: Ablasyon tedavisi, vücutta...</x:v>
      </x:c>
      <x:c r="H24" s="25" t="str">
        <x:v>ACTIVE</x:v>
      </x:c>
      <x:c r="I24" s="25" t="str">
        <x:v>VISIT_INSTAGRAM_PROFILE</x:v>
      </x:c>
      <x:c r="J24" s="27" t="n">
        <x:v>1000</x:v>
      </x:c>
      <x:c r="K24" s="27" t="n">
        <x:v>0</x:v>
      </x:c>
      <x:c r="L24" s="27" t="n">
        <x:v>0</x:v>
      </x:c>
      <x:c r="M24" s="27" t="n">
        <x:v>0</x:v>
      </x:c>
      <x:c r="N24" s="27" t="n">
        <x:v>4881.75</x:v>
      </x:c>
      <x:c r="O24" s="27" t="n">
        <x:v>0</x:v>
      </x:c>
      <x:c r="P24" s="27" t="n">
        <x:v>4881.75</x:v>
      </x:c>
      <x:c r="Q24" s="29" t="n">
        <x:f>IFERROR(P24/SUMIFS($P$5:$P$167,$F$5:$F$167,F24,$E$5:$E$167,E24),0)</x:f>
        <x:v>1</x:v>
      </x:c>
      <x:c r="R24" s="28" t="n">
        <x:v>0</x:v>
      </x:c>
      <x:c r="S24" s="28" t="n">
        <x:v>0</x:v>
      </x:c>
      <x:c r="T24" s="28" t="n">
        <x:v>0</x:v>
      </x:c>
      <x:c r="U24" s="28" t="n">
        <x:v>0</x:v>
      </x:c>
      <x:c r="V24" s="28" t="n">
        <x:v>11781</x:v>
      </x:c>
      <x:c r="W24" s="27" t="n">
        <x:f>IFERROR(P24/T24,0)</x:f>
        <x:v>0</x:v>
      </x:c>
      <x:c r="X24" s="25" t="str">
        <x:v>​120255738376950399</x:v>
      </x:c>
    </x:row>
    <x:row r="25">
      <x:c r="A25" s="25" t="str">
        <x:v>Yerli</x:v>
      </x:c>
      <x:c r="B25" s="25" t="str">
        <x:v>Türkçe</x:v>
      </x:c>
      <x:c r="C25" s="25" t="str">
        <x:v>Bilinirlik / İzlenme / Trafik</x:v>
      </x:c>
      <x:c r="D25" s="25" t="str">
        <x:v>Diğer / Sınıflandırılacak</x:v>
      </x:c>
      <x:c r="E25" s="25" t="str">
        <x:v>Doruk Hastaneleri - SİNA ÖZEL Sağlık Hizmetleri A.ş</x:v>
      </x:c>
      <x:c r="F25" s="25" t="str">
        <x:v>Instagram gönderisi: Bir sezon boyunca ortaya...</x:v>
      </x:c>
      <x:c r="G25" s="25" t="str">
        <x:v>Instagram gönderisi: Bir sezon boyunca ortaya...</x:v>
      </x:c>
      <x:c r="H25" s="25" t="str">
        <x:v>ACTIVE</x:v>
      </x:c>
      <x:c r="I25" s="25" t="str">
        <x:v>VISIT_INSTAGRAM_PROFILE</x:v>
      </x:c>
      <x:c r="J25" s="27" t="n">
        <x:v>0</x:v>
      </x:c>
      <x:c r="K25" s="27" t="n">
        <x:v>0</x:v>
      </x:c>
      <x:c r="L25" s="27" t="n">
        <x:v>4000</x:v>
      </x:c>
      <x:c r="M25" s="27" t="n">
        <x:v>0</x:v>
      </x:c>
      <x:c r="N25" s="27" t="n">
        <x:v>89061.13</x:v>
      </x:c>
      <x:c r="O25" s="27" t="n">
        <x:v>19306.66</x:v>
      </x:c>
      <x:c r="P25" s="27" t="n">
        <x:v>108367.79000000001</x:v>
      </x:c>
      <x:c r="Q25" s="29" t="n">
        <x:f>IFERROR(P25/SUMIFS($P$5:$P$167,$F$5:$F$167,F25,$E$5:$E$167,E25),0)</x:f>
        <x:v>1</x:v>
      </x:c>
      <x:c r="R25" s="28" t="n">
        <x:v>0</x:v>
      </x:c>
      <x:c r="S25" s="28" t="n">
        <x:v>0</x:v>
      </x:c>
      <x:c r="T25" s="28" t="n">
        <x:v>0</x:v>
      </x:c>
      <x:c r="U25" s="28" t="n">
        <x:v>3</x:v>
      </x:c>
      <x:c r="V25" s="28" t="n">
        <x:v>412332</x:v>
      </x:c>
      <x:c r="W25" s="27" t="n">
        <x:f>IFERROR(P25/T25,0)</x:f>
        <x:v>0</x:v>
      </x:c>
      <x:c r="X25" s="25" t="str">
        <x:v>​120249614229100399</x:v>
      </x:c>
    </x:row>
    <x:row r="26">
      <x:c r="A26" s="25" t="str">
        <x:v>Yerli</x:v>
      </x:c>
      <x:c r="B26" s="25" t="str">
        <x:v>Türkçe</x:v>
      </x:c>
      <x:c r="C26" s="25" t="str">
        <x:v>Bilinirlik / İzlenme / Trafik</x:v>
      </x:c>
      <x:c r="D26" s="25" t="str">
        <x:v>Diğer / Sınıflandırılacak</x:v>
      </x:c>
      <x:c r="E26" s="25" t="str">
        <x:v>Doruk Hastaneleri - SİNA ÖZEL Sağlık Hizmetleri A.ş</x:v>
      </x:c>
      <x:c r="F26" s="25" t="str">
        <x:v>Instagram gönderisi: Doruk Sağlık Grubu olarak,...</x:v>
      </x:c>
      <x:c r="G26" s="25" t="str">
        <x:v>Instagram gönderisi: Doruk Sağlık Grubu olarak,...</x:v>
      </x:c>
      <x:c r="H26" s="25" t="str">
        <x:v>ACTIVE</x:v>
      </x:c>
      <x:c r="I26" s="25" t="str">
        <x:v>VISIT_INSTAGRAM_PROFILE</x:v>
      </x:c>
      <x:c r="J26" s="27" t="n">
        <x:v>3000</x:v>
      </x:c>
      <x:c r="K26" s="27" t="n">
        <x:v>0</x:v>
      </x:c>
      <x:c r="L26" s="27" t="n">
        <x:v>0</x:v>
      </x:c>
      <x:c r="M26" s="27" t="n">
        <x:v>0</x:v>
      </x:c>
      <x:c r="N26" s="27" t="n">
        <x:v>66937.6</x:v>
      </x:c>
      <x:c r="O26" s="27" t="n">
        <x:v>0</x:v>
      </x:c>
      <x:c r="P26" s="27" t="n">
        <x:v>66937.6</x:v>
      </x:c>
      <x:c r="Q26" s="29" t="n">
        <x:f>IFERROR(P26/SUMIFS($P$5:$P$167,$F$5:$F$167,F26,$E$5:$E$167,E26),0)</x:f>
        <x:v>1</x:v>
      </x:c>
      <x:c r="R26" s="28" t="n">
        <x:v>0</x:v>
      </x:c>
      <x:c r="S26" s="28" t="n">
        <x:v>0</x:v>
      </x:c>
      <x:c r="T26" s="28" t="n">
        <x:v>0</x:v>
      </x:c>
      <x:c r="U26" s="28" t="n">
        <x:v>0</x:v>
      </x:c>
      <x:c r="V26" s="28" t="n">
        <x:v>261431</x:v>
      </x:c>
      <x:c r="W26" s="27" t="n">
        <x:f>IFERROR(P26/T26,0)</x:f>
        <x:v>0</x:v>
      </x:c>
      <x:c r="X26" s="25" t="str">
        <x:v>​120255099624880399</x:v>
      </x:c>
    </x:row>
    <x:row r="27">
      <x:c r="A27" s="25" t="str">
        <x:v>Yerli</x:v>
      </x:c>
      <x:c r="B27" s="25" t="str">
        <x:v>Türkçe</x:v>
      </x:c>
      <x:c r="C27" s="25" t="str">
        <x:v>Bilinirlik / İzlenme / Trafik</x:v>
      </x:c>
      <x:c r="D27" s="25" t="str">
        <x:v>Diğer / Sınıflandırılacak</x:v>
      </x:c>
      <x:c r="E27" s="25" t="str">
        <x:v>Doruk Hastaneleri - SİNA ÖZEL Sağlık Hizmetleri A.ş</x:v>
      </x:c>
      <x:c r="F27" s="25" t="str">
        <x:v>Instagram gönderisi: İlişki sonrasında idrar...</x:v>
      </x:c>
      <x:c r="G27" s="25" t="str">
        <x:v>Instagram gönderisi: İlişki sonrasında idrar...</x:v>
      </x:c>
      <x:c r="H27" s="25" t="str">
        <x:v>ACTIVE</x:v>
      </x:c>
      <x:c r="I27" s="25" t="str">
        <x:v>VISIT_INSTAGRAM_PROFILE</x:v>
      </x:c>
      <x:c r="J27" s="27" t="n">
        <x:v>1000</x:v>
      </x:c>
      <x:c r="K27" s="27" t="n">
        <x:v>0</x:v>
      </x:c>
      <x:c r="L27" s="27" t="n">
        <x:v>0</x:v>
      </x:c>
      <x:c r="M27" s="27" t="n">
        <x:v>0</x:v>
      </x:c>
      <x:c r="N27" s="27" t="n">
        <x:v>4710.19</x:v>
      </x:c>
      <x:c r="O27" s="27" t="n">
        <x:v>0</x:v>
      </x:c>
      <x:c r="P27" s="27" t="n">
        <x:v>4710.19</x:v>
      </x:c>
      <x:c r="Q27" s="29" t="n">
        <x:f>IFERROR(P27/SUMIFS($P$5:$P$167,$F$5:$F$167,F27,$E$5:$E$167,E27),0)</x:f>
        <x:v>1</x:v>
      </x:c>
      <x:c r="R27" s="28" t="n">
        <x:v>0</x:v>
      </x:c>
      <x:c r="S27" s="28" t="n">
        <x:v>0</x:v>
      </x:c>
      <x:c r="T27" s="28" t="n">
        <x:v>0</x:v>
      </x:c>
      <x:c r="U27" s="28" t="n">
        <x:v>1</x:v>
      </x:c>
      <x:c r="V27" s="28" t="n">
        <x:v>16097</x:v>
      </x:c>
      <x:c r="W27" s="27" t="n">
        <x:f>IFERROR(P27/T27,0)</x:f>
        <x:v>0</x:v>
      </x:c>
      <x:c r="X27" s="25" t="str">
        <x:v>​120255738351550399</x:v>
      </x:c>
    </x:row>
    <x:row r="28">
      <x:c r="A28" s="25" t="str">
        <x:v>Yerli</x:v>
      </x:c>
      <x:c r="B28" s="25" t="str">
        <x:v>Türkçe</x:v>
      </x:c>
      <x:c r="C28" s="25" t="str">
        <x:v>Bilinirlik / İzlenme / Trafik</x:v>
      </x:c>
      <x:c r="D28" s="25" t="str">
        <x:v>Doğum Kampanyası</x:v>
      </x:c>
      <x:c r="E28" s="25" t="str">
        <x:v>Doruk Hastaneleri - SİNA ÖZEL Sağlık Hizmetleri A.ş</x:v>
      </x:c>
      <x:c r="F28" s="25" t="str">
        <x:v>Gebe-Doğum Bilinirlik</x:v>
      </x:c>
      <x:c r="G28" s="25" t="str">
        <x:v>Gebe Okulu Erişim</x:v>
      </x:c>
      <x:c r="H28" s="25" t="str">
        <x:v>ACTIVE</x:v>
      </x:c>
      <x:c r="I28" s="25" t="str">
        <x:v>REACH</x:v>
      </x:c>
      <x:c r="J28" s="27" t="n">
        <x:v>0</x:v>
      </x:c>
      <x:c r="K28" s="27" t="n">
        <x:v>0</x:v>
      </x:c>
      <x:c r="L28" s="27" t="n">
        <x:v>1000</x:v>
      </x:c>
      <x:c r="M28" s="27" t="n">
        <x:v>0</x:v>
      </x:c>
      <x:c r="N28" s="27" t="n">
        <x:v>22253.08</x:v>
      </x:c>
      <x:c r="O28" s="27" t="n">
        <x:v>4848.85</x:v>
      </x:c>
      <x:c r="P28" s="27" t="n">
        <x:v>27101.93</x:v>
      </x:c>
      <x:c r="Q28" s="29" t="n">
        <x:f>IFERROR(P28/SUMIFS($P$5:$P$167,$F$5:$F$167,F28,$E$5:$E$167,E28),0)</x:f>
        <x:v>1</x:v>
      </x:c>
      <x:c r="R28" s="28" t="n">
        <x:v>0</x:v>
      </x:c>
      <x:c r="S28" s="28" t="n">
        <x:v>0</x:v>
      </x:c>
      <x:c r="T28" s="28" t="n">
        <x:v>0</x:v>
      </x:c>
      <x:c r="U28" s="28" t="n">
        <x:v>0</x:v>
      </x:c>
      <x:c r="V28" s="28" t="n">
        <x:v>197838</x:v>
      </x:c>
      <x:c r="W28" s="27" t="n">
        <x:f>IFERROR(P28/T28,0)</x:f>
        <x:v>0</x:v>
      </x:c>
      <x:c r="X28" s="25" t="str">
        <x:v>​120247034876630399</x:v>
      </x:c>
    </x:row>
    <x:row r="29">
      <x:c r="A29" s="25" t="str">
        <x:v>Yerli</x:v>
      </x:c>
      <x:c r="B29" s="25" t="str">
        <x:v>Türkçe</x:v>
      </x:c>
      <x:c r="C29" s="25" t="str">
        <x:v>Bilinirlik / İzlenme / Trafik</x:v>
      </x:c>
      <x:c r="D29" s="25" t="str">
        <x:v>Doğum Kampanyası</x:v>
      </x:c>
      <x:c r="E29" s="25" t="str">
        <x:v>Doruk Hastaneleri - SİNA ÖZEL Sağlık Hizmetleri A.ş</x:v>
      </x:c>
      <x:c r="F29" s="25" t="str">
        <x:v>Instagram gönderisi: •Gebelikte Tarama Testleri |...</x:v>
      </x:c>
      <x:c r="G29" s="25" t="str">
        <x:v>Instagram gönderisi: •Gebelikte Tarama Testleri |...</x:v>
      </x:c>
      <x:c r="H29" s="25" t="str">
        <x:v>CAMPAIGN_PAUSED</x:v>
      </x:c>
      <x:c r="I29" s="25" t="str">
        <x:v>VISIT_INSTAGRAM_PROFILE</x:v>
      </x:c>
      <x:c r="J29" s="27" t="n">
        <x:v>1000</x:v>
      </x:c>
      <x:c r="K29" s="27" t="n">
        <x:v>0</x:v>
      </x:c>
      <x:c r="L29" s="27" t="n">
        <x:v>0</x:v>
      </x:c>
      <x:c r="M29" s="27" t="n">
        <x:v>0</x:v>
      </x:c>
      <x:c r="N29" s="27" t="n">
        <x:v>2378.12</x:v>
      </x:c>
      <x:c r="O29" s="27" t="n">
        <x:v>0</x:v>
      </x:c>
      <x:c r="P29" s="27" t="n">
        <x:v>2378.12</x:v>
      </x:c>
      <x:c r="Q29" s="29" t="n">
        <x:f>IFERROR(P29/SUMIFS($P$5:$P$167,$F$5:$F$167,F29,$E$5:$E$167,E29),0)</x:f>
        <x:v>1</x:v>
      </x:c>
      <x:c r="R29" s="28" t="n">
        <x:v>0</x:v>
      </x:c>
      <x:c r="S29" s="28" t="n">
        <x:v>0</x:v>
      </x:c>
      <x:c r="T29" s="28" t="n">
        <x:v>0</x:v>
      </x:c>
      <x:c r="U29" s="28" t="n">
        <x:v>1</x:v>
      </x:c>
      <x:c r="V29" s="28" t="n">
        <x:v>8109</x:v>
      </x:c>
      <x:c r="W29" s="27" t="n">
        <x:f>IFERROR(P29/T29,0)</x:f>
        <x:v>0</x:v>
      </x:c>
      <x:c r="X29" s="25" t="str">
        <x:v>​120255739369440399</x:v>
      </x:c>
    </x:row>
    <x:row r="30">
      <x:c r="A30" s="25" t="str">
        <x:v>Yerli</x:v>
      </x:c>
      <x:c r="B30" s="25" t="str">
        <x:v>Türkçe</x:v>
      </x:c>
      <x:c r="C30" s="25" t="str">
        <x:v>Bilinirlik / İzlenme / Trafik</x:v>
      </x:c>
      <x:c r="D30" s="25" t="str">
        <x:v>Doğum Kampanyası</x:v>
      </x:c>
      <x:c r="E30" s="25" t="str">
        <x:v>Doruk Hastaneleri - SİNA ÖZEL Sağlık Hizmetleri A.ş</x:v>
      </x:c>
      <x:c r="F30" s="25" t="str">
        <x:v>Instagram gönderisi: ✅Gebelikte uyku pozisyonu...</x:v>
      </x:c>
      <x:c r="G30" s="25" t="str">
        <x:v>Instagram gönderisi: ✅Gebelikte uyku pozisyonu...</x:v>
      </x:c>
      <x:c r="H30" s="25" t="str">
        <x:v>CAMPAIGN_PAUSED</x:v>
      </x:c>
      <x:c r="I30" s="25" t="str">
        <x:v>VISIT_INSTAGRAM_PROFILE</x:v>
      </x:c>
      <x:c r="J30" s="27" t="n">
        <x:v>1000</x:v>
      </x:c>
      <x:c r="K30" s="27" t="n">
        <x:v>0</x:v>
      </x:c>
      <x:c r="L30" s="27" t="n">
        <x:v>0</x:v>
      </x:c>
      <x:c r="M30" s="27" t="n">
        <x:v>0</x:v>
      </x:c>
      <x:c r="N30" s="27" t="n">
        <x:v>2585.86</x:v>
      </x:c>
      <x:c r="O30" s="27" t="n">
        <x:v>0</x:v>
      </x:c>
      <x:c r="P30" s="27" t="n">
        <x:v>2585.86</x:v>
      </x:c>
      <x:c r="Q30" s="29" t="n">
        <x:f>IFERROR(P30/SUMIFS($P$5:$P$167,$F$5:$F$167,F30,$E$5:$E$167,E30),0)</x:f>
        <x:v>1</x:v>
      </x:c>
      <x:c r="R30" s="28" t="n">
        <x:v>0</x:v>
      </x:c>
      <x:c r="S30" s="28" t="n">
        <x:v>0</x:v>
      </x:c>
      <x:c r="T30" s="28" t="n">
        <x:v>0</x:v>
      </x:c>
      <x:c r="U30" s="28" t="n">
        <x:v>2</x:v>
      </x:c>
      <x:c r="V30" s="28" t="n">
        <x:v>16283</x:v>
      </x:c>
      <x:c r="W30" s="27" t="n">
        <x:f>IFERROR(P30/T30,0)</x:f>
        <x:v>0</x:v>
      </x:c>
      <x:c r="X30" s="25" t="str">
        <x:v>​120255739424480399</x:v>
      </x:c>
    </x:row>
    <x:row r="31">
      <x:c r="A31" s="25" t="str">
        <x:v>Yerli</x:v>
      </x:c>
      <x:c r="B31" s="25" t="str">
        <x:v>Türkçe</x:v>
      </x:c>
      <x:c r="C31" s="25" t="str">
        <x:v>Bilinirlik / İzlenme / Trafik</x:v>
      </x:c>
      <x:c r="D31" s="25" t="str">
        <x:v>Doğum Kampanyası</x:v>
      </x:c>
      <x:c r="E31" s="25" t="str">
        <x:v>Doruk Hastaneleri - SİNA ÖZEL Sağlık Hizmetleri A.ş</x:v>
      </x:c>
      <x:c r="F31" s="25" t="str">
        <x:v>Instagram gönderisi: Aşılama tedavisi, gebelik...</x:v>
      </x:c>
      <x:c r="G31" s="25" t="str">
        <x:v>Instagram gönderisi: Aşılama tedavisi, gebelik...</x:v>
      </x:c>
      <x:c r="H31" s="25" t="str">
        <x:v>ACTIVE</x:v>
      </x:c>
      <x:c r="I31" s="25" t="str">
        <x:v>VISIT_INSTAGRAM_PROFILE</x:v>
      </x:c>
      <x:c r="J31" s="27" t="n">
        <x:v>1000</x:v>
      </x:c>
      <x:c r="K31" s="27" t="n">
        <x:v>0</x:v>
      </x:c>
      <x:c r="L31" s="27" t="n">
        <x:v>0</x:v>
      </x:c>
      <x:c r="M31" s="27" t="n">
        <x:v>0</x:v>
      </x:c>
      <x:c r="N31" s="27" t="n">
        <x:v>4999.35</x:v>
      </x:c>
      <x:c r="O31" s="27" t="n">
        <x:v>0</x:v>
      </x:c>
      <x:c r="P31" s="27" t="n">
        <x:v>4999.35</x:v>
      </x:c>
      <x:c r="Q31" s="29" t="n">
        <x:f>IFERROR(P31/SUMIFS($P$5:$P$167,$F$5:$F$167,F31,$E$5:$E$167,E31),0)</x:f>
        <x:v>1</x:v>
      </x:c>
      <x:c r="R31" s="28" t="n">
        <x:v>0</x:v>
      </x:c>
      <x:c r="S31" s="28" t="n">
        <x:v>0</x:v>
      </x:c>
      <x:c r="T31" s="28" t="n">
        <x:v>0</x:v>
      </x:c>
      <x:c r="U31" s="28" t="n">
        <x:v>0</x:v>
      </x:c>
      <x:c r="V31" s="28" t="n">
        <x:v>8545</x:v>
      </x:c>
      <x:c r="W31" s="27" t="n">
        <x:f>IFERROR(P31/T31,0)</x:f>
        <x:v>0</x:v>
      </x:c>
      <x:c r="X31" s="25" t="str">
        <x:v>​120255738262580399</x:v>
      </x:c>
    </x:row>
    <x:row r="32">
      <x:c r="A32" s="25" t="str">
        <x:v>Yerli</x:v>
      </x:c>
      <x:c r="B32" s="25" t="str">
        <x:v>Türkçe</x:v>
      </x:c>
      <x:c r="C32" s="25" t="str">
        <x:v>Bilinirlik / İzlenme / Trafik</x:v>
      </x:c>
      <x:c r="D32" s="25" t="str">
        <x:v>Doğum Kampanyası</x:v>
      </x:c>
      <x:c r="E32" s="25" t="str">
        <x:v>Doruk Hastaneleri - SİNA ÖZEL Sağlık Hizmetleri A.ş</x:v>
      </x:c>
      <x:c r="F32" s="25" t="str">
        <x:v>Instagram gönderisi: Gebelikte bel ağrısı sık...</x:v>
      </x:c>
      <x:c r="G32" s="25" t="str">
        <x:v>Instagram gönderisi: Gebelikte bel ağrısı sık...</x:v>
      </x:c>
      <x:c r="H32" s="25" t="str">
        <x:v>ACTIVE</x:v>
      </x:c>
      <x:c r="I32" s="25" t="str">
        <x:v>VISIT_INSTAGRAM_PROFILE</x:v>
      </x:c>
      <x:c r="J32" s="27" t="n">
        <x:v>1000</x:v>
      </x:c>
      <x:c r="K32" s="27" t="n">
        <x:v>0</x:v>
      </x:c>
      <x:c r="L32" s="27" t="n">
        <x:v>0</x:v>
      </x:c>
      <x:c r="M32" s="27" t="n">
        <x:v>0</x:v>
      </x:c>
      <x:c r="N32" s="27" t="n">
        <x:v>4578.52</x:v>
      </x:c>
      <x:c r="O32" s="27" t="n">
        <x:v>0</x:v>
      </x:c>
      <x:c r="P32" s="27" t="n">
        <x:v>4578.52</x:v>
      </x:c>
      <x:c r="Q32" s="29" t="n">
        <x:f>IFERROR(P32/SUMIFS($P$5:$P$167,$F$5:$F$167,F32,$E$5:$E$167,E32),0)</x:f>
        <x:v>1</x:v>
      </x:c>
      <x:c r="R32" s="28" t="n">
        <x:v>0</x:v>
      </x:c>
      <x:c r="S32" s="28" t="n">
        <x:v>0</x:v>
      </x:c>
      <x:c r="T32" s="28" t="n">
        <x:v>0</x:v>
      </x:c>
      <x:c r="U32" s="28" t="n">
        <x:v>1</x:v>
      </x:c>
      <x:c r="V32" s="28" t="n">
        <x:v>11669</x:v>
      </x:c>
      <x:c r="W32" s="27" t="n">
        <x:f>IFERROR(P32/T32,0)</x:f>
        <x:v>0</x:v>
      </x:c>
      <x:c r="X32" s="25" t="str">
        <x:v>​120255738326470399</x:v>
      </x:c>
    </x:row>
    <x:row r="33">
      <x:c r="A33" s="25" t="str">
        <x:v>Yerli</x:v>
      </x:c>
      <x:c r="B33" s="25" t="str">
        <x:v>Türkçe</x:v>
      </x:c>
      <x:c r="C33" s="25" t="str">
        <x:v>Bilinirlik / İzlenme / Trafik</x:v>
      </x:c>
      <x:c r="D33" s="25" t="str">
        <x:v>Doktor Kampanyası</x:v>
      </x:c>
      <x:c r="E33" s="25" t="str">
        <x:v>Doruk Hastaneleri - SİNA ÖZEL Sağlık Hizmetleri A.ş</x:v>
      </x:c>
      <x:c r="F33" s="25" t="str">
        <x:v>Doktor - Bilinirlik Kampanyası - Çekirge</x:v>
      </x:c>
      <x:c r="G33" s="25" t="str">
        <x:v>çekirge - Ali Emin Latif</x:v>
      </x:c>
      <x:c r="H33" s="25" t="str">
        <x:v>ACTIVE</x:v>
      </x:c>
      <x:c r="I33" s="25" t="str">
        <x:v>REACH</x:v>
      </x:c>
      <x:c r="J33" s="27" t="n">
        <x:v>0</x:v>
      </x:c>
      <x:c r="K33" s="27" t="n">
        <x:v>0</x:v>
      </x:c>
      <x:c r="L33" s="27" t="n">
        <x:v>100</x:v>
      </x:c>
      <x:c r="M33" s="27" t="n">
        <x:v>0</x:v>
      </x:c>
      <x:c r="N33" s="27" t="n">
        <x:v>552.17</x:v>
      </x:c>
      <x:c r="O33" s="27" t="n">
        <x:v>446.16</x:v>
      </x:c>
      <x:c r="P33" s="27" t="n">
        <x:v>998.3299999999999</x:v>
      </x:c>
      <x:c r="Q33" s="29" t="n">
        <x:f>IFERROR(P33/SUMIFS($P$5:$P$167,$F$5:$F$167,F33,$E$5:$E$167,E33),0)</x:f>
        <x:v>0.04497632315303249</x:v>
      </x:c>
      <x:c r="R33" s="28" t="n">
        <x:v>0</x:v>
      </x:c>
      <x:c r="S33" s="28" t="n">
        <x:v>0</x:v>
      </x:c>
      <x:c r="T33" s="28" t="n">
        <x:v>0</x:v>
      </x:c>
      <x:c r="U33" s="28" t="n">
        <x:v>0</x:v>
      </x:c>
      <x:c r="V33" s="28" t="n">
        <x:v>6232</x:v>
      </x:c>
      <x:c r="W33" s="27" t="n">
        <x:f>IFERROR(P33/T33,0)</x:f>
        <x:v>0</x:v>
      </x:c>
      <x:c r="X33" s="25" t="str">
        <x:v>​120255765339360399</x:v>
      </x:c>
    </x:row>
    <x:row r="34">
      <x:c r="A34" s="25" t="str">
        <x:v>Yerli</x:v>
      </x:c>
      <x:c r="B34" s="25" t="str">
        <x:v>Türkçe</x:v>
      </x:c>
      <x:c r="C34" s="25" t="str">
        <x:v>Bilinirlik / İzlenme / Trafik</x:v>
      </x:c>
      <x:c r="D34" s="25" t="str">
        <x:v>Doktor Kampanyası</x:v>
      </x:c>
      <x:c r="E34" s="25" t="str">
        <x:v>Doruk Hastaneleri - SİNA ÖZEL Sağlık Hizmetleri A.ş</x:v>
      </x:c>
      <x:c r="F34" s="25" t="str">
        <x:v>Doktor - Bilinirlik Kampanyası - Çekirge</x:v>
      </x:c>
      <x:c r="G34" s="25" t="str">
        <x:v>çekirge - Ali Karataş</x:v>
      </x:c>
      <x:c r="H34" s="25" t="str">
        <x:v>ACTIVE</x:v>
      </x:c>
      <x:c r="I34" s="25" t="str">
        <x:v>REACH</x:v>
      </x:c>
      <x:c r="J34" s="27" t="n">
        <x:v>0</x:v>
      </x:c>
      <x:c r="K34" s="27" t="n">
        <x:v>0</x:v>
      </x:c>
      <x:c r="L34" s="27" t="n">
        <x:v>100</x:v>
      </x:c>
      <x:c r="M34" s="27" t="n">
        <x:v>0</x:v>
      </x:c>
      <x:c r="N34" s="27" t="n">
        <x:v>560.77</x:v>
      </x:c>
      <x:c r="O34" s="27" t="n">
        <x:v>446.36</x:v>
      </x:c>
      <x:c r="P34" s="27" t="n">
        <x:v>1007.13</x:v>
      </x:c>
      <x:c r="Q34" s="29" t="n">
        <x:f>IFERROR(P34/SUMIFS($P$5:$P$167,$F$5:$F$167,F34,$E$5:$E$167,E34),0)</x:f>
        <x:v>0.04537277687449402</x:v>
      </x:c>
      <x:c r="R34" s="28" t="n">
        <x:v>0</x:v>
      </x:c>
      <x:c r="S34" s="28" t="n">
        <x:v>0</x:v>
      </x:c>
      <x:c r="T34" s="28" t="n">
        <x:v>0</x:v>
      </x:c>
      <x:c r="U34" s="28" t="n">
        <x:v>0</x:v>
      </x:c>
      <x:c r="V34" s="28" t="n">
        <x:v>5675</x:v>
      </x:c>
      <x:c r="W34" s="27" t="n">
        <x:f>IFERROR(P34/T34,0)</x:f>
        <x:v>0</x:v>
      </x:c>
      <x:c r="X34" s="25" t="str">
        <x:v>​120255765367960399</x:v>
      </x:c>
    </x:row>
    <x:row r="35">
      <x:c r="A35" s="25" t="str">
        <x:v>Yerli</x:v>
      </x:c>
      <x:c r="B35" s="25" t="str">
        <x:v>Türkçe</x:v>
      </x:c>
      <x:c r="C35" s="25" t="str">
        <x:v>Bilinirlik / İzlenme / Trafik</x:v>
      </x:c>
      <x:c r="D35" s="25" t="str">
        <x:v>Doktor Kampanyası</x:v>
      </x:c>
      <x:c r="E35" s="25" t="str">
        <x:v>Doruk Hastaneleri - SİNA ÖZEL Sağlık Hizmetleri A.ş</x:v>
      </x:c>
      <x:c r="F35" s="25" t="str">
        <x:v>Doktor - Bilinirlik Kampanyası - Çekirge</x:v>
      </x:c>
      <x:c r="G35" s="25" t="str">
        <x:v>çekirge - Bülent Aymelek</x:v>
      </x:c>
      <x:c r="H35" s="25" t="str">
        <x:v>ACTIVE</x:v>
      </x:c>
      <x:c r="I35" s="25" t="str">
        <x:v>REACH</x:v>
      </x:c>
      <x:c r="J35" s="27" t="n">
        <x:v>0</x:v>
      </x:c>
      <x:c r="K35" s="27" t="n">
        <x:v>0</x:v>
      </x:c>
      <x:c r="L35" s="27" t="n">
        <x:v>100</x:v>
      </x:c>
      <x:c r="M35" s="27" t="n">
        <x:v>0</x:v>
      </x:c>
      <x:c r="N35" s="27" t="n">
        <x:v>559.04</x:v>
      </x:c>
      <x:c r="O35" s="27" t="n">
        <x:v>458.83</x:v>
      </x:c>
      <x:c r="P35" s="27" t="n">
        <x:v>1017.8699999999999</x:v>
      </x:c>
      <x:c r="Q35" s="29" t="n">
        <x:f>IFERROR(P35/SUMIFS($P$5:$P$167,$F$5:$F$167,F35,$E$5:$E$167,E35),0)</x:f>
        <x:v>0.04585663062091411</x:v>
      </x:c>
      <x:c r="R35" s="28" t="n">
        <x:v>0</x:v>
      </x:c>
      <x:c r="S35" s="28" t="n">
        <x:v>0</x:v>
      </x:c>
      <x:c r="T35" s="28" t="n">
        <x:v>0</x:v>
      </x:c>
      <x:c r="U35" s="28" t="n">
        <x:v>0</x:v>
      </x:c>
      <x:c r="V35" s="28" t="n">
        <x:v>4853</x:v>
      </x:c>
      <x:c r="W35" s="27" t="n">
        <x:f>IFERROR(P35/T35,0)</x:f>
        <x:v>0</x:v>
      </x:c>
      <x:c r="X35" s="25" t="str">
        <x:v>​120255765369500399</x:v>
      </x:c>
    </x:row>
    <x:row r="36">
      <x:c r="A36" s="25" t="str">
        <x:v>Yerli</x:v>
      </x:c>
      <x:c r="B36" s="25" t="str">
        <x:v>Türkçe</x:v>
      </x:c>
      <x:c r="C36" s="25" t="str">
        <x:v>Bilinirlik / İzlenme / Trafik</x:v>
      </x:c>
      <x:c r="D36" s="25" t="str">
        <x:v>Doktor Kampanyası</x:v>
      </x:c>
      <x:c r="E36" s="25" t="str">
        <x:v>Doruk Hastaneleri - SİNA ÖZEL Sağlık Hizmetleri A.ş</x:v>
      </x:c>
      <x:c r="F36" s="25" t="str">
        <x:v>Doktor - Bilinirlik Kampanyası - Çekirge</x:v>
      </x:c>
      <x:c r="G36" s="25" t="str">
        <x:v>çekirge - Duygu Hasan Dilber</x:v>
      </x:c>
      <x:c r="H36" s="25" t="str">
        <x:v>ACTIVE</x:v>
      </x:c>
      <x:c r="I36" s="25" t="str">
        <x:v>REACH</x:v>
      </x:c>
      <x:c r="J36" s="27" t="n">
        <x:v>0</x:v>
      </x:c>
      <x:c r="K36" s="27" t="n">
        <x:v>0</x:v>
      </x:c>
      <x:c r="L36" s="27" t="n">
        <x:v>100</x:v>
      </x:c>
      <x:c r="M36" s="27" t="n">
        <x:v>0</x:v>
      </x:c>
      <x:c r="N36" s="27" t="n">
        <x:v>562.52</x:v>
      </x:c>
      <x:c r="O36" s="27" t="n">
        <x:v>454.79</x:v>
      </x:c>
      <x:c r="P36" s="27" t="n">
        <x:v>1017.31</x:v>
      </x:c>
      <x:c r="Q36" s="29" t="n">
        <x:f>IFERROR(P36/SUMIFS($P$5:$P$167,$F$5:$F$167,F36,$E$5:$E$167,E36),0)</x:f>
        <x:v>0.04583140174773019</x:v>
      </x:c>
      <x:c r="R36" s="28" t="n">
        <x:v>0</x:v>
      </x:c>
      <x:c r="S36" s="28" t="n">
        <x:v>0</x:v>
      </x:c>
      <x:c r="T36" s="28" t="n">
        <x:v>0</x:v>
      </x:c>
      <x:c r="U36" s="28" t="n">
        <x:v>0</x:v>
      </x:c>
      <x:c r="V36" s="28" t="n">
        <x:v>5215</x:v>
      </x:c>
      <x:c r="W36" s="27" t="n">
        <x:f>IFERROR(P36/T36,0)</x:f>
        <x:v>0</x:v>
      </x:c>
      <x:c r="X36" s="25" t="str">
        <x:v>​120255765371020399</x:v>
      </x:c>
    </x:row>
    <x:row r="37">
      <x:c r="A37" s="25" t="str">
        <x:v>Yerli</x:v>
      </x:c>
      <x:c r="B37" s="25" t="str">
        <x:v>Türkçe</x:v>
      </x:c>
      <x:c r="C37" s="25" t="str">
        <x:v>Bilinirlik / İzlenme / Trafik</x:v>
      </x:c>
      <x:c r="D37" s="25" t="str">
        <x:v>Doktor Kampanyası</x:v>
      </x:c>
      <x:c r="E37" s="25" t="str">
        <x:v>Doruk Hastaneleri - SİNA ÖZEL Sağlık Hizmetleri A.ş</x:v>
      </x:c>
      <x:c r="F37" s="25" t="str">
        <x:v>Doktor - Bilinirlik Kampanyası - Çekirge</x:v>
      </x:c>
      <x:c r="G37" s="25" t="str">
        <x:v>çekirge - Eda Efsane Çetinkaya</x:v>
      </x:c>
      <x:c r="H37" s="25" t="str">
        <x:v>ACTIVE</x:v>
      </x:c>
      <x:c r="I37" s="25" t="str">
        <x:v>REACH</x:v>
      </x:c>
      <x:c r="J37" s="27" t="n">
        <x:v>0</x:v>
      </x:c>
      <x:c r="K37" s="27" t="n">
        <x:v>0</x:v>
      </x:c>
      <x:c r="L37" s="27" t="n">
        <x:v>100</x:v>
      </x:c>
      <x:c r="M37" s="27" t="n">
        <x:v>0</x:v>
      </x:c>
      <x:c r="N37" s="27" t="n">
        <x:v>559.91</x:v>
      </x:c>
      <x:c r="O37" s="27" t="n">
        <x:v>450.24</x:v>
      </x:c>
      <x:c r="P37" s="27" t="n">
        <x:v>1010.15</x:v>
      </x:c>
      <x:c r="Q37" s="29" t="n">
        <x:f>IFERROR(P37/SUMIFS($P$5:$P$167,$F$5:$F$167,F37,$E$5:$E$167,E37),0)</x:f>
        <x:v>0.045508832583450134</x:v>
      </x:c>
      <x:c r="R37" s="28" t="n">
        <x:v>0</x:v>
      </x:c>
      <x:c r="S37" s="28" t="n">
        <x:v>0</x:v>
      </x:c>
      <x:c r="T37" s="28" t="n">
        <x:v>0</x:v>
      </x:c>
      <x:c r="U37" s="28" t="n">
        <x:v>0</x:v>
      </x:c>
      <x:c r="V37" s="28" t="n">
        <x:v>4945</x:v>
      </x:c>
      <x:c r="W37" s="27" t="n">
        <x:f>IFERROR(P37/T37,0)</x:f>
        <x:v>0</x:v>
      </x:c>
      <x:c r="X37" s="25" t="str">
        <x:v>​120255765371710399</x:v>
      </x:c>
    </x:row>
    <x:row r="38">
      <x:c r="A38" s="25" t="str">
        <x:v>Yerli</x:v>
      </x:c>
      <x:c r="B38" s="25" t="str">
        <x:v>Türkçe</x:v>
      </x:c>
      <x:c r="C38" s="25" t="str">
        <x:v>Bilinirlik / İzlenme / Trafik</x:v>
      </x:c>
      <x:c r="D38" s="25" t="str">
        <x:v>Doktor Kampanyası</x:v>
      </x:c>
      <x:c r="E38" s="25" t="str">
        <x:v>Doruk Hastaneleri - SİNA ÖZEL Sağlık Hizmetleri A.ş</x:v>
      </x:c>
      <x:c r="F38" s="25" t="str">
        <x:v>Doktor - Bilinirlik Kampanyası - Çekirge</x:v>
      </x:c>
      <x:c r="G38" s="25" t="str">
        <x:v>çekirge - Emine Mestan</x:v>
      </x:c>
      <x:c r="H38" s="25" t="str">
        <x:v>ACTIVE</x:v>
      </x:c>
      <x:c r="I38" s="25" t="str">
        <x:v>REACH</x:v>
      </x:c>
      <x:c r="J38" s="27" t="n">
        <x:v>0</x:v>
      </x:c>
      <x:c r="K38" s="27" t="n">
        <x:v>0</x:v>
      </x:c>
      <x:c r="L38" s="27" t="n">
        <x:v>100</x:v>
      </x:c>
      <x:c r="M38" s="27" t="n">
        <x:v>0</x:v>
      </x:c>
      <x:c r="N38" s="27" t="n">
        <x:v>556.79</x:v>
      </x:c>
      <x:c r="O38" s="27" t="n">
        <x:v>473.67</x:v>
      </x:c>
      <x:c r="P38" s="27" t="n">
        <x:v>1030.46</x:v>
      </x:c>
      <x:c r="Q38" s="29" t="n">
        <x:f>IFERROR(P38/SUMIFS($P$5:$P$167,$F$5:$F$167,F38,$E$5:$E$167,E38),0)</x:f>
        <x:v>0.04642382975195964</x:v>
      </x:c>
      <x:c r="R38" s="28" t="n">
        <x:v>0</x:v>
      </x:c>
      <x:c r="S38" s="28" t="n">
        <x:v>0</x:v>
      </x:c>
      <x:c r="T38" s="28" t="n">
        <x:v>0</x:v>
      </x:c>
      <x:c r="U38" s="28" t="n">
        <x:v>0</x:v>
      </x:c>
      <x:c r="V38" s="28" t="n">
        <x:v>5820</x:v>
      </x:c>
      <x:c r="W38" s="27" t="n">
        <x:f>IFERROR(P38/T38,0)</x:f>
        <x:v>0</x:v>
      </x:c>
      <x:c r="X38" s="25" t="str">
        <x:v>​120255765372750399</x:v>
      </x:c>
    </x:row>
    <x:row r="39">
      <x:c r="A39" s="25" t="str">
        <x:v>Yerli</x:v>
      </x:c>
      <x:c r="B39" s="25" t="str">
        <x:v>Türkçe</x:v>
      </x:c>
      <x:c r="C39" s="25" t="str">
        <x:v>Bilinirlik / İzlenme / Trafik</x:v>
      </x:c>
      <x:c r="D39" s="25" t="str">
        <x:v>Doktor Kampanyası</x:v>
      </x:c>
      <x:c r="E39" s="25" t="str">
        <x:v>Doruk Hastaneleri - SİNA ÖZEL Sağlık Hizmetleri A.ş</x:v>
      </x:c>
      <x:c r="F39" s="25" t="str">
        <x:v>Doktor - Bilinirlik Kampanyası - Çekirge</x:v>
      </x:c>
      <x:c r="G39" s="25" t="str">
        <x:v>çekirge - Ertuğrul Aydın</x:v>
      </x:c>
      <x:c r="H39" s="25" t="str">
        <x:v>ACTIVE</x:v>
      </x:c>
      <x:c r="I39" s="25" t="str">
        <x:v>REACH</x:v>
      </x:c>
      <x:c r="J39" s="27" t="n">
        <x:v>0</x:v>
      </x:c>
      <x:c r="K39" s="27" t="n">
        <x:v>0</x:v>
      </x:c>
      <x:c r="L39" s="27" t="n">
        <x:v>100</x:v>
      </x:c>
      <x:c r="M39" s="27" t="n">
        <x:v>0</x:v>
      </x:c>
      <x:c r="N39" s="27" t="n">
        <x:v>561.42</x:v>
      </x:c>
      <x:c r="O39" s="27" t="n">
        <x:v>452.53</x:v>
      </x:c>
      <x:c r="P39" s="27" t="n">
        <x:v>1013.9499999999999</x:v>
      </x:c>
      <x:c r="Q39" s="29" t="n">
        <x:f>IFERROR(P39/SUMIFS($P$5:$P$167,$F$5:$F$167,F39,$E$5:$E$167,E39),0)</x:f>
        <x:v>0.0456800285086267</x:v>
      </x:c>
      <x:c r="R39" s="28" t="n">
        <x:v>0</x:v>
      </x:c>
      <x:c r="S39" s="28" t="n">
        <x:v>0</x:v>
      </x:c>
      <x:c r="T39" s="28" t="n">
        <x:v>0</x:v>
      </x:c>
      <x:c r="U39" s="28" t="n">
        <x:v>0</x:v>
      </x:c>
      <x:c r="V39" s="28" t="n">
        <x:v>6363</x:v>
      </x:c>
      <x:c r="W39" s="27" t="n">
        <x:f>IFERROR(P39/T39,0)</x:f>
        <x:v>0</x:v>
      </x:c>
      <x:c r="X39" s="25" t="str">
        <x:v>​120255765374530399</x:v>
      </x:c>
    </x:row>
    <x:row r="40">
      <x:c r="A40" s="25" t="str">
        <x:v>Yerli</x:v>
      </x:c>
      <x:c r="B40" s="25" t="str">
        <x:v>Türkçe</x:v>
      </x:c>
      <x:c r="C40" s="25" t="str">
        <x:v>Bilinirlik / İzlenme / Trafik</x:v>
      </x:c>
      <x:c r="D40" s="25" t="str">
        <x:v>Doktor Kampanyası</x:v>
      </x:c>
      <x:c r="E40" s="25" t="str">
        <x:v>Doruk Hastaneleri - SİNA ÖZEL Sağlık Hizmetleri A.ş</x:v>
      </x:c>
      <x:c r="F40" s="25" t="str">
        <x:v>Doktor - Bilinirlik Kampanyası - Çekirge</x:v>
      </x:c>
      <x:c r="G40" s="25" t="str">
        <x:v>çekirge - Güray Can</x:v>
      </x:c>
      <x:c r="H40" s="25" t="str">
        <x:v>ACTIVE</x:v>
      </x:c>
      <x:c r="I40" s="25" t="str">
        <x:v>REACH</x:v>
      </x:c>
      <x:c r="J40" s="27" t="n">
        <x:v>0</x:v>
      </x:c>
      <x:c r="K40" s="27" t="n">
        <x:v>0</x:v>
      </x:c>
      <x:c r="L40" s="27" t="n">
        <x:v>100</x:v>
      </x:c>
      <x:c r="M40" s="27" t="n">
        <x:v>0</x:v>
      </x:c>
      <x:c r="N40" s="27" t="n">
        <x:v>555.9</x:v>
      </x:c>
      <x:c r="O40" s="27" t="n">
        <x:v>442.97</x:v>
      </x:c>
      <x:c r="P40" s="27" t="n">
        <x:v>998.87</x:v>
      </x:c>
      <x:c r="Q40" s="29" t="n">
        <x:f>IFERROR(P40/SUMIFS($P$5:$P$167,$F$5:$F$167,F40,$E$5:$E$167,E40),0)</x:f>
        <x:v>0.04500065099503127</x:v>
      </x:c>
      <x:c r="R40" s="28" t="n">
        <x:v>0</x:v>
      </x:c>
      <x:c r="S40" s="28" t="n">
        <x:v>0</x:v>
      </x:c>
      <x:c r="T40" s="28" t="n">
        <x:v>0</x:v>
      </x:c>
      <x:c r="U40" s="28" t="n">
        <x:v>0</x:v>
      </x:c>
      <x:c r="V40" s="28" t="n">
        <x:v>5248</x:v>
      </x:c>
      <x:c r="W40" s="27" t="n">
        <x:f>IFERROR(P40/T40,0)</x:f>
        <x:v>0</x:v>
      </x:c>
      <x:c r="X40" s="25" t="str">
        <x:v>​120255765375300399</x:v>
      </x:c>
    </x:row>
    <x:row r="41">
      <x:c r="A41" s="25" t="str">
        <x:v>Yerli</x:v>
      </x:c>
      <x:c r="B41" s="25" t="str">
        <x:v>Türkçe</x:v>
      </x:c>
      <x:c r="C41" s="25" t="str">
        <x:v>Bilinirlik / İzlenme / Trafik</x:v>
      </x:c>
      <x:c r="D41" s="25" t="str">
        <x:v>Doktor Kampanyası</x:v>
      </x:c>
      <x:c r="E41" s="25" t="str">
        <x:v>Doruk Hastaneleri - SİNA ÖZEL Sağlık Hizmetleri A.ş</x:v>
      </x:c>
      <x:c r="F41" s="25" t="str">
        <x:v>Doktor - Bilinirlik Kampanyası - Çekirge</x:v>
      </x:c>
      <x:c r="G41" s="25" t="str">
        <x:v>çekirge - Levent Uslu</x:v>
      </x:c>
      <x:c r="H41" s="25" t="str">
        <x:v>ACTIVE</x:v>
      </x:c>
      <x:c r="I41" s="25" t="str">
        <x:v>REACH</x:v>
      </x:c>
      <x:c r="J41" s="27" t="n">
        <x:v>0</x:v>
      </x:c>
      <x:c r="K41" s="27" t="n">
        <x:v>0</x:v>
      </x:c>
      <x:c r="L41" s="27" t="n">
        <x:v>100</x:v>
      </x:c>
      <x:c r="M41" s="27" t="n">
        <x:v>0</x:v>
      </x:c>
      <x:c r="N41" s="27" t="n">
        <x:v>536.04</x:v>
      </x:c>
      <x:c r="O41" s="27" t="n">
        <x:v>442.46</x:v>
      </x:c>
      <x:c r="P41" s="27" t="n">
        <x:v>978.5</x:v>
      </x:c>
      <x:c r="Q41" s="29" t="n">
        <x:f>IFERROR(P41/SUMIFS($P$5:$P$167,$F$5:$F$167,F41,$E$5:$E$167,E41),0)</x:f>
        <x:v>0.04408295073296635</x:v>
      </x:c>
      <x:c r="R41" s="28" t="n">
        <x:v>0</x:v>
      </x:c>
      <x:c r="S41" s="28" t="n">
        <x:v>0</x:v>
      </x:c>
      <x:c r="T41" s="28" t="n">
        <x:v>0</x:v>
      </x:c>
      <x:c r="U41" s="28" t="n">
        <x:v>0</x:v>
      </x:c>
      <x:c r="V41" s="28" t="n">
        <x:v>7708</x:v>
      </x:c>
      <x:c r="W41" s="27" t="n">
        <x:f>IFERROR(P41/T41,0)</x:f>
        <x:v>0</x:v>
      </x:c>
      <x:c r="X41" s="25" t="str">
        <x:v>​120255765380140399</x:v>
      </x:c>
    </x:row>
    <x:row r="42">
      <x:c r="A42" s="25" t="str">
        <x:v>Yerli</x:v>
      </x:c>
      <x:c r="B42" s="25" t="str">
        <x:v>Türkçe</x:v>
      </x:c>
      <x:c r="C42" s="25" t="str">
        <x:v>Bilinirlik / İzlenme / Trafik</x:v>
      </x:c>
      <x:c r="D42" s="25" t="str">
        <x:v>Doktor Kampanyası</x:v>
      </x:c>
      <x:c r="E42" s="25" t="str">
        <x:v>Doruk Hastaneleri - SİNA ÖZEL Sağlık Hizmetleri A.ş</x:v>
      </x:c>
      <x:c r="F42" s="25" t="str">
        <x:v>Doktor - Bilinirlik Kampanyası - Çekirge</x:v>
      </x:c>
      <x:c r="G42" s="25" t="str">
        <x:v>çekirge - Meltem Çakmak</x:v>
      </x:c>
      <x:c r="H42" s="25" t="str">
        <x:v>ACTIVE</x:v>
      </x:c>
      <x:c r="I42" s="25" t="str">
        <x:v>REACH</x:v>
      </x:c>
      <x:c r="J42" s="27" t="n">
        <x:v>0</x:v>
      </x:c>
      <x:c r="K42" s="27" t="n">
        <x:v>0</x:v>
      </x:c>
      <x:c r="L42" s="27" t="n">
        <x:v>100</x:v>
      </x:c>
      <x:c r="M42" s="27" t="n">
        <x:v>0</x:v>
      </x:c>
      <x:c r="N42" s="27" t="n">
        <x:v>546.58</x:v>
      </x:c>
      <x:c r="O42" s="27" t="n">
        <x:v>443</x:v>
      </x:c>
      <x:c r="P42" s="27" t="n">
        <x:v>989.58</x:v>
      </x:c>
      <x:c r="Q42" s="29" t="n">
        <x:f>IFERROR(P42/SUMIFS($P$5:$P$167,$F$5:$F$167,F42,$E$5:$E$167,E42),0)</x:f>
        <x:v>0.04458212200953382</x:v>
      </x:c>
      <x:c r="R42" s="28" t="n">
        <x:v>0</x:v>
      </x:c>
      <x:c r="S42" s="28" t="n">
        <x:v>0</x:v>
      </x:c>
      <x:c r="T42" s="28" t="n">
        <x:v>0</x:v>
      </x:c>
      <x:c r="U42" s="28" t="n">
        <x:v>0</x:v>
      </x:c>
      <x:c r="V42" s="28" t="n">
        <x:v>6125</x:v>
      </x:c>
      <x:c r="W42" s="27" t="n">
        <x:f>IFERROR(P42/T42,0)</x:f>
        <x:v>0</x:v>
      </x:c>
      <x:c r="X42" s="25" t="str">
        <x:v>​120255765380910399</x:v>
      </x:c>
    </x:row>
    <x:row r="43">
      <x:c r="A43" s="25" t="str">
        <x:v>Yerli</x:v>
      </x:c>
      <x:c r="B43" s="25" t="str">
        <x:v>Türkçe</x:v>
      </x:c>
      <x:c r="C43" s="25" t="str">
        <x:v>Bilinirlik / İzlenme / Trafik</x:v>
      </x:c>
      <x:c r="D43" s="25" t="str">
        <x:v>Doktor Kampanyası</x:v>
      </x:c>
      <x:c r="E43" s="25" t="str">
        <x:v>Doruk Hastaneleri - SİNA ÖZEL Sağlık Hizmetleri A.ş</x:v>
      </x:c>
      <x:c r="F43" s="25" t="str">
        <x:v>Doktor - Bilinirlik Kampanyası - Çekirge</x:v>
      </x:c>
      <x:c r="G43" s="25" t="str">
        <x:v>çekirge - Muhtar Ünaldı</x:v>
      </x:c>
      <x:c r="H43" s="25" t="str">
        <x:v>ACTIVE</x:v>
      </x:c>
      <x:c r="I43" s="25" t="str">
        <x:v>REACH</x:v>
      </x:c>
      <x:c r="J43" s="27" t="n">
        <x:v>0</x:v>
      </x:c>
      <x:c r="K43" s="27" t="n">
        <x:v>0</x:v>
      </x:c>
      <x:c r="L43" s="27" t="n">
        <x:v>100</x:v>
      </x:c>
      <x:c r="M43" s="27" t="n">
        <x:v>0</x:v>
      </x:c>
      <x:c r="N43" s="27" t="n">
        <x:v>560.5</x:v>
      </x:c>
      <x:c r="O43" s="27" t="n">
        <x:v>460.59</x:v>
      </x:c>
      <x:c r="P43" s="27" t="n">
        <x:v>1021.0899999999999</x:v>
      </x:c>
      <x:c r="Q43" s="29" t="n">
        <x:f>IFERROR(P43/SUMIFS($P$5:$P$167,$F$5:$F$167,F43,$E$5:$E$167,E43),0)</x:f>
        <x:v>0.04600169664172162</x:v>
      </x:c>
      <x:c r="R43" s="28" t="n">
        <x:v>0</x:v>
      </x:c>
      <x:c r="S43" s="28" t="n">
        <x:v>0</x:v>
      </x:c>
      <x:c r="T43" s="28" t="n">
        <x:v>0</x:v>
      </x:c>
      <x:c r="U43" s="28" t="n">
        <x:v>0</x:v>
      </x:c>
      <x:c r="V43" s="28" t="n">
        <x:v>8368</x:v>
      </x:c>
      <x:c r="W43" s="27" t="n">
        <x:f>IFERROR(P43/T43,0)</x:f>
        <x:v>0</x:v>
      </x:c>
      <x:c r="X43" s="25" t="str">
        <x:v>​120255765382010399</x:v>
      </x:c>
    </x:row>
    <x:row r="44">
      <x:c r="A44" s="25" t="str">
        <x:v>Yerli</x:v>
      </x:c>
      <x:c r="B44" s="25" t="str">
        <x:v>Türkçe</x:v>
      </x:c>
      <x:c r="C44" s="25" t="str">
        <x:v>Bilinirlik / İzlenme / Trafik</x:v>
      </x:c>
      <x:c r="D44" s="25" t="str">
        <x:v>Doktor Kampanyası</x:v>
      </x:c>
      <x:c r="E44" s="25" t="str">
        <x:v>Doruk Hastaneleri - SİNA ÖZEL Sağlık Hizmetleri A.ş</x:v>
      </x:c>
      <x:c r="F44" s="25" t="str">
        <x:v>Doktor - Bilinirlik Kampanyası - Çekirge</x:v>
      </x:c>
      <x:c r="G44" s="25" t="str">
        <x:v>çekirge - Murat Çakır</x:v>
      </x:c>
      <x:c r="H44" s="25" t="str">
        <x:v>ACTIVE</x:v>
      </x:c>
      <x:c r="I44" s="25" t="str">
        <x:v>REACH</x:v>
      </x:c>
      <x:c r="J44" s="27" t="n">
        <x:v>0</x:v>
      </x:c>
      <x:c r="K44" s="27" t="n">
        <x:v>0</x:v>
      </x:c>
      <x:c r="L44" s="27" t="n">
        <x:v>100</x:v>
      </x:c>
      <x:c r="M44" s="27" t="n">
        <x:v>0</x:v>
      </x:c>
      <x:c r="N44" s="27" t="n">
        <x:v>553.29</x:v>
      </x:c>
      <x:c r="O44" s="27" t="n">
        <x:v>455.89</x:v>
      </x:c>
      <x:c r="P44" s="27" t="n">
        <x:v>1009.18</x:v>
      </x:c>
      <x:c r="Q44" s="29" t="n">
        <x:f>IFERROR(P44/SUMIFS($P$5:$P$167,$F$5:$F$167,F44,$E$5:$E$167,E44),0)</x:f>
        <x:v>0.04546513257097085</x:v>
      </x:c>
      <x:c r="R44" s="28" t="n">
        <x:v>0</x:v>
      </x:c>
      <x:c r="S44" s="28" t="n">
        <x:v>0</x:v>
      </x:c>
      <x:c r="T44" s="28" t="n">
        <x:v>0</x:v>
      </x:c>
      <x:c r="U44" s="28" t="n">
        <x:v>0</x:v>
      </x:c>
      <x:c r="V44" s="28" t="n">
        <x:v>5647</x:v>
      </x:c>
      <x:c r="W44" s="27" t="n">
        <x:f>IFERROR(P44/T44,0)</x:f>
        <x:v>0</x:v>
      </x:c>
      <x:c r="X44" s="25" t="str">
        <x:v>​120255765382810399</x:v>
      </x:c>
    </x:row>
    <x:row r="45">
      <x:c r="A45" s="25" t="str">
        <x:v>Yerli</x:v>
      </x:c>
      <x:c r="B45" s="25" t="str">
        <x:v>Türkçe</x:v>
      </x:c>
      <x:c r="C45" s="25" t="str">
        <x:v>Bilinirlik / İzlenme / Trafik</x:v>
      </x:c>
      <x:c r="D45" s="25" t="str">
        <x:v>Doktor Kampanyası</x:v>
      </x:c>
      <x:c r="E45" s="25" t="str">
        <x:v>Doruk Hastaneleri - SİNA ÖZEL Sağlık Hizmetleri A.ş</x:v>
      </x:c>
      <x:c r="F45" s="25" t="str">
        <x:v>Doktor - Bilinirlik Kampanyası - Çekirge</x:v>
      </x:c>
      <x:c r="G45" s="25" t="str">
        <x:v>çekirge - Mustafa Kısakürek</x:v>
      </x:c>
      <x:c r="H45" s="25" t="str">
        <x:v>ACTIVE</x:v>
      </x:c>
      <x:c r="I45" s="25" t="str">
        <x:v>REACH</x:v>
      </x:c>
      <x:c r="J45" s="27" t="n">
        <x:v>0</x:v>
      </x:c>
      <x:c r="K45" s="27" t="n">
        <x:v>0</x:v>
      </x:c>
      <x:c r="L45" s="27" t="n">
        <x:v>100</x:v>
      </x:c>
      <x:c r="M45" s="27" t="n">
        <x:v>0</x:v>
      </x:c>
      <x:c r="N45" s="27" t="n">
        <x:v>554.11</x:v>
      </x:c>
      <x:c r="O45" s="27" t="n">
        <x:v>465.76</x:v>
      </x:c>
      <x:c r="P45" s="27" t="n">
        <x:v>1019.87</x:v>
      </x:c>
      <x:c r="Q45" s="29" t="n">
        <x:f>IFERROR(P45/SUMIFS($P$5:$P$167,$F$5:$F$167,F45,$E$5:$E$167,E45),0)</x:f>
        <x:v>0.04594673373942809</x:v>
      </x:c>
      <x:c r="R45" s="28" t="n">
        <x:v>0</x:v>
      </x:c>
      <x:c r="S45" s="28" t="n">
        <x:v>0</x:v>
      </x:c>
      <x:c r="T45" s="28" t="n">
        <x:v>0</x:v>
      </x:c>
      <x:c r="U45" s="28" t="n">
        <x:v>0</x:v>
      </x:c>
      <x:c r="V45" s="28" t="n">
        <x:v>6137</x:v>
      </x:c>
      <x:c r="W45" s="27" t="n">
        <x:f>IFERROR(P45/T45,0)</x:f>
        <x:v>0</x:v>
      </x:c>
      <x:c r="X45" s="25" t="str">
        <x:v>​120255765383900399</x:v>
      </x:c>
    </x:row>
    <x:row r="46">
      <x:c r="A46" s="25" t="str">
        <x:v>Yerli</x:v>
      </x:c>
      <x:c r="B46" s="25" t="str">
        <x:v>Türkçe</x:v>
      </x:c>
      <x:c r="C46" s="25" t="str">
        <x:v>Bilinirlik / İzlenme / Trafik</x:v>
      </x:c>
      <x:c r="D46" s="25" t="str">
        <x:v>Doktor Kampanyası</x:v>
      </x:c>
      <x:c r="E46" s="25" t="str">
        <x:v>Doruk Hastaneleri - SİNA ÖZEL Sağlık Hizmetleri A.ş</x:v>
      </x:c>
      <x:c r="F46" s="25" t="str">
        <x:v>Doktor - Bilinirlik Kampanyası - Çekirge</x:v>
      </x:c>
      <x:c r="G46" s="25" t="str">
        <x:v>çekirge - Osman Ataç</x:v>
      </x:c>
      <x:c r="H46" s="25" t="str">
        <x:v>ACTIVE</x:v>
      </x:c>
      <x:c r="I46" s="25" t="str">
        <x:v>REACH</x:v>
      </x:c>
      <x:c r="J46" s="27" t="n">
        <x:v>0</x:v>
      </x:c>
      <x:c r="K46" s="27" t="n">
        <x:v>0</x:v>
      </x:c>
      <x:c r="L46" s="27" t="n">
        <x:v>100</x:v>
      </x:c>
      <x:c r="M46" s="27" t="n">
        <x:v>0</x:v>
      </x:c>
      <x:c r="N46" s="27" t="n">
        <x:v>548.79</x:v>
      </x:c>
      <x:c r="O46" s="27" t="n">
        <x:v>458.51</x:v>
      </x:c>
      <x:c r="P46" s="27" t="n">
        <x:v>1007.3</x:v>
      </x:c>
      <x:c r="Q46" s="29" t="n">
        <x:f>IFERROR(P46/SUMIFS($P$5:$P$167,$F$5:$F$167,F46,$E$5:$E$167,E46),0)</x:f>
        <x:v>0.04538043563956771</x:v>
      </x:c>
      <x:c r="R46" s="28" t="n">
        <x:v>0</x:v>
      </x:c>
      <x:c r="S46" s="28" t="n">
        <x:v>0</x:v>
      </x:c>
      <x:c r="T46" s="28" t="n">
        <x:v>0</x:v>
      </x:c>
      <x:c r="U46" s="28" t="n">
        <x:v>0</x:v>
      </x:c>
      <x:c r="V46" s="28" t="n">
        <x:v>7696</x:v>
      </x:c>
      <x:c r="W46" s="27" t="n">
        <x:f>IFERROR(P46/T46,0)</x:f>
        <x:v>0</x:v>
      </x:c>
      <x:c r="X46" s="25" t="str">
        <x:v>​120255765384780399</x:v>
      </x:c>
    </x:row>
    <x:row r="47">
      <x:c r="A47" s="25" t="str">
        <x:v>Yerli</x:v>
      </x:c>
      <x:c r="B47" s="25" t="str">
        <x:v>Türkçe</x:v>
      </x:c>
      <x:c r="C47" s="25" t="str">
        <x:v>Bilinirlik / İzlenme / Trafik</x:v>
      </x:c>
      <x:c r="D47" s="25" t="str">
        <x:v>Doktor Kampanyası</x:v>
      </x:c>
      <x:c r="E47" s="25" t="str">
        <x:v>Doruk Hastaneleri - SİNA ÖZEL Sağlık Hizmetleri A.ş</x:v>
      </x:c>
      <x:c r="F47" s="25" t="str">
        <x:v>Doktor - Bilinirlik Kampanyası - Çekirge</x:v>
      </x:c>
      <x:c r="G47" s="25" t="str">
        <x:v>çekirge - Sait Uysal</x:v>
      </x:c>
      <x:c r="H47" s="25" t="str">
        <x:v>ACTIVE</x:v>
      </x:c>
      <x:c r="I47" s="25" t="str">
        <x:v>REACH</x:v>
      </x:c>
      <x:c r="J47" s="27" t="n">
        <x:v>0</x:v>
      </x:c>
      <x:c r="K47" s="27" t="n">
        <x:v>0</x:v>
      </x:c>
      <x:c r="L47" s="27" t="n">
        <x:v>100</x:v>
      </x:c>
      <x:c r="M47" s="27" t="n">
        <x:v>0</x:v>
      </x:c>
      <x:c r="N47" s="27" t="n">
        <x:v>551.73</x:v>
      </x:c>
      <x:c r="O47" s="27" t="n">
        <x:v>448.34</x:v>
      </x:c>
      <x:c r="P47" s="27" t="n">
        <x:v>1000.0699999999999</x:v>
      </x:c>
      <x:c r="Q47" s="29" t="n">
        <x:f>IFERROR(P47/SUMIFS($P$5:$P$167,$F$5:$F$167,F47,$E$5:$E$167,E47),0)</x:f>
        <x:v>0.04505471286613966</x:v>
      </x:c>
      <x:c r="R47" s="28" t="n">
        <x:v>0</x:v>
      </x:c>
      <x:c r="S47" s="28" t="n">
        <x:v>0</x:v>
      </x:c>
      <x:c r="T47" s="28" t="n">
        <x:v>0</x:v>
      </x:c>
      <x:c r="U47" s="28" t="n">
        <x:v>0</x:v>
      </x:c>
      <x:c r="V47" s="28" t="n">
        <x:v>6124</x:v>
      </x:c>
      <x:c r="W47" s="27" t="n">
        <x:f>IFERROR(P47/T47,0)</x:f>
        <x:v>0</x:v>
      </x:c>
      <x:c r="X47" s="25" t="str">
        <x:v>​120255765385330399</x:v>
      </x:c>
    </x:row>
    <x:row r="48">
      <x:c r="A48" s="25" t="str">
        <x:v>Yerli</x:v>
      </x:c>
      <x:c r="B48" s="25" t="str">
        <x:v>Türkçe</x:v>
      </x:c>
      <x:c r="C48" s="25" t="str">
        <x:v>Bilinirlik / İzlenme / Trafik</x:v>
      </x:c>
      <x:c r="D48" s="25" t="str">
        <x:v>Doktor Kampanyası</x:v>
      </x:c>
      <x:c r="E48" s="25" t="str">
        <x:v>Doruk Hastaneleri - SİNA ÖZEL Sağlık Hizmetleri A.ş</x:v>
      </x:c>
      <x:c r="F48" s="25" t="str">
        <x:v>Doktor - Bilinirlik Kampanyası - Çekirge</x:v>
      </x:c>
      <x:c r="G48" s="25" t="str">
        <x:v>çekirge - Sercan Sınır</x:v>
      </x:c>
      <x:c r="H48" s="25" t="str">
        <x:v>ACTIVE</x:v>
      </x:c>
      <x:c r="I48" s="25" t="str">
        <x:v>REACH</x:v>
      </x:c>
      <x:c r="J48" s="27" t="n">
        <x:v>0</x:v>
      </x:c>
      <x:c r="K48" s="27" t="n">
        <x:v>0</x:v>
      </x:c>
      <x:c r="L48" s="27" t="n">
        <x:v>100</x:v>
      </x:c>
      <x:c r="M48" s="27" t="n">
        <x:v>0</x:v>
      </x:c>
      <x:c r="N48" s="27" t="n">
        <x:v>555.52</x:v>
      </x:c>
      <x:c r="O48" s="27" t="n">
        <x:v>451.03</x:v>
      </x:c>
      <x:c r="P48" s="27" t="n">
        <x:v>1006.55</x:v>
      </x:c>
      <x:c r="Q48" s="29" t="n">
        <x:f>IFERROR(P48/SUMIFS($P$5:$P$167,$F$5:$F$167,F48,$E$5:$E$167,E48),0)</x:f>
        <x:v>0.045346646970124964</x:v>
      </x:c>
      <x:c r="R48" s="28" t="n">
        <x:v>0</x:v>
      </x:c>
      <x:c r="S48" s="28" t="n">
        <x:v>0</x:v>
      </x:c>
      <x:c r="T48" s="28" t="n">
        <x:v>0</x:v>
      </x:c>
      <x:c r="U48" s="28" t="n">
        <x:v>0</x:v>
      </x:c>
      <x:c r="V48" s="28" t="n">
        <x:v>5302</x:v>
      </x:c>
      <x:c r="W48" s="27" t="n">
        <x:f>IFERROR(P48/T48,0)</x:f>
        <x:v>0</x:v>
      </x:c>
      <x:c r="X48" s="25" t="str">
        <x:v>​120255765387860399</x:v>
      </x:c>
    </x:row>
    <x:row r="49">
      <x:c r="A49" s="25" t="str">
        <x:v>Yerli</x:v>
      </x:c>
      <x:c r="B49" s="25" t="str">
        <x:v>Türkçe</x:v>
      </x:c>
      <x:c r="C49" s="25" t="str">
        <x:v>Bilinirlik / İzlenme / Trafik</x:v>
      </x:c>
      <x:c r="D49" s="25" t="str">
        <x:v>Doktor Kampanyası</x:v>
      </x:c>
      <x:c r="E49" s="25" t="str">
        <x:v>Doruk Hastaneleri - SİNA ÖZEL Sağlık Hizmetleri A.ş</x:v>
      </x:c>
      <x:c r="F49" s="25" t="str">
        <x:v>Doktor - Bilinirlik Kampanyası - Çekirge</x:v>
      </x:c>
      <x:c r="G49" s="25" t="str">
        <x:v>çekirge - Seyfi Kamberoğlu</x:v>
      </x:c>
      <x:c r="H49" s="25" t="str">
        <x:v>ACTIVE</x:v>
      </x:c>
      <x:c r="I49" s="25" t="str">
        <x:v>REACH</x:v>
      </x:c>
      <x:c r="J49" s="27" t="n">
        <x:v>0</x:v>
      </x:c>
      <x:c r="K49" s="27" t="n">
        <x:v>0</x:v>
      </x:c>
      <x:c r="L49" s="27" t="n">
        <x:v>100</x:v>
      </x:c>
      <x:c r="M49" s="27" t="n">
        <x:v>0</x:v>
      </x:c>
      <x:c r="N49" s="27" t="n">
        <x:v>559.91</x:v>
      </x:c>
      <x:c r="O49" s="27" t="n">
        <x:v>459</x:v>
      </x:c>
      <x:c r="P49" s="27" t="n">
        <x:v>1018.91</x:v>
      </x:c>
      <x:c r="Q49" s="29" t="n">
        <x:f>IFERROR(P49/SUMIFS($P$5:$P$167,$F$5:$F$167,F49,$E$5:$E$167,E49),0)</x:f>
        <x:v>0.045903484242541384</x:v>
      </x:c>
      <x:c r="R49" s="28" t="n">
        <x:v>0</x:v>
      </x:c>
      <x:c r="S49" s="28" t="n">
        <x:v>0</x:v>
      </x:c>
      <x:c r="T49" s="28" t="n">
        <x:v>0</x:v>
      </x:c>
      <x:c r="U49" s="28" t="n">
        <x:v>0</x:v>
      </x:c>
      <x:c r="V49" s="28" t="n">
        <x:v>6359</x:v>
      </x:c>
      <x:c r="W49" s="27" t="n">
        <x:f>IFERROR(P49/T49,0)</x:f>
        <x:v>0</x:v>
      </x:c>
      <x:c r="X49" s="25" t="str">
        <x:v>​120255765392180399</x:v>
      </x:c>
    </x:row>
    <x:row r="50">
      <x:c r="A50" s="25" t="str">
        <x:v>Yerli</x:v>
      </x:c>
      <x:c r="B50" s="25" t="str">
        <x:v>Türkçe</x:v>
      </x:c>
      <x:c r="C50" s="25" t="str">
        <x:v>Bilinirlik / İzlenme / Trafik</x:v>
      </x:c>
      <x:c r="D50" s="25" t="str">
        <x:v>Doktor Kampanyası</x:v>
      </x:c>
      <x:c r="E50" s="25" t="str">
        <x:v>Doruk Hastaneleri - SİNA ÖZEL Sağlık Hizmetleri A.ş</x:v>
      </x:c>
      <x:c r="F50" s="25" t="str">
        <x:v>Doktor - Bilinirlik Kampanyası - Çekirge</x:v>
      </x:c>
      <x:c r="G50" s="25" t="str">
        <x:v>çekirge - Simge Katrancı</x:v>
      </x:c>
      <x:c r="H50" s="25" t="str">
        <x:v>ACTIVE</x:v>
      </x:c>
      <x:c r="I50" s="25" t="str">
        <x:v>REACH</x:v>
      </x:c>
      <x:c r="J50" s="27" t="n">
        <x:v>0</x:v>
      </x:c>
      <x:c r="K50" s="27" t="n">
        <x:v>0</x:v>
      </x:c>
      <x:c r="L50" s="27" t="n">
        <x:v>100</x:v>
      </x:c>
      <x:c r="M50" s="27" t="n">
        <x:v>0</x:v>
      </x:c>
      <x:c r="N50" s="27" t="n">
        <x:v>546.59</x:v>
      </x:c>
      <x:c r="O50" s="27" t="n">
        <x:v>446.97</x:v>
      </x:c>
      <x:c r="P50" s="27" t="n">
        <x:v>993.5600000000001</x:v>
      </x:c>
      <x:c r="Q50" s="29" t="n">
        <x:f>IFERROR(P50/SUMIFS($P$5:$P$167,$F$5:$F$167,F50,$E$5:$E$167,E50),0)</x:f>
        <x:v>0.04476142721537665</x:v>
      </x:c>
      <x:c r="R50" s="28" t="n">
        <x:v>0</x:v>
      </x:c>
      <x:c r="S50" s="28" t="n">
        <x:v>0</x:v>
      </x:c>
      <x:c r="T50" s="28" t="n">
        <x:v>0</x:v>
      </x:c>
      <x:c r="U50" s="28" t="n">
        <x:v>0</x:v>
      </x:c>
      <x:c r="V50" s="28" t="n">
        <x:v>6736</x:v>
      </x:c>
      <x:c r="W50" s="27" t="n">
        <x:f>IFERROR(P50/T50,0)</x:f>
        <x:v>0</x:v>
      </x:c>
      <x:c r="X50" s="25" t="str">
        <x:v>​120255765393170399</x:v>
      </x:c>
    </x:row>
    <x:row r="51">
      <x:c r="A51" s="25" t="str">
        <x:v>Yerli</x:v>
      </x:c>
      <x:c r="B51" s="25" t="str">
        <x:v>Türkçe</x:v>
      </x:c>
      <x:c r="C51" s="25" t="str">
        <x:v>Bilinirlik / İzlenme / Trafik</x:v>
      </x:c>
      <x:c r="D51" s="25" t="str">
        <x:v>Doktor Kampanyası</x:v>
      </x:c>
      <x:c r="E51" s="25" t="str">
        <x:v>Doruk Hastaneleri - SİNA ÖZEL Sağlık Hizmetleri A.ş</x:v>
      </x:c>
      <x:c r="F51" s="25" t="str">
        <x:v>Doktor - Bilinirlik Kampanyası - Çekirge</x:v>
      </x:c>
      <x:c r="G51" s="25" t="str">
        <x:v>çekirge - Sirem Aydınlar</x:v>
      </x:c>
      <x:c r="H51" s="25" t="str">
        <x:v>ACTIVE</x:v>
      </x:c>
      <x:c r="I51" s="25" t="str">
        <x:v>REACH</x:v>
      </x:c>
      <x:c r="J51" s="27" t="n">
        <x:v>0</x:v>
      </x:c>
      <x:c r="K51" s="27" t="n">
        <x:v>0</x:v>
      </x:c>
      <x:c r="L51" s="27" t="n">
        <x:v>100</x:v>
      </x:c>
      <x:c r="M51" s="27" t="n">
        <x:v>0</x:v>
      </x:c>
      <x:c r="N51" s="27" t="n">
        <x:v>557.1</x:v>
      </x:c>
      <x:c r="O51" s="27" t="n">
        <x:v>458.2</x:v>
      </x:c>
      <x:c r="P51" s="27" t="n">
        <x:v>1015.3</x:v>
      </x:c>
      <x:c r="Q51" s="29" t="n">
        <x:f>IFERROR(P51/SUMIFS($P$5:$P$167,$F$5:$F$167,F51,$E$5:$E$167,E51),0)</x:f>
        <x:v>0.04574084811362364</x:v>
      </x:c>
      <x:c r="R51" s="28" t="n">
        <x:v>0</x:v>
      </x:c>
      <x:c r="S51" s="28" t="n">
        <x:v>0</x:v>
      </x:c>
      <x:c r="T51" s="28" t="n">
        <x:v>0</x:v>
      </x:c>
      <x:c r="U51" s="28" t="n">
        <x:v>0</x:v>
      </x:c>
      <x:c r="V51" s="28" t="n">
        <x:v>6879</x:v>
      </x:c>
      <x:c r="W51" s="27" t="n">
        <x:f>IFERROR(P51/T51,0)</x:f>
        <x:v>0</x:v>
      </x:c>
      <x:c r="X51" s="25" t="str">
        <x:v>​120255765394270399</x:v>
      </x:c>
    </x:row>
    <x:row r="52">
      <x:c r="A52" s="25" t="str">
        <x:v>Yerli</x:v>
      </x:c>
      <x:c r="B52" s="25" t="str">
        <x:v>Türkçe</x:v>
      </x:c>
      <x:c r="C52" s="25" t="str">
        <x:v>Bilinirlik / İzlenme / Trafik</x:v>
      </x:c>
      <x:c r="D52" s="25" t="str">
        <x:v>Doktor Kampanyası</x:v>
      </x:c>
      <x:c r="E52" s="25" t="str">
        <x:v>Doruk Hastaneleri - SİNA ÖZEL Sağlık Hizmetleri A.ş</x:v>
      </x:c>
      <x:c r="F52" s="25" t="str">
        <x:v>Doktor - Bilinirlik Kampanyası - Çekirge</x:v>
      </x:c>
      <x:c r="G52" s="25" t="str">
        <x:v>çekirge - Suat Paker</x:v>
      </x:c>
      <x:c r="H52" s="25" t="str">
        <x:v>ACTIVE</x:v>
      </x:c>
      <x:c r="I52" s="25" t="str">
        <x:v>REACH</x:v>
      </x:c>
      <x:c r="J52" s="27" t="n">
        <x:v>0</x:v>
      </x:c>
      <x:c r="K52" s="27" t="n">
        <x:v>0</x:v>
      </x:c>
      <x:c r="L52" s="27" t="n">
        <x:v>100</x:v>
      </x:c>
      <x:c r="M52" s="27" t="n">
        <x:v>0</x:v>
      </x:c>
      <x:c r="N52" s="27" t="n">
        <x:v>557.84</x:v>
      </x:c>
      <x:c r="O52" s="27" t="n">
        <x:v>454.73</x:v>
      </x:c>
      <x:c r="P52" s="27" t="n">
        <x:v>1012.57</x:v>
      </x:c>
      <x:c r="Q52" s="29" t="n">
        <x:f>IFERROR(P52/SUMIFS($P$5:$P$167,$F$5:$F$167,F52,$E$5:$E$167,E52),0)</x:f>
        <x:v>0.04561785735685206</x:v>
      </x:c>
      <x:c r="R52" s="28" t="n">
        <x:v>0</x:v>
      </x:c>
      <x:c r="S52" s="28" t="n">
        <x:v>0</x:v>
      </x:c>
      <x:c r="T52" s="28" t="n">
        <x:v>0</x:v>
      </x:c>
      <x:c r="U52" s="28" t="n">
        <x:v>0</x:v>
      </x:c>
      <x:c r="V52" s="28" t="n">
        <x:v>5774</x:v>
      </x:c>
      <x:c r="W52" s="27" t="n">
        <x:f>IFERROR(P52/T52,0)</x:f>
        <x:v>0</x:v>
      </x:c>
      <x:c r="X52" s="25" t="str">
        <x:v>​120255765395140399</x:v>
      </x:c>
    </x:row>
    <x:row r="53">
      <x:c r="A53" s="25" t="str">
        <x:v>Yerli</x:v>
      </x:c>
      <x:c r="B53" s="25" t="str">
        <x:v>Türkçe</x:v>
      </x:c>
      <x:c r="C53" s="25" t="str">
        <x:v>Bilinirlik / İzlenme / Trafik</x:v>
      </x:c>
      <x:c r="D53" s="25" t="str">
        <x:v>Doktor Kampanyası</x:v>
      </x:c>
      <x:c r="E53" s="25" t="str">
        <x:v>Doruk Hastaneleri - SİNA ÖZEL Sağlık Hizmetleri A.ş</x:v>
      </x:c>
      <x:c r="F53" s="25" t="str">
        <x:v>Doktor - Bilinirlik Kampanyası - Çekirge</x:v>
      </x:c>
      <x:c r="G53" s="25" t="str">
        <x:v>çekirge - Sühendan Benderli</x:v>
      </x:c>
      <x:c r="H53" s="25" t="str">
        <x:v>ACTIVE</x:v>
      </x:c>
      <x:c r="I53" s="25" t="str">
        <x:v>REACH</x:v>
      </x:c>
      <x:c r="J53" s="27" t="n">
        <x:v>0</x:v>
      </x:c>
      <x:c r="K53" s="27" t="n">
        <x:v>0</x:v>
      </x:c>
      <x:c r="L53" s="27" t="n">
        <x:v>100</x:v>
      </x:c>
      <x:c r="M53" s="27" t="n">
        <x:v>0</x:v>
      </x:c>
      <x:c r="N53" s="27" t="n">
        <x:v>564.65</x:v>
      </x:c>
      <x:c r="O53" s="27" t="n">
        <x:v>448.33</x:v>
      </x:c>
      <x:c r="P53" s="27" t="n">
        <x:v>1012.98</x:v>
      </x:c>
      <x:c r="Q53" s="29" t="n">
        <x:f>IFERROR(P53/SUMIFS($P$5:$P$167,$F$5:$F$167,F53,$E$5:$E$167,E53),0)</x:f>
        <x:v>0.045636328496147426</x:v>
      </x:c>
      <x:c r="R53" s="28" t="n">
        <x:v>0</x:v>
      </x:c>
      <x:c r="S53" s="28" t="n">
        <x:v>0</x:v>
      </x:c>
      <x:c r="T53" s="28" t="n">
        <x:v>0</x:v>
      </x:c>
      <x:c r="U53" s="28" t="n">
        <x:v>0</x:v>
      </x:c>
      <x:c r="V53" s="28" t="n">
        <x:v>6567</x:v>
      </x:c>
      <x:c r="W53" s="27" t="n">
        <x:f>IFERROR(P53/T53,0)</x:f>
        <x:v>0</x:v>
      </x:c>
      <x:c r="X53" s="25" t="str">
        <x:v>​120255765396550399</x:v>
      </x:c>
    </x:row>
    <x:row r="54">
      <x:c r="A54" s="25" t="str">
        <x:v>Yerli</x:v>
      </x:c>
      <x:c r="B54" s="25" t="str">
        <x:v>Türkçe</x:v>
      </x:c>
      <x:c r="C54" s="25" t="str">
        <x:v>Bilinirlik / İzlenme / Trafik</x:v>
      </x:c>
      <x:c r="D54" s="25" t="str">
        <x:v>Doktor Kampanyası</x:v>
      </x:c>
      <x:c r="E54" s="25" t="str">
        <x:v>Doruk Hastaneleri - SİNA ÖZEL Sağlık Hizmetleri A.ş</x:v>
      </x:c>
      <x:c r="F54" s="25" t="str">
        <x:v>Doktor - Bilinirlik Kampanyası - Çekirge</x:v>
      </x:c>
      <x:c r="G54" s="25" t="str">
        <x:v>çekirge - Tuncay Özgünay</x:v>
      </x:c>
      <x:c r="H54" s="25" t="str">
        <x:v>ACTIVE</x:v>
      </x:c>
      <x:c r="I54" s="25" t="str">
        <x:v>REACH</x:v>
      </x:c>
      <x:c r="J54" s="27" t="n">
        <x:v>0</x:v>
      </x:c>
      <x:c r="K54" s="27" t="n">
        <x:v>0</x:v>
      </x:c>
      <x:c r="L54" s="27" t="n">
        <x:v>100</x:v>
      </x:c>
      <x:c r="M54" s="27" t="n">
        <x:v>0</x:v>
      </x:c>
      <x:c r="N54" s="27" t="n">
        <x:v>557.04</x:v>
      </x:c>
      <x:c r="O54" s="27" t="n">
        <x:v>460.22</x:v>
      </x:c>
      <x:c r="P54" s="27" t="n">
        <x:v>1017.26</x:v>
      </x:c>
      <x:c r="Q54" s="29" t="n">
        <x:f>IFERROR(P54/SUMIFS($P$5:$P$167,$F$5:$F$167,F54,$E$5:$E$167,E54),0)</x:f>
        <x:v>0.045829149169767346</x:v>
      </x:c>
      <x:c r="R54" s="28" t="n">
        <x:v>0</x:v>
      </x:c>
      <x:c r="S54" s="28" t="n">
        <x:v>0</x:v>
      </x:c>
      <x:c r="T54" s="28" t="n">
        <x:v>0</x:v>
      </x:c>
      <x:c r="U54" s="28" t="n">
        <x:v>0</x:v>
      </x:c>
      <x:c r="V54" s="28" t="n">
        <x:v>4562</x:v>
      </x:c>
      <x:c r="W54" s="27" t="n">
        <x:f>IFERROR(P54/T54,0)</x:f>
        <x:v>0</x:v>
      </x:c>
      <x:c r="X54" s="25" t="str">
        <x:v>​120255765397250399</x:v>
      </x:c>
    </x:row>
    <x:row r="55">
      <x:c r="A55" s="25" t="str">
        <x:v>Yerli</x:v>
      </x:c>
      <x:c r="B55" s="25" t="str">
        <x:v>Türkçe</x:v>
      </x:c>
      <x:c r="C55" s="25" t="str">
        <x:v>Bilinirlik / İzlenme / Trafik</x:v>
      </x:c>
      <x:c r="D55" s="25" t="str">
        <x:v>Doktor Kampanyası</x:v>
      </x:c>
      <x:c r="E55" s="25" t="str">
        <x:v>Doruk Hastaneleri - SİNA ÖZEL Sağlık Hizmetleri A.ş</x:v>
      </x:c>
      <x:c r="F55" s="25" t="str">
        <x:v>Doktor - Bilinirlik Kampanyası - Nilüfer</x:v>
      </x:c>
      <x:c r="G55" s="25" t="str">
        <x:v>nilüfer - Abdullah Şimşek</x:v>
      </x:c>
      <x:c r="H55" s="25" t="str">
        <x:v>ACTIVE</x:v>
      </x:c>
      <x:c r="I55" s="25" t="str">
        <x:v>REACH</x:v>
      </x:c>
      <x:c r="J55" s="27" t="n">
        <x:v>0</x:v>
      </x:c>
      <x:c r="K55" s="27" t="n">
        <x:v>0</x:v>
      </x:c>
      <x:c r="L55" s="27" t="n">
        <x:v>100</x:v>
      </x:c>
      <x:c r="M55" s="27" t="n">
        <x:v>0</x:v>
      </x:c>
      <x:c r="N55" s="27" t="n">
        <x:v>2326.46</x:v>
      </x:c>
      <x:c r="O55" s="27" t="n">
        <x:v>472.95</x:v>
      </x:c>
      <x:c r="P55" s="27" t="n">
        <x:v>2799.41</x:v>
      </x:c>
      <x:c r="Q55" s="29" t="n">
        <x:f>IFERROR(P55/SUMIFS($P$5:$P$167,$F$5:$F$167,F55,$E$5:$E$167,E55),0)</x:f>
        <x:v>0.01895284709079846</x:v>
      </x:c>
      <x:c r="R55" s="28" t="n">
        <x:v>0</x:v>
      </x:c>
      <x:c r="S55" s="28" t="n">
        <x:v>0</x:v>
      </x:c>
      <x:c r="T55" s="28" t="n">
        <x:v>0</x:v>
      </x:c>
      <x:c r="U55" s="28" t="n">
        <x:v>0</x:v>
      </x:c>
      <x:c r="V55" s="28" t="n">
        <x:v>11363</x:v>
      </x:c>
      <x:c r="W55" s="27" t="n">
        <x:f>IFERROR(P55/T55,0)</x:f>
        <x:v>0</x:v>
      </x:c>
      <x:c r="X55" s="25" t="str">
        <x:v>​120250028825440399</x:v>
      </x:c>
    </x:row>
    <x:row r="56">
      <x:c r="A56" s="25" t="str">
        <x:v>Yerli</x:v>
      </x:c>
      <x:c r="B56" s="25" t="str">
        <x:v>Türkçe</x:v>
      </x:c>
      <x:c r="C56" s="25" t="str">
        <x:v>Bilinirlik / İzlenme / Trafik</x:v>
      </x:c>
      <x:c r="D56" s="25" t="str">
        <x:v>Doktor Kampanyası</x:v>
      </x:c>
      <x:c r="E56" s="25" t="str">
        <x:v>Doruk Hastaneleri - SİNA ÖZEL Sağlık Hizmetleri A.ş</x:v>
      </x:c>
      <x:c r="F56" s="25" t="str">
        <x:v>Doktor - Bilinirlik Kampanyası - Nilüfer</x:v>
      </x:c>
      <x:c r="G56" s="25" t="str">
        <x:v>nilüfer - Abdülkadir GÖĞREMİŞ</x:v>
      </x:c>
      <x:c r="H56" s="25" t="str">
        <x:v>ACTIVE</x:v>
      </x:c>
      <x:c r="I56" s="25" t="str">
        <x:v>REACH</x:v>
      </x:c>
      <x:c r="J56" s="27" t="n">
        <x:v>0</x:v>
      </x:c>
      <x:c r="K56" s="27" t="n">
        <x:v>0</x:v>
      </x:c>
      <x:c r="L56" s="27" t="n">
        <x:v>100</x:v>
      </x:c>
      <x:c r="M56" s="27" t="n">
        <x:v>0</x:v>
      </x:c>
      <x:c r="N56" s="27" t="n">
        <x:v>2342.16</x:v>
      </x:c>
      <x:c r="O56" s="27" t="n">
        <x:v>452.1</x:v>
      </x:c>
      <x:c r="P56" s="27" t="n">
        <x:v>2794.2599999999998</x:v>
      </x:c>
      <x:c r="Q56" s="29" t="n">
        <x:f>IFERROR(P56/SUMIFS($P$5:$P$167,$F$5:$F$167,F56,$E$5:$E$167,E56),0)</x:f>
        <x:v>0.01891798004291422</x:v>
      </x:c>
      <x:c r="R56" s="28" t="n">
        <x:v>0</x:v>
      </x:c>
      <x:c r="S56" s="28" t="n">
        <x:v>0</x:v>
      </x:c>
      <x:c r="T56" s="28" t="n">
        <x:v>0</x:v>
      </x:c>
      <x:c r="U56" s="28" t="n">
        <x:v>0</x:v>
      </x:c>
      <x:c r="V56" s="28" t="n">
        <x:v>13559</x:v>
      </x:c>
      <x:c r="W56" s="27" t="n">
        <x:f>IFERROR(P56/T56,0)</x:f>
        <x:v>0</x:v>
      </x:c>
      <x:c r="X56" s="25" t="str">
        <x:v>​120249678072310399</x:v>
      </x:c>
    </x:row>
    <x:row r="57">
      <x:c r="A57" s="25" t="str">
        <x:v>Yerli</x:v>
      </x:c>
      <x:c r="B57" s="25" t="str">
        <x:v>Türkçe</x:v>
      </x:c>
      <x:c r="C57" s="25" t="str">
        <x:v>Bilinirlik / İzlenme / Trafik</x:v>
      </x:c>
      <x:c r="D57" s="25" t="str">
        <x:v>Doktor Kampanyası</x:v>
      </x:c>
      <x:c r="E57" s="25" t="str">
        <x:v>Doruk Hastaneleri - SİNA ÖZEL Sağlık Hizmetleri A.ş</x:v>
      </x:c>
      <x:c r="F57" s="25" t="str">
        <x:v>Doktor - Bilinirlik Kampanyası - Nilüfer</x:v>
      </x:c>
      <x:c r="G57" s="25" t="str">
        <x:v>nilüfer - Ahmet Seçkin Çetinkaya</x:v>
      </x:c>
      <x:c r="H57" s="25" t="str">
        <x:v>ACTIVE</x:v>
      </x:c>
      <x:c r="I57" s="25" t="str">
        <x:v>REACH</x:v>
      </x:c>
      <x:c r="J57" s="27" t="n">
        <x:v>0</x:v>
      </x:c>
      <x:c r="K57" s="27" t="n">
        <x:v>0</x:v>
      </x:c>
      <x:c r="L57" s="27" t="n">
        <x:v>100</x:v>
      </x:c>
      <x:c r="M57" s="27" t="n">
        <x:v>0</x:v>
      </x:c>
      <x:c r="N57" s="27" t="n">
        <x:v>2234.99</x:v>
      </x:c>
      <x:c r="O57" s="27" t="n">
        <x:v>451.99</x:v>
      </x:c>
      <x:c r="P57" s="27" t="n">
        <x:v>2686.9799999999996</x:v>
      </x:c>
      <x:c r="Q57" s="29" t="n">
        <x:f>IFERROR(P57/SUMIFS($P$5:$P$167,$F$5:$F$167,F57,$E$5:$E$167,E57),0)</x:f>
        <x:v>0.018191662198832483</x:v>
      </x:c>
      <x:c r="R57" s="28" t="n">
        <x:v>0</x:v>
      </x:c>
      <x:c r="S57" s="28" t="n">
        <x:v>0</x:v>
      </x:c>
      <x:c r="T57" s="28" t="n">
        <x:v>0</x:v>
      </x:c>
      <x:c r="U57" s="28" t="n">
        <x:v>1</x:v>
      </x:c>
      <x:c r="V57" s="28" t="n">
        <x:v>20551</x:v>
      </x:c>
      <x:c r="W57" s="27" t="n">
        <x:f>IFERROR(P57/T57,0)</x:f>
        <x:v>0</x:v>
      </x:c>
      <x:c r="X57" s="25" t="str">
        <x:v>​120252512452820399</x:v>
      </x:c>
    </x:row>
    <x:row r="58">
      <x:c r="A58" s="25" t="str">
        <x:v>Yerli</x:v>
      </x:c>
      <x:c r="B58" s="25" t="str">
        <x:v>Türkçe</x:v>
      </x:c>
      <x:c r="C58" s="25" t="str">
        <x:v>Bilinirlik / İzlenme / Trafik</x:v>
      </x:c>
      <x:c r="D58" s="25" t="str">
        <x:v>Doktor Kampanyası</x:v>
      </x:c>
      <x:c r="E58" s="25" t="str">
        <x:v>Doruk Hastaneleri - SİNA ÖZEL Sağlık Hizmetleri A.ş</x:v>
      </x:c>
      <x:c r="F58" s="25" t="str">
        <x:v>Doktor - Bilinirlik Kampanyası - Nilüfer</x:v>
      </x:c>
      <x:c r="G58" s="25" t="str">
        <x:v>nilüfer - Ahmet TURGUT</x:v>
      </x:c>
      <x:c r="H58" s="25" t="str">
        <x:v>ACTIVE</x:v>
      </x:c>
      <x:c r="I58" s="25" t="str">
        <x:v>REACH</x:v>
      </x:c>
      <x:c r="J58" s="27" t="n">
        <x:v>0</x:v>
      </x:c>
      <x:c r="K58" s="27" t="n">
        <x:v>0</x:v>
      </x:c>
      <x:c r="L58" s="27" t="n">
        <x:v>100</x:v>
      </x:c>
      <x:c r="M58" s="27" t="n">
        <x:v>0</x:v>
      </x:c>
      <x:c r="N58" s="27" t="n">
        <x:v>2374.44</x:v>
      </x:c>
      <x:c r="O58" s="27" t="n">
        <x:v>458.43</x:v>
      </x:c>
      <x:c r="P58" s="27" t="n">
        <x:v>2832.87</x:v>
      </x:c>
      <x:c r="Q58" s="29" t="n">
        <x:f>IFERROR(P58/SUMIFS($P$5:$P$167,$F$5:$F$167,F58,$E$5:$E$167,E58),0)</x:f>
        <x:v>0.0191793813475376</x:v>
      </x:c>
      <x:c r="R58" s="28" t="n">
        <x:v>0</x:v>
      </x:c>
      <x:c r="S58" s="28" t="n">
        <x:v>0</x:v>
      </x:c>
      <x:c r="T58" s="28" t="n">
        <x:v>0</x:v>
      </x:c>
      <x:c r="U58" s="28" t="n">
        <x:v>0</x:v>
      </x:c>
      <x:c r="V58" s="28" t="n">
        <x:v>11141</x:v>
      </x:c>
      <x:c r="W58" s="27" t="n">
        <x:f>IFERROR(P58/T58,0)</x:f>
        <x:v>0</x:v>
      </x:c>
      <x:c r="X58" s="25" t="str">
        <x:v>​120249678142970399</x:v>
      </x:c>
    </x:row>
    <x:row r="59">
      <x:c r="A59" s="25" t="str">
        <x:v>Yerli</x:v>
      </x:c>
      <x:c r="B59" s="25" t="str">
        <x:v>Türkçe</x:v>
      </x:c>
      <x:c r="C59" s="25" t="str">
        <x:v>Bilinirlik / İzlenme / Trafik</x:v>
      </x:c>
      <x:c r="D59" s="25" t="str">
        <x:v>Doktor Kampanyası</x:v>
      </x:c>
      <x:c r="E59" s="25" t="str">
        <x:v>Doruk Hastaneleri - SİNA ÖZEL Sağlık Hizmetleri A.ş</x:v>
      </x:c>
      <x:c r="F59" s="25" t="str">
        <x:v>Doktor - Bilinirlik Kampanyası - Nilüfer</x:v>
      </x:c>
      <x:c r="G59" s="25" t="str">
        <x:v>nilüfer - Atıf Mutlu</x:v>
      </x:c>
      <x:c r="H59" s="25" t="str">
        <x:v>ACTIVE</x:v>
      </x:c>
      <x:c r="I59" s="25" t="str">
        <x:v>REACH</x:v>
      </x:c>
      <x:c r="J59" s="27" t="n">
        <x:v>0</x:v>
      </x:c>
      <x:c r="K59" s="27" t="n">
        <x:v>0</x:v>
      </x:c>
      <x:c r="L59" s="27" t="n">
        <x:v>100</x:v>
      </x:c>
      <x:c r="M59" s="27" t="n">
        <x:v>0</x:v>
      </x:c>
      <x:c r="N59" s="27" t="n">
        <x:v>2241.39</x:v>
      </x:c>
      <x:c r="O59" s="27" t="n">
        <x:v>458.31</x:v>
      </x:c>
      <x:c r="P59" s="27" t="n">
        <x:v>2699.7</x:v>
      </x:c>
      <x:c r="Q59" s="29" t="n">
        <x:f>IFERROR(P59/SUMIFS($P$5:$P$167,$F$5:$F$167,F59,$E$5:$E$167,E59),0)</x:f>
        <x:v>0.01827778042195627</x:v>
      </x:c>
      <x:c r="R59" s="28" t="n">
        <x:v>0</x:v>
      </x:c>
      <x:c r="S59" s="28" t="n">
        <x:v>0</x:v>
      </x:c>
      <x:c r="T59" s="28" t="n">
        <x:v>0</x:v>
      </x:c>
      <x:c r="U59" s="28" t="n">
        <x:v>0</x:v>
      </x:c>
      <x:c r="V59" s="28" t="n">
        <x:v>13006</x:v>
      </x:c>
      <x:c r="W59" s="27" t="n">
        <x:f>IFERROR(P59/T59,0)</x:f>
        <x:v>0</x:v>
      </x:c>
      <x:c r="X59" s="25" t="str">
        <x:v>​120249675908280399</x:v>
      </x:c>
    </x:row>
    <x:row r="60">
      <x:c r="A60" s="25" t="str">
        <x:v>Yerli</x:v>
      </x:c>
      <x:c r="B60" s="25" t="str">
        <x:v>Türkçe</x:v>
      </x:c>
      <x:c r="C60" s="25" t="str">
        <x:v>Bilinirlik / İzlenme / Trafik</x:v>
      </x:c>
      <x:c r="D60" s="25" t="str">
        <x:v>Doktor Kampanyası</x:v>
      </x:c>
      <x:c r="E60" s="25" t="str">
        <x:v>Doruk Hastaneleri - SİNA ÖZEL Sağlık Hizmetleri A.ş</x:v>
      </x:c>
      <x:c r="F60" s="25" t="str">
        <x:v>Doktor - Bilinirlik Kampanyası - Nilüfer</x:v>
      </x:c>
      <x:c r="G60" s="25" t="str">
        <x:v>nilüfer - Atilla Güray</x:v>
      </x:c>
      <x:c r="H60" s="25" t="str">
        <x:v>ACTIVE</x:v>
      </x:c>
      <x:c r="I60" s="25" t="str">
        <x:v>REACH</x:v>
      </x:c>
      <x:c r="J60" s="27" t="n">
        <x:v>0</x:v>
      </x:c>
      <x:c r="K60" s="27" t="n">
        <x:v>0</x:v>
      </x:c>
      <x:c r="L60" s="27" t="n">
        <x:v>100</x:v>
      </x:c>
      <x:c r="M60" s="27" t="n">
        <x:v>0</x:v>
      </x:c>
      <x:c r="N60" s="27" t="n">
        <x:v>2335.57</x:v>
      </x:c>
      <x:c r="O60" s="27" t="n">
        <x:v>477.23</x:v>
      </x:c>
      <x:c r="P60" s="27" t="n">
        <x:v>2812.8</x:v>
      </x:c>
      <x:c r="Q60" s="29" t="n">
        <x:f>IFERROR(P60/SUMIFS($P$5:$P$167,$F$5:$F$167,F60,$E$5:$E$167,E60),0)</x:f>
        <x:v>0.019043501415297478</x:v>
      </x:c>
      <x:c r="R60" s="28" t="n">
        <x:v>0</x:v>
      </x:c>
      <x:c r="S60" s="28" t="n">
        <x:v>0</x:v>
      </x:c>
      <x:c r="T60" s="28" t="n">
        <x:v>0</x:v>
      </x:c>
      <x:c r="U60" s="28" t="n">
        <x:v>0</x:v>
      </x:c>
      <x:c r="V60" s="28" t="n">
        <x:v>9434</x:v>
      </x:c>
      <x:c r="W60" s="27" t="n">
        <x:f>IFERROR(P60/T60,0)</x:f>
        <x:v>0</x:v>
      </x:c>
      <x:c r="X60" s="25" t="str">
        <x:v>​120249678237640399</x:v>
      </x:c>
    </x:row>
    <x:row r="61">
      <x:c r="A61" s="25" t="str">
        <x:v>Yerli</x:v>
      </x:c>
      <x:c r="B61" s="25" t="str">
        <x:v>Türkçe</x:v>
      </x:c>
      <x:c r="C61" s="25" t="str">
        <x:v>Bilinirlik / İzlenme / Trafik</x:v>
      </x:c>
      <x:c r="D61" s="25" t="str">
        <x:v>Doktor Kampanyası</x:v>
      </x:c>
      <x:c r="E61" s="25" t="str">
        <x:v>Doruk Hastaneleri - SİNA ÖZEL Sağlık Hizmetleri A.ş</x:v>
      </x:c>
      <x:c r="F61" s="25" t="str">
        <x:v>Doktor - Bilinirlik Kampanyası - Nilüfer</x:v>
      </x:c>
      <x:c r="G61" s="25" t="str">
        <x:v>nilüfer - Ayşenur Kaya</x:v>
      </x:c>
      <x:c r="H61" s="25" t="str">
        <x:v>ACTIVE</x:v>
      </x:c>
      <x:c r="I61" s="25" t="str">
        <x:v>REACH</x:v>
      </x:c>
      <x:c r="J61" s="27" t="n">
        <x:v>0</x:v>
      </x:c>
      <x:c r="K61" s="27" t="n">
        <x:v>0</x:v>
      </x:c>
      <x:c r="L61" s="27" t="n">
        <x:v>100</x:v>
      </x:c>
      <x:c r="M61" s="27" t="n">
        <x:v>0</x:v>
      </x:c>
      <x:c r="N61" s="27" t="n">
        <x:v>2366.23</x:v>
      </x:c>
      <x:c r="O61" s="27" t="n">
        <x:v>469.22</x:v>
      </x:c>
      <x:c r="P61" s="27" t="n">
        <x:v>2835.45</x:v>
      </x:c>
      <x:c r="Q61" s="29" t="n">
        <x:f>IFERROR(P61/SUMIFS($P$5:$P$167,$F$5:$F$167,F61,$E$5:$E$167,E61),0)</x:f>
        <x:v>0.01919684872298252</x:v>
      </x:c>
      <x:c r="R61" s="28" t="n">
        <x:v>0</x:v>
      </x:c>
      <x:c r="S61" s="28" t="n">
        <x:v>0</x:v>
      </x:c>
      <x:c r="T61" s="28" t="n">
        <x:v>0</x:v>
      </x:c>
      <x:c r="U61" s="28" t="n">
        <x:v>0</x:v>
      </x:c>
      <x:c r="V61" s="28" t="n">
        <x:v>10899</x:v>
      </x:c>
      <x:c r="W61" s="27" t="n">
        <x:f>IFERROR(P61/T61,0)</x:f>
        <x:v>0</x:v>
      </x:c>
      <x:c r="X61" s="25" t="str">
        <x:v>​120250370320610399</x:v>
      </x:c>
    </x:row>
    <x:row r="62">
      <x:c r="A62" s="25" t="str">
        <x:v>Yerli</x:v>
      </x:c>
      <x:c r="B62" s="25" t="str">
        <x:v>Türkçe</x:v>
      </x:c>
      <x:c r="C62" s="25" t="str">
        <x:v>Bilinirlik / İzlenme / Trafik</x:v>
      </x:c>
      <x:c r="D62" s="25" t="str">
        <x:v>Doktor Kampanyası</x:v>
      </x:c>
      <x:c r="E62" s="25" t="str">
        <x:v>Doruk Hastaneleri - SİNA ÖZEL Sağlık Hizmetleri A.ş</x:v>
      </x:c>
      <x:c r="F62" s="25" t="str">
        <x:v>Doktor - Bilinirlik Kampanyası - Nilüfer</x:v>
      </x:c>
      <x:c r="G62" s="25" t="str">
        <x:v>nilüfer - Bayram Çalışkan</x:v>
      </x:c>
      <x:c r="H62" s="25" t="str">
        <x:v>ACTIVE</x:v>
      </x:c>
      <x:c r="I62" s="25" t="str">
        <x:v>REACH</x:v>
      </x:c>
      <x:c r="J62" s="27" t="n">
        <x:v>0</x:v>
      </x:c>
      <x:c r="K62" s="27" t="n">
        <x:v>0</x:v>
      </x:c>
      <x:c r="L62" s="27" t="n">
        <x:v>100</x:v>
      </x:c>
      <x:c r="M62" s="27" t="n">
        <x:v>0</x:v>
      </x:c>
      <x:c r="N62" s="27" t="n">
        <x:v>2345.56</x:v>
      </x:c>
      <x:c r="O62" s="27" t="n">
        <x:v>461.7</x:v>
      </x:c>
      <x:c r="P62" s="27" t="n">
        <x:v>2807.2599999999998</x:v>
      </x:c>
      <x:c r="Q62" s="29" t="n">
        <x:f>IFERROR(P62/SUMIFS($P$5:$P$167,$F$5:$F$167,F62,$E$5:$E$167,E62),0)</x:f>
        <x:v>0.01900599395019482</x:v>
      </x:c>
      <x:c r="R62" s="28" t="n">
        <x:v>0</x:v>
      </x:c>
      <x:c r="S62" s="28" t="n">
        <x:v>0</x:v>
      </x:c>
      <x:c r="T62" s="28" t="n">
        <x:v>0</x:v>
      </x:c>
      <x:c r="U62" s="28" t="n">
        <x:v>0</x:v>
      </x:c>
      <x:c r="V62" s="28" t="n">
        <x:v>14555</x:v>
      </x:c>
      <x:c r="W62" s="27" t="n">
        <x:f>IFERROR(P62/T62,0)</x:f>
        <x:v>0</x:v>
      </x:c>
      <x:c r="X62" s="25" t="str">
        <x:v>​120250139784860399</x:v>
      </x:c>
    </x:row>
    <x:row r="63">
      <x:c r="A63" s="25" t="str">
        <x:v>Yerli</x:v>
      </x:c>
      <x:c r="B63" s="25" t="str">
        <x:v>Türkçe</x:v>
      </x:c>
      <x:c r="C63" s="25" t="str">
        <x:v>Bilinirlik / İzlenme / Trafik</x:v>
      </x:c>
      <x:c r="D63" s="25" t="str">
        <x:v>Doktor Kampanyası</x:v>
      </x:c>
      <x:c r="E63" s="25" t="str">
        <x:v>Doruk Hastaneleri - SİNA ÖZEL Sağlık Hizmetleri A.ş</x:v>
      </x:c>
      <x:c r="F63" s="25" t="str">
        <x:v>Doktor - Bilinirlik Kampanyası - Nilüfer</x:v>
      </x:c>
      <x:c r="G63" s="25" t="str">
        <x:v>nilüfer - Berkan Aktürk</x:v>
      </x:c>
      <x:c r="H63" s="25" t="str">
        <x:v>ACTIVE</x:v>
      </x:c>
      <x:c r="I63" s="25" t="str">
        <x:v>REACH</x:v>
      </x:c>
      <x:c r="J63" s="27" t="n">
        <x:v>0</x:v>
      </x:c>
      <x:c r="K63" s="27" t="n">
        <x:v>0</x:v>
      </x:c>
      <x:c r="L63" s="27" t="n">
        <x:v>100</x:v>
      </x:c>
      <x:c r="M63" s="27" t="n">
        <x:v>0</x:v>
      </x:c>
      <x:c r="N63" s="27" t="n">
        <x:v>2323.69</x:v>
      </x:c>
      <x:c r="O63" s="27" t="n">
        <x:v>463.76</x:v>
      </x:c>
      <x:c r="P63" s="27" t="n">
        <x:v>2787.45</x:v>
      </x:c>
      <x:c r="Q63" s="29" t="n">
        <x:f>IFERROR(P63/SUMIFS($P$5:$P$167,$F$5:$F$167,F63,$E$5:$E$167,E63),0)</x:f>
        <x:v>0.01887187429610031</x:v>
      </x:c>
      <x:c r="R63" s="28" t="n">
        <x:v>0</x:v>
      </x:c>
      <x:c r="S63" s="28" t="n">
        <x:v>0</x:v>
      </x:c>
      <x:c r="T63" s="28" t="n">
        <x:v>0</x:v>
      </x:c>
      <x:c r="U63" s="28" t="n">
        <x:v>0</x:v>
      </x:c>
      <x:c r="V63" s="28" t="n">
        <x:v>11563</x:v>
      </x:c>
      <x:c r="W63" s="27" t="n">
        <x:f>IFERROR(P63/T63,0)</x:f>
        <x:v>0</x:v>
      </x:c>
      <x:c r="X63" s="25" t="str">
        <x:v>​120249678776590399</x:v>
      </x:c>
    </x:row>
    <x:row r="64">
      <x:c r="A64" s="25" t="str">
        <x:v>Yerli</x:v>
      </x:c>
      <x:c r="B64" s="25" t="str">
        <x:v>Türkçe</x:v>
      </x:c>
      <x:c r="C64" s="25" t="str">
        <x:v>Bilinirlik / İzlenme / Trafik</x:v>
      </x:c>
      <x:c r="D64" s="25" t="str">
        <x:v>Doktor Kampanyası</x:v>
      </x:c>
      <x:c r="E64" s="25" t="str">
        <x:v>Doruk Hastaneleri - SİNA ÖZEL Sağlık Hizmetleri A.ş</x:v>
      </x:c>
      <x:c r="F64" s="25" t="str">
        <x:v>Doktor - Bilinirlik Kampanyası - Nilüfer</x:v>
      </x:c>
      <x:c r="G64" s="25" t="str">
        <x:v>nilüfer - Burak Danacıoğlu</x:v>
      </x:c>
      <x:c r="H64" s="25" t="str">
        <x:v>ACTIVE</x:v>
      </x:c>
      <x:c r="I64" s="25" t="str">
        <x:v>REACH</x:v>
      </x:c>
      <x:c r="J64" s="27" t="n">
        <x:v>0</x:v>
      </x:c>
      <x:c r="K64" s="27" t="n">
        <x:v>0</x:v>
      </x:c>
      <x:c r="L64" s="27" t="n">
        <x:v>100</x:v>
      </x:c>
      <x:c r="M64" s="27" t="n">
        <x:v>0</x:v>
      </x:c>
      <x:c r="N64" s="27" t="n">
        <x:v>2350.04</x:v>
      </x:c>
      <x:c r="O64" s="27" t="n">
        <x:v>467.94</x:v>
      </x:c>
      <x:c r="P64" s="27" t="n">
        <x:v>2817.98</x:v>
      </x:c>
      <x:c r="Q64" s="29" t="n">
        <x:f>IFERROR(P64/SUMIFS($P$5:$P$167,$F$5:$F$167,F64,$E$5:$E$167,E64),0)</x:f>
        <x:v>0.019078571572198517</x:v>
      </x:c>
      <x:c r="R64" s="28" t="n">
        <x:v>0</x:v>
      </x:c>
      <x:c r="S64" s="28" t="n">
        <x:v>0</x:v>
      </x:c>
      <x:c r="T64" s="28" t="n">
        <x:v>0</x:v>
      </x:c>
      <x:c r="U64" s="28" t="n">
        <x:v>0</x:v>
      </x:c>
      <x:c r="V64" s="28" t="n">
        <x:v>10032</x:v>
      </x:c>
      <x:c r="W64" s="27" t="n">
        <x:f>IFERROR(P64/T64,0)</x:f>
        <x:v>0</x:v>
      </x:c>
      <x:c r="X64" s="25" t="str">
        <x:v>​120249678860320399</x:v>
      </x:c>
    </x:row>
    <x:row r="65">
      <x:c r="A65" s="25" t="str">
        <x:v>Yerli</x:v>
      </x:c>
      <x:c r="B65" s="25" t="str">
        <x:v>Türkçe</x:v>
      </x:c>
      <x:c r="C65" s="25" t="str">
        <x:v>Bilinirlik / İzlenme / Trafik</x:v>
      </x:c>
      <x:c r="D65" s="25" t="str">
        <x:v>Doktor Kampanyası</x:v>
      </x:c>
      <x:c r="E65" s="25" t="str">
        <x:v>Doruk Hastaneleri - SİNA ÖZEL Sağlık Hizmetleri A.ş</x:v>
      </x:c>
      <x:c r="F65" s="25" t="str">
        <x:v>Doktor - Bilinirlik Kampanyası - Nilüfer</x:v>
      </x:c>
      <x:c r="G65" s="25" t="str">
        <x:v>nilüfer - Çiğdem Şen</x:v>
      </x:c>
      <x:c r="H65" s="25" t="str">
        <x:v>ACTIVE</x:v>
      </x:c>
      <x:c r="I65" s="25" t="str">
        <x:v>REACH</x:v>
      </x:c>
      <x:c r="J65" s="27" t="n">
        <x:v>0</x:v>
      </x:c>
      <x:c r="K65" s="27" t="n">
        <x:v>0</x:v>
      </x:c>
      <x:c r="L65" s="27" t="n">
        <x:v>100</x:v>
      </x:c>
      <x:c r="M65" s="27" t="n">
        <x:v>0</x:v>
      </x:c>
      <x:c r="N65" s="27" t="n">
        <x:v>2314.8</x:v>
      </x:c>
      <x:c r="O65" s="27" t="n">
        <x:v>454.73</x:v>
      </x:c>
      <x:c r="P65" s="27" t="n">
        <x:v>2769.53</x:v>
      </x:c>
      <x:c r="Q65" s="29" t="n">
        <x:f>IFERROR(P65/SUMIFS($P$5:$P$167,$F$5:$F$167,F65,$E$5:$E$167,E65),0)</x:f>
        <x:v>0.018750550510064287</x:v>
      </x:c>
      <x:c r="R65" s="28" t="n">
        <x:v>0</x:v>
      </x:c>
      <x:c r="S65" s="28" t="n">
        <x:v>0</x:v>
      </x:c>
      <x:c r="T65" s="28" t="n">
        <x:v>0</x:v>
      </x:c>
      <x:c r="U65" s="28" t="n">
        <x:v>0</x:v>
      </x:c>
      <x:c r="V65" s="28" t="n">
        <x:v>11251</x:v>
      </x:c>
      <x:c r="W65" s="27" t="n">
        <x:f>IFERROR(P65/T65,0)</x:f>
        <x:v>0</x:v>
      </x:c>
      <x:c r="X65" s="25" t="str">
        <x:v>​120252512785320399</x:v>
      </x:c>
    </x:row>
    <x:row r="66">
      <x:c r="A66" s="25" t="str">
        <x:v>Yerli</x:v>
      </x:c>
      <x:c r="B66" s="25" t="str">
        <x:v>Türkçe</x:v>
      </x:c>
      <x:c r="C66" s="25" t="str">
        <x:v>Bilinirlik / İzlenme / Trafik</x:v>
      </x:c>
      <x:c r="D66" s="25" t="str">
        <x:v>Doktor Kampanyası</x:v>
      </x:c>
      <x:c r="E66" s="25" t="str">
        <x:v>Doruk Hastaneleri - SİNA ÖZEL Sağlık Hizmetleri A.ş</x:v>
      </x:c>
      <x:c r="F66" s="25" t="str">
        <x:v>Doktor - Bilinirlik Kampanyası - Nilüfer</x:v>
      </x:c>
      <x:c r="G66" s="25" t="str">
        <x:v>nilüfer - Çoşkun Özer</x:v>
      </x:c>
      <x:c r="H66" s="25" t="str">
        <x:v>ACTIVE</x:v>
      </x:c>
      <x:c r="I66" s="25" t="str">
        <x:v>REACH</x:v>
      </x:c>
      <x:c r="J66" s="27" t="n">
        <x:v>0</x:v>
      </x:c>
      <x:c r="K66" s="27" t="n">
        <x:v>0</x:v>
      </x:c>
      <x:c r="L66" s="27" t="n">
        <x:v>100</x:v>
      </x:c>
      <x:c r="M66" s="27" t="n">
        <x:v>0</x:v>
      </x:c>
      <x:c r="N66" s="27" t="n">
        <x:v>2303.89</x:v>
      </x:c>
      <x:c r="O66" s="27" t="n">
        <x:v>451.68</x:v>
      </x:c>
      <x:c r="P66" s="27" t="n">
        <x:v>2755.5699999999997</x:v>
      </x:c>
      <x:c r="Q66" s="29" t="n">
        <x:f>IFERROR(P66/SUMIFS($P$5:$P$167,$F$5:$F$167,F66,$E$5:$E$167,E66),0)</x:f>
        <x:v>0.01865603711424604</x:v>
      </x:c>
      <x:c r="R66" s="28" t="n">
        <x:v>0</x:v>
      </x:c>
      <x:c r="S66" s="28" t="n">
        <x:v>0</x:v>
      </x:c>
      <x:c r="T66" s="28" t="n">
        <x:v>0</x:v>
      </x:c>
      <x:c r="U66" s="28" t="n">
        <x:v>0</x:v>
      </x:c>
      <x:c r="V66" s="28" t="n">
        <x:v>13126</x:v>
      </x:c>
      <x:c r="W66" s="27" t="n">
        <x:f>IFERROR(P66/T66,0)</x:f>
        <x:v>0</x:v>
      </x:c>
      <x:c r="X66" s="25" t="str">
        <x:v>​120250014911760399</x:v>
      </x:c>
    </x:row>
    <x:row r="67">
      <x:c r="A67" s="25" t="str">
        <x:v>Yerli</x:v>
      </x:c>
      <x:c r="B67" s="25" t="str">
        <x:v>Türkçe</x:v>
      </x:c>
      <x:c r="C67" s="25" t="str">
        <x:v>Bilinirlik / İzlenme / Trafik</x:v>
      </x:c>
      <x:c r="D67" s="25" t="str">
        <x:v>Doktor Kampanyası</x:v>
      </x:c>
      <x:c r="E67" s="25" t="str">
        <x:v>Doruk Hastaneleri - SİNA ÖZEL Sağlık Hizmetleri A.ş</x:v>
      </x:c>
      <x:c r="F67" s="25" t="str">
        <x:v>Doktor - Bilinirlik Kampanyası - Nilüfer</x:v>
      </x:c>
      <x:c r="G67" s="25" t="str">
        <x:v>nilüfer - Ebru Süer</x:v>
      </x:c>
      <x:c r="H67" s="25" t="str">
        <x:v>ACTIVE</x:v>
      </x:c>
      <x:c r="I67" s="25" t="str">
        <x:v>REACH</x:v>
      </x:c>
      <x:c r="J67" s="27" t="n">
        <x:v>0</x:v>
      </x:c>
      <x:c r="K67" s="27" t="n">
        <x:v>0</x:v>
      </x:c>
      <x:c r="L67" s="27" t="n">
        <x:v>100</x:v>
      </x:c>
      <x:c r="M67" s="27" t="n">
        <x:v>0</x:v>
      </x:c>
      <x:c r="N67" s="27" t="n">
        <x:v>2326.1</x:v>
      </x:c>
      <x:c r="O67" s="27" t="n">
        <x:v>462.83</x:v>
      </x:c>
      <x:c r="P67" s="27" t="n">
        <x:v>2788.93</x:v>
      </x:c>
      <x:c r="Q67" s="29" t="n">
        <x:f>IFERROR(P67/SUMIFS($P$5:$P$167,$F$5:$F$167,F67,$E$5:$E$167,E67),0)</x:f>
        <x:v>0.018881894340929177</x:v>
      </x:c>
      <x:c r="R67" s="28" t="n">
        <x:v>0</x:v>
      </x:c>
      <x:c r="S67" s="28" t="n">
        <x:v>0</x:v>
      </x:c>
      <x:c r="T67" s="28" t="n">
        <x:v>0</x:v>
      </x:c>
      <x:c r="U67" s="28" t="n">
        <x:v>0</x:v>
      </x:c>
      <x:c r="V67" s="28" t="n">
        <x:v>14030</x:v>
      </x:c>
      <x:c r="W67" s="27" t="n">
        <x:f>IFERROR(P67/T67,0)</x:f>
        <x:v>0</x:v>
      </x:c>
      <x:c r="X67" s="25" t="str">
        <x:v>​120250370406560399</x:v>
      </x:c>
    </x:row>
    <x:row r="68">
      <x:c r="A68" s="25" t="str">
        <x:v>Yerli</x:v>
      </x:c>
      <x:c r="B68" s="25" t="str">
        <x:v>Türkçe</x:v>
      </x:c>
      <x:c r="C68" s="25" t="str">
        <x:v>Bilinirlik / İzlenme / Trafik</x:v>
      </x:c>
      <x:c r="D68" s="25" t="str">
        <x:v>Doktor Kampanyası</x:v>
      </x:c>
      <x:c r="E68" s="25" t="str">
        <x:v>Doruk Hastaneleri - SİNA ÖZEL Sağlık Hizmetleri A.ş</x:v>
      </x:c>
      <x:c r="F68" s="25" t="str">
        <x:v>Doktor - Bilinirlik Kampanyası - Nilüfer</x:v>
      </x:c>
      <x:c r="G68" s="25" t="str">
        <x:v>nilüfer - Elif Nur Sevinç</x:v>
      </x:c>
      <x:c r="H68" s="25" t="str">
        <x:v>ACTIVE</x:v>
      </x:c>
      <x:c r="I68" s="25" t="str">
        <x:v>REACH</x:v>
      </x:c>
      <x:c r="J68" s="27" t="n">
        <x:v>0</x:v>
      </x:c>
      <x:c r="K68" s="27" t="n">
        <x:v>0</x:v>
      </x:c>
      <x:c r="L68" s="27" t="n">
        <x:v>100</x:v>
      </x:c>
      <x:c r="M68" s="27" t="n">
        <x:v>0</x:v>
      </x:c>
      <x:c r="N68" s="27" t="n">
        <x:v>2286.41</x:v>
      </x:c>
      <x:c r="O68" s="27" t="n">
        <x:v>450.73</x:v>
      </x:c>
      <x:c r="P68" s="27" t="n">
        <x:v>2737.14</x:v>
      </x:c>
      <x:c r="Q68" s="29" t="n">
        <x:f>IFERROR(P68/SUMIFS($P$5:$P$167,$F$5:$F$167,F68,$E$5:$E$167,E68),0)</x:f>
        <x:v>0.018531260474924396</x:v>
      </x:c>
      <x:c r="R68" s="28" t="n">
        <x:v>0</x:v>
      </x:c>
      <x:c r="S68" s="28" t="n">
        <x:v>0</x:v>
      </x:c>
      <x:c r="T68" s="28" t="n">
        <x:v>0</x:v>
      </x:c>
      <x:c r="U68" s="28" t="n">
        <x:v>0</x:v>
      </x:c>
      <x:c r="V68" s="28" t="n">
        <x:v>13544</x:v>
      </x:c>
      <x:c r="W68" s="27" t="n">
        <x:f>IFERROR(P68/T68,0)</x:f>
        <x:v>0</x:v>
      </x:c>
      <x:c r="X68" s="25" t="str">
        <x:v>​120250370486100399</x:v>
      </x:c>
    </x:row>
    <x:row r="69">
      <x:c r="A69" s="25" t="str">
        <x:v>Yerli</x:v>
      </x:c>
      <x:c r="B69" s="25" t="str">
        <x:v>Türkçe</x:v>
      </x:c>
      <x:c r="C69" s="25" t="str">
        <x:v>Bilinirlik / İzlenme / Trafik</x:v>
      </x:c>
      <x:c r="D69" s="25" t="str">
        <x:v>Doktor Kampanyası</x:v>
      </x:c>
      <x:c r="E69" s="25" t="str">
        <x:v>Doruk Hastaneleri - SİNA ÖZEL Sağlık Hizmetleri A.ş</x:v>
      </x:c>
      <x:c r="F69" s="25" t="str">
        <x:v>Doktor - Bilinirlik Kampanyası - Nilüfer</x:v>
      </x:c>
      <x:c r="G69" s="25" t="str">
        <x:v>nilüfer - Elif Şahin</x:v>
      </x:c>
      <x:c r="H69" s="25" t="str">
        <x:v>ACTIVE</x:v>
      </x:c>
      <x:c r="I69" s="25" t="str">
        <x:v>REACH</x:v>
      </x:c>
      <x:c r="J69" s="27" t="n">
        <x:v>0</x:v>
      </x:c>
      <x:c r="K69" s="27" t="n">
        <x:v>0</x:v>
      </x:c>
      <x:c r="L69" s="27" t="n">
        <x:v>100</x:v>
      </x:c>
      <x:c r="M69" s="27" t="n">
        <x:v>0</x:v>
      </x:c>
      <x:c r="N69" s="27" t="n">
        <x:v>2255.38</x:v>
      </x:c>
      <x:c r="O69" s="27" t="n">
        <x:v>453.21</x:v>
      </x:c>
      <x:c r="P69" s="27" t="n">
        <x:v>2708.59</x:v>
      </x:c>
      <x:c r="Q69" s="29" t="n">
        <x:f>IFERROR(P69/SUMIFS($P$5:$P$167,$F$5:$F$167,F69,$E$5:$E$167,E69),0)</x:f>
        <x:v>0.018337968393935082</x:v>
      </x:c>
      <x:c r="R69" s="28" t="n">
        <x:v>0</x:v>
      </x:c>
      <x:c r="S69" s="28" t="n">
        <x:v>0</x:v>
      </x:c>
      <x:c r="T69" s="28" t="n">
        <x:v>0</x:v>
      </x:c>
      <x:c r="U69" s="28" t="n">
        <x:v>0</x:v>
      </x:c>
      <x:c r="V69" s="28" t="n">
        <x:v>16929</x:v>
      </x:c>
      <x:c r="W69" s="27" t="n">
        <x:f>IFERROR(P69/T69,0)</x:f>
        <x:v>0</x:v>
      </x:c>
      <x:c r="X69" s="25" t="str">
        <x:v>​120250370531110399</x:v>
      </x:c>
    </x:row>
    <x:row r="70">
      <x:c r="A70" s="25" t="str">
        <x:v>Yerli</x:v>
      </x:c>
      <x:c r="B70" s="25" t="str">
        <x:v>Türkçe</x:v>
      </x:c>
      <x:c r="C70" s="25" t="str">
        <x:v>Bilinirlik / İzlenme / Trafik</x:v>
      </x:c>
      <x:c r="D70" s="25" t="str">
        <x:v>Doktor Kampanyası</x:v>
      </x:c>
      <x:c r="E70" s="25" t="str">
        <x:v>Doruk Hastaneleri - SİNA ÖZEL Sağlık Hizmetleri A.ş</x:v>
      </x:c>
      <x:c r="F70" s="25" t="str">
        <x:v>Doktor - Bilinirlik Kampanyası - Nilüfer</x:v>
      </x:c>
      <x:c r="G70" s="25" t="str">
        <x:v>nilüfer - Emin Öztürk</x:v>
      </x:c>
      <x:c r="H70" s="25" t="str">
        <x:v>ACTIVE</x:v>
      </x:c>
      <x:c r="I70" s="25" t="str">
        <x:v>REACH</x:v>
      </x:c>
      <x:c r="J70" s="27" t="n">
        <x:v>0</x:v>
      </x:c>
      <x:c r="K70" s="27" t="n">
        <x:v>0</x:v>
      </x:c>
      <x:c r="L70" s="27" t="n">
        <x:v>100</x:v>
      </x:c>
      <x:c r="M70" s="27" t="n">
        <x:v>0</x:v>
      </x:c>
      <x:c r="N70" s="27" t="n">
        <x:v>2301.01</x:v>
      </x:c>
      <x:c r="O70" s="27" t="n">
        <x:v>464.8</x:v>
      </x:c>
      <x:c r="P70" s="27" t="n">
        <x:v>2765.8100000000004</x:v>
      </x:c>
      <x:c r="Q70" s="29" t="n">
        <x:f>IFERROR(P70/SUMIFS($P$5:$P$167,$F$5:$F$167,F70,$E$5:$E$167,E70),0)</x:f>
        <x:v>0.01872536499198092</x:v>
      </x:c>
      <x:c r="R70" s="28" t="n">
        <x:v>0</x:v>
      </x:c>
      <x:c r="S70" s="28" t="n">
        <x:v>0</x:v>
      </x:c>
      <x:c r="T70" s="28" t="n">
        <x:v>0</x:v>
      </x:c>
      <x:c r="U70" s="28" t="n">
        <x:v>0</x:v>
      </x:c>
      <x:c r="V70" s="28" t="n">
        <x:v>13003</x:v>
      </x:c>
      <x:c r="W70" s="27" t="n">
        <x:f>IFERROR(P70/T70,0)</x:f>
        <x:v>0</x:v>
      </x:c>
      <x:c r="X70" s="25" t="str">
        <x:v>​120252512600520399</x:v>
      </x:c>
    </x:row>
    <x:row r="71">
      <x:c r="A71" s="25" t="str">
        <x:v>Yerli</x:v>
      </x:c>
      <x:c r="B71" s="25" t="str">
        <x:v>Türkçe</x:v>
      </x:c>
      <x:c r="C71" s="25" t="str">
        <x:v>Bilinirlik / İzlenme / Trafik</x:v>
      </x:c>
      <x:c r="D71" s="25" t="str">
        <x:v>Doktor Kampanyası</x:v>
      </x:c>
      <x:c r="E71" s="25" t="str">
        <x:v>Doruk Hastaneleri - SİNA ÖZEL Sağlık Hizmetleri A.ş</x:v>
      </x:c>
      <x:c r="F71" s="25" t="str">
        <x:v>Doktor - Bilinirlik Kampanyası - Nilüfer</x:v>
      </x:c>
      <x:c r="G71" s="25" t="str">
        <x:v>nilüfer - Eren Kaya</x:v>
      </x:c>
      <x:c r="H71" s="25" t="str">
        <x:v>ACTIVE</x:v>
      </x:c>
      <x:c r="I71" s="25" t="str">
        <x:v>REACH</x:v>
      </x:c>
      <x:c r="J71" s="27" t="n">
        <x:v>0</x:v>
      </x:c>
      <x:c r="K71" s="27" t="n">
        <x:v>0</x:v>
      </x:c>
      <x:c r="L71" s="27" t="n">
        <x:v>100</x:v>
      </x:c>
      <x:c r="M71" s="27" t="n">
        <x:v>0</x:v>
      </x:c>
      <x:c r="N71" s="27" t="n">
        <x:v>2380.97</x:v>
      </x:c>
      <x:c r="O71" s="27" t="n">
        <x:v>471.1</x:v>
      </x:c>
      <x:c r="P71" s="27" t="n">
        <x:v>2852.0699999999997</x:v>
      </x:c>
      <x:c r="Q71" s="29" t="n">
        <x:f>IFERROR(P71/SUMIFS($P$5:$P$167,$F$5:$F$167,F71,$E$5:$E$167,E71),0)</x:f>
        <x:v>0.019309371118290484</x:v>
      </x:c>
      <x:c r="R71" s="28" t="n">
        <x:v>0</x:v>
      </x:c>
      <x:c r="S71" s="28" t="n">
        <x:v>0</x:v>
      </x:c>
      <x:c r="T71" s="28" t="n">
        <x:v>0</x:v>
      </x:c>
      <x:c r="U71" s="28" t="n">
        <x:v>0</x:v>
      </x:c>
      <x:c r="V71" s="28" t="n">
        <x:v>11596</x:v>
      </x:c>
      <x:c r="W71" s="27" t="n">
        <x:f>IFERROR(P71/T71,0)</x:f>
        <x:v>0</x:v>
      </x:c>
      <x:c r="X71" s="25" t="str">
        <x:v>​120250370606890399</x:v>
      </x:c>
    </x:row>
    <x:row r="72">
      <x:c r="A72" s="25" t="str">
        <x:v>Yerli</x:v>
      </x:c>
      <x:c r="B72" s="25" t="str">
        <x:v>Türkçe</x:v>
      </x:c>
      <x:c r="C72" s="25" t="str">
        <x:v>Bilinirlik / İzlenme / Trafik</x:v>
      </x:c>
      <x:c r="D72" s="25" t="str">
        <x:v>Doktor Kampanyası</x:v>
      </x:c>
      <x:c r="E72" s="25" t="str">
        <x:v>Doruk Hastaneleri - SİNA ÖZEL Sağlık Hizmetleri A.ş</x:v>
      </x:c>
      <x:c r="F72" s="25" t="str">
        <x:v>Doktor - Bilinirlik Kampanyası - Nilüfer</x:v>
      </x:c>
      <x:c r="G72" s="25" t="str">
        <x:v>nilüfer - Erkan Avcı</x:v>
      </x:c>
      <x:c r="H72" s="25" t="str">
        <x:v>ACTIVE</x:v>
      </x:c>
      <x:c r="I72" s="25" t="str">
        <x:v>REACH</x:v>
      </x:c>
      <x:c r="J72" s="27" t="n">
        <x:v>0</x:v>
      </x:c>
      <x:c r="K72" s="27" t="n">
        <x:v>0</x:v>
      </x:c>
      <x:c r="L72" s="27" t="n">
        <x:v>100</x:v>
      </x:c>
      <x:c r="M72" s="27" t="n">
        <x:v>0</x:v>
      </x:c>
      <x:c r="N72" s="27" t="n">
        <x:v>2342.66</x:v>
      </x:c>
      <x:c r="O72" s="27" t="n">
        <x:v>475.44</x:v>
      </x:c>
      <x:c r="P72" s="27" t="n">
        <x:v>2818.1</x:v>
      </x:c>
      <x:c r="Q72" s="29" t="n">
        <x:f>IFERROR(P72/SUMIFS($P$5:$P$167,$F$5:$F$167,F72,$E$5:$E$167,E72),0)</x:f>
        <x:v>0.019079384008265723</x:v>
      </x:c>
      <x:c r="R72" s="28" t="n">
        <x:v>0</x:v>
      </x:c>
      <x:c r="S72" s="28" t="n">
        <x:v>0</x:v>
      </x:c>
      <x:c r="T72" s="28" t="n">
        <x:v>0</x:v>
      </x:c>
      <x:c r="U72" s="28" t="n">
        <x:v>0</x:v>
      </x:c>
      <x:c r="V72" s="28" t="n">
        <x:v>12165</x:v>
      </x:c>
      <x:c r="W72" s="27" t="n">
        <x:f>IFERROR(P72/T72,0)</x:f>
        <x:v>0</x:v>
      </x:c>
      <x:c r="X72" s="25" t="str">
        <x:v>​120252512526450399</x:v>
      </x:c>
    </x:row>
    <x:row r="73">
      <x:c r="A73" s="25" t="str">
        <x:v>Yerli</x:v>
      </x:c>
      <x:c r="B73" s="25" t="str">
        <x:v>Türkçe</x:v>
      </x:c>
      <x:c r="C73" s="25" t="str">
        <x:v>Bilinirlik / İzlenme / Trafik</x:v>
      </x:c>
      <x:c r="D73" s="25" t="str">
        <x:v>Doktor Kampanyası</x:v>
      </x:c>
      <x:c r="E73" s="25" t="str">
        <x:v>Doruk Hastaneleri - SİNA ÖZEL Sağlık Hizmetleri A.ş</x:v>
      </x:c>
      <x:c r="F73" s="25" t="str">
        <x:v>Doktor - Bilinirlik Kampanyası - Nilüfer</x:v>
      </x:c>
      <x:c r="G73" s="25" t="str">
        <x:v>nilüfer - Ersun Topal</x:v>
      </x:c>
      <x:c r="H73" s="25" t="str">
        <x:v>ACTIVE</x:v>
      </x:c>
      <x:c r="I73" s="25" t="str">
        <x:v>REACH</x:v>
      </x:c>
      <x:c r="J73" s="27" t="n">
        <x:v>0</x:v>
      </x:c>
      <x:c r="K73" s="27" t="n">
        <x:v>0</x:v>
      </x:c>
      <x:c r="L73" s="27" t="n">
        <x:v>100</x:v>
      </x:c>
      <x:c r="M73" s="27" t="n">
        <x:v>0</x:v>
      </x:c>
      <x:c r="N73" s="27" t="n">
        <x:v>2350.8</x:v>
      </x:c>
      <x:c r="O73" s="27" t="n">
        <x:v>458.85</x:v>
      </x:c>
      <x:c r="P73" s="27" t="n">
        <x:v>2809.65</x:v>
      </x:c>
      <x:c r="Q73" s="29" t="n">
        <x:f>IFERROR(P73/SUMIFS($P$5:$P$167,$F$5:$F$167,F73,$E$5:$E$167,E73),0)</x:f>
        <x:v>0.019022174968533333</x:v>
      </x:c>
      <x:c r="R73" s="28" t="n">
        <x:v>0</x:v>
      </x:c>
      <x:c r="S73" s="28" t="n">
        <x:v>0</x:v>
      </x:c>
      <x:c r="T73" s="28" t="n">
        <x:v>0</x:v>
      </x:c>
      <x:c r="U73" s="28" t="n">
        <x:v>0</x:v>
      </x:c>
      <x:c r="V73" s="28" t="n">
        <x:v>8730</x:v>
      </x:c>
      <x:c r="W73" s="27" t="n">
        <x:f>IFERROR(P73/T73,0)</x:f>
        <x:v>0</x:v>
      </x:c>
      <x:c r="X73" s="25" t="str">
        <x:v>​120250015917140399</x:v>
      </x:c>
    </x:row>
    <x:row r="74">
      <x:c r="A74" s="25" t="str">
        <x:v>Yerli</x:v>
      </x:c>
      <x:c r="B74" s="25" t="str">
        <x:v>Türkçe</x:v>
      </x:c>
      <x:c r="C74" s="25" t="str">
        <x:v>Bilinirlik / İzlenme / Trafik</x:v>
      </x:c>
      <x:c r="D74" s="25" t="str">
        <x:v>Doktor Kampanyası</x:v>
      </x:c>
      <x:c r="E74" s="25" t="str">
        <x:v>Doruk Hastaneleri - SİNA ÖZEL Sağlık Hizmetleri A.ş</x:v>
      </x:c>
      <x:c r="F74" s="25" t="str">
        <x:v>Doktor - Bilinirlik Kampanyası - Nilüfer</x:v>
      </x:c>
      <x:c r="G74" s="25" t="str">
        <x:v>nilüfer - Fatih Aydemir</x:v>
      </x:c>
      <x:c r="H74" s="25" t="str">
        <x:v>ACTIVE</x:v>
      </x:c>
      <x:c r="I74" s="25" t="str">
        <x:v>REACH</x:v>
      </x:c>
      <x:c r="J74" s="27" t="n">
        <x:v>0</x:v>
      </x:c>
      <x:c r="K74" s="27" t="n">
        <x:v>0</x:v>
      </x:c>
      <x:c r="L74" s="27" t="n">
        <x:v>100</x:v>
      </x:c>
      <x:c r="M74" s="27" t="n">
        <x:v>0</x:v>
      </x:c>
      <x:c r="N74" s="27" t="n">
        <x:v>2365.88</x:v>
      </x:c>
      <x:c r="O74" s="27" t="n">
        <x:v>469</x:v>
      </x:c>
      <x:c r="P74" s="27" t="n">
        <x:v>2834.88</x:v>
      </x:c>
      <x:c r="Q74" s="29" t="n">
        <x:f>IFERROR(P74/SUMIFS($P$5:$P$167,$F$5:$F$167,F74,$E$5:$E$167,E74),0)</x:f>
        <x:v>0.019192989651663293</x:v>
      </x:c>
      <x:c r="R74" s="28" t="n">
        <x:v>0</x:v>
      </x:c>
      <x:c r="S74" s="28" t="n">
        <x:v>0</x:v>
      </x:c>
      <x:c r="T74" s="28" t="n">
        <x:v>0</x:v>
      </x:c>
      <x:c r="U74" s="28" t="n">
        <x:v>0</x:v>
      </x:c>
      <x:c r="V74" s="28" t="n">
        <x:v>8522</x:v>
      </x:c>
      <x:c r="W74" s="27" t="n">
        <x:f>IFERROR(P74/T74,0)</x:f>
        <x:v>0</x:v>
      </x:c>
      <x:c r="X74" s="25" t="str">
        <x:v>​120249677032050399</x:v>
      </x:c>
    </x:row>
    <x:row r="75">
      <x:c r="A75" s="25" t="str">
        <x:v>Yerli</x:v>
      </x:c>
      <x:c r="B75" s="25" t="str">
        <x:v>Türkçe</x:v>
      </x:c>
      <x:c r="C75" s="25" t="str">
        <x:v>Bilinirlik / İzlenme / Trafik</x:v>
      </x:c>
      <x:c r="D75" s="25" t="str">
        <x:v>Doktor Kampanyası</x:v>
      </x:c>
      <x:c r="E75" s="25" t="str">
        <x:v>Doruk Hastaneleri - SİNA ÖZEL Sağlık Hizmetleri A.ş</x:v>
      </x:c>
      <x:c r="F75" s="25" t="str">
        <x:v>Doktor - Bilinirlik Kampanyası - Nilüfer</x:v>
      </x:c>
      <x:c r="G75" s="25" t="str">
        <x:v>nilüfer - Fatih Gök</x:v>
      </x:c>
      <x:c r="H75" s="25" t="str">
        <x:v>ACTIVE</x:v>
      </x:c>
      <x:c r="I75" s="25" t="str">
        <x:v>REACH</x:v>
      </x:c>
      <x:c r="J75" s="27" t="n">
        <x:v>0</x:v>
      </x:c>
      <x:c r="K75" s="27" t="n">
        <x:v>0</x:v>
      </x:c>
      <x:c r="L75" s="27" t="n">
        <x:v>100</x:v>
      </x:c>
      <x:c r="M75" s="27" t="n">
        <x:v>0</x:v>
      </x:c>
      <x:c r="N75" s="27" t="n">
        <x:v>2343.68</x:v>
      </x:c>
      <x:c r="O75" s="27" t="n">
        <x:v>463.62</x:v>
      </x:c>
      <x:c r="P75" s="27" t="n">
        <x:v>2807.2999999999997</x:v>
      </x:c>
      <x:c r="Q75" s="29" t="n">
        <x:f>IFERROR(P75/SUMIFS($P$5:$P$167,$F$5:$F$167,F75,$E$5:$E$167,E75),0)</x:f>
        <x:v>0.019006264762217222</x:v>
      </x:c>
      <x:c r="R75" s="28" t="n">
        <x:v>0</x:v>
      </x:c>
      <x:c r="S75" s="28" t="n">
        <x:v>0</x:v>
      </x:c>
      <x:c r="T75" s="28" t="n">
        <x:v>0</x:v>
      </x:c>
      <x:c r="U75" s="28" t="n">
        <x:v>0</x:v>
      </x:c>
      <x:c r="V75" s="28" t="n">
        <x:v>12530</x:v>
      </x:c>
      <x:c r="W75" s="27" t="n">
        <x:f>IFERROR(P75/T75,0)</x:f>
        <x:v>0</x:v>
      </x:c>
      <x:c r="X75" s="25" t="str">
        <x:v>​120249678889860399</x:v>
      </x:c>
    </x:row>
    <x:row r="76">
      <x:c r="A76" s="25" t="str">
        <x:v>Yerli</x:v>
      </x:c>
      <x:c r="B76" s="25" t="str">
        <x:v>Türkçe</x:v>
      </x:c>
      <x:c r="C76" s="25" t="str">
        <x:v>Bilinirlik / İzlenme / Trafik</x:v>
      </x:c>
      <x:c r="D76" s="25" t="str">
        <x:v>Doktor Kampanyası</x:v>
      </x:c>
      <x:c r="E76" s="25" t="str">
        <x:v>Doruk Hastaneleri - SİNA ÖZEL Sağlık Hizmetleri A.ş</x:v>
      </x:c>
      <x:c r="F76" s="25" t="str">
        <x:v>Doktor - Bilinirlik Kampanyası - Nilüfer</x:v>
      </x:c>
      <x:c r="G76" s="25" t="str">
        <x:v>nilüfer - Fatma Güray</x:v>
      </x:c>
      <x:c r="H76" s="25" t="str">
        <x:v>ACTIVE</x:v>
      </x:c>
      <x:c r="I76" s="25" t="str">
        <x:v>REACH</x:v>
      </x:c>
      <x:c r="J76" s="27" t="n">
        <x:v>0</x:v>
      </x:c>
      <x:c r="K76" s="27" t="n">
        <x:v>0</x:v>
      </x:c>
      <x:c r="L76" s="27" t="n">
        <x:v>100</x:v>
      </x:c>
      <x:c r="M76" s="27" t="n">
        <x:v>0</x:v>
      </x:c>
      <x:c r="N76" s="27" t="n">
        <x:v>2363.91</x:v>
      </x:c>
      <x:c r="O76" s="27" t="n">
        <x:v>458.95</x:v>
      </x:c>
      <x:c r="P76" s="27" t="n">
        <x:v>2822.8599999999997</x:v>
      </x:c>
      <x:c r="Q76" s="29" t="n">
        <x:f>IFERROR(P76/SUMIFS($P$5:$P$167,$F$5:$F$167,F76,$E$5:$E$167,E76),0)</x:f>
        <x:v>0.019111610638931537</x:v>
      </x:c>
      <x:c r="R76" s="28" t="n">
        <x:v>0</x:v>
      </x:c>
      <x:c r="S76" s="28" t="n">
        <x:v>0</x:v>
      </x:c>
      <x:c r="T76" s="28" t="n">
        <x:v>0</x:v>
      </x:c>
      <x:c r="U76" s="28" t="n">
        <x:v>0</x:v>
      </x:c>
      <x:c r="V76" s="28" t="n">
        <x:v>15896</x:v>
      </x:c>
      <x:c r="W76" s="27" t="n">
        <x:f>IFERROR(P76/T76,0)</x:f>
        <x:v>0</x:v>
      </x:c>
      <x:c r="X76" s="25" t="str">
        <x:v>​120250370636130399</x:v>
      </x:c>
    </x:row>
    <x:row r="77">
      <x:c r="A77" s="25" t="str">
        <x:v>Yerli</x:v>
      </x:c>
      <x:c r="B77" s="25" t="str">
        <x:v>Türkçe</x:v>
      </x:c>
      <x:c r="C77" s="25" t="str">
        <x:v>Bilinirlik / İzlenme / Trafik</x:v>
      </x:c>
      <x:c r="D77" s="25" t="str">
        <x:v>Doktor Kampanyası</x:v>
      </x:c>
      <x:c r="E77" s="25" t="str">
        <x:v>Doruk Hastaneleri - SİNA ÖZEL Sağlık Hizmetleri A.ş</x:v>
      </x:c>
      <x:c r="F77" s="25" t="str">
        <x:v>Doktor - Bilinirlik Kampanyası - Nilüfer</x:v>
      </x:c>
      <x:c r="G77" s="25" t="str">
        <x:v>nilüfer - Feray Alkan</x:v>
      </x:c>
      <x:c r="H77" s="25" t="str">
        <x:v>ACTIVE</x:v>
      </x:c>
      <x:c r="I77" s="25" t="str">
        <x:v>REACH</x:v>
      </x:c>
      <x:c r="J77" s="27" t="n">
        <x:v>0</x:v>
      </x:c>
      <x:c r="K77" s="27" t="n">
        <x:v>0</x:v>
      </x:c>
      <x:c r="L77" s="27" t="n">
        <x:v>100</x:v>
      </x:c>
      <x:c r="M77" s="27" t="n">
        <x:v>0</x:v>
      </x:c>
      <x:c r="N77" s="27" t="n">
        <x:v>2338.82</x:v>
      </x:c>
      <x:c r="O77" s="27" t="n">
        <x:v>461.55</x:v>
      </x:c>
      <x:c r="P77" s="27" t="n">
        <x:v>2800.3700000000003</x:v>
      </x:c>
      <x:c r="Q77" s="29" t="n">
        <x:f>IFERROR(P77/SUMIFS($P$5:$P$167,$F$5:$F$167,F77,$E$5:$E$167,E77),0)</x:f>
        <x:v>0.01895934657933611</x:v>
      </x:c>
      <x:c r="R77" s="28" t="n">
        <x:v>0</x:v>
      </x:c>
      <x:c r="S77" s="28" t="n">
        <x:v>0</x:v>
      </x:c>
      <x:c r="T77" s="28" t="n">
        <x:v>0</x:v>
      </x:c>
      <x:c r="U77" s="28" t="n">
        <x:v>0</x:v>
      </x:c>
      <x:c r="V77" s="28" t="n">
        <x:v>13867</x:v>
      </x:c>
      <x:c r="W77" s="27" t="n">
        <x:f>IFERROR(P77/T77,0)</x:f>
        <x:v>0</x:v>
      </x:c>
      <x:c r="X77" s="25" t="str">
        <x:v>​120250139840910399</x:v>
      </x:c>
    </x:row>
    <x:row r="78">
      <x:c r="A78" s="25" t="str">
        <x:v>Yerli</x:v>
      </x:c>
      <x:c r="B78" s="25" t="str">
        <x:v>Türkçe</x:v>
      </x:c>
      <x:c r="C78" s="25" t="str">
        <x:v>Bilinirlik / İzlenme / Trafik</x:v>
      </x:c>
      <x:c r="D78" s="25" t="str">
        <x:v>Doktor Kampanyası</x:v>
      </x:c>
      <x:c r="E78" s="25" t="str">
        <x:v>Doruk Hastaneleri - SİNA ÖZEL Sağlık Hizmetleri A.ş</x:v>
      </x:c>
      <x:c r="F78" s="25" t="str">
        <x:v>Doktor - Bilinirlik Kampanyası - Nilüfer</x:v>
      </x:c>
      <x:c r="G78" s="25" t="str">
        <x:v>nilüfer - Feyza Bayram</x:v>
      </x:c>
      <x:c r="H78" s="25" t="str">
        <x:v>ACTIVE</x:v>
      </x:c>
      <x:c r="I78" s="25" t="str">
        <x:v>REACH</x:v>
      </x:c>
      <x:c r="J78" s="27" t="n">
        <x:v>0</x:v>
      </x:c>
      <x:c r="K78" s="27" t="n">
        <x:v>0</x:v>
      </x:c>
      <x:c r="L78" s="27" t="n">
        <x:v>100</x:v>
      </x:c>
      <x:c r="M78" s="27" t="n">
        <x:v>0</x:v>
      </x:c>
      <x:c r="N78" s="27" t="n">
        <x:v>2287.84</x:v>
      </x:c>
      <x:c r="O78" s="27" t="n">
        <x:v>468.49</x:v>
      </x:c>
      <x:c r="P78" s="27" t="n">
        <x:v>2756.33</x:v>
      </x:c>
      <x:c r="Q78" s="29" t="n">
        <x:f>IFERROR(P78/SUMIFS($P$5:$P$167,$F$5:$F$167,F78,$E$5:$E$167,E78),0)</x:f>
        <x:v>0.018661182542671677</x:v>
      </x:c>
      <x:c r="R78" s="28" t="n">
        <x:v>0</x:v>
      </x:c>
      <x:c r="S78" s="28" t="n">
        <x:v>0</x:v>
      </x:c>
      <x:c r="T78" s="28" t="n">
        <x:v>0</x:v>
      </x:c>
      <x:c r="U78" s="28" t="n">
        <x:v>0</x:v>
      </x:c>
      <x:c r="V78" s="28" t="n">
        <x:v>14963</x:v>
      </x:c>
      <x:c r="W78" s="27" t="n">
        <x:f>IFERROR(P78/T78,0)</x:f>
        <x:v>0</x:v>
      </x:c>
      <x:c r="X78" s="25" t="str">
        <x:v>​120250370672630399</x:v>
      </x:c>
    </x:row>
    <x:row r="79">
      <x:c r="A79" s="25" t="str">
        <x:v>Yerli</x:v>
      </x:c>
      <x:c r="B79" s="25" t="str">
        <x:v>Türkçe</x:v>
      </x:c>
      <x:c r="C79" s="25" t="str">
        <x:v>Bilinirlik / İzlenme / Trafik</x:v>
      </x:c>
      <x:c r="D79" s="25" t="str">
        <x:v>Doktor Kampanyası</x:v>
      </x:c>
      <x:c r="E79" s="25" t="str">
        <x:v>Doruk Hastaneleri - SİNA ÖZEL Sağlık Hizmetleri A.ş</x:v>
      </x:c>
      <x:c r="F79" s="25" t="str">
        <x:v>Doktor - Bilinirlik Kampanyası - Nilüfer</x:v>
      </x:c>
      <x:c r="G79" s="25" t="str">
        <x:v>nilüfer - Filiz Gözeten Yetiker</x:v>
      </x:c>
      <x:c r="H79" s="25" t="str">
        <x:v>ACTIVE</x:v>
      </x:c>
      <x:c r="I79" s="25" t="str">
        <x:v>REACH</x:v>
      </x:c>
      <x:c r="J79" s="27" t="n">
        <x:v>0</x:v>
      </x:c>
      <x:c r="K79" s="27" t="n">
        <x:v>0</x:v>
      </x:c>
      <x:c r="L79" s="27" t="n">
        <x:v>100</x:v>
      </x:c>
      <x:c r="M79" s="27" t="n">
        <x:v>0</x:v>
      </x:c>
      <x:c r="N79" s="27" t="n">
        <x:v>2292.44</x:v>
      </x:c>
      <x:c r="O79" s="27" t="n">
        <x:v>463.16</x:v>
      </x:c>
      <x:c r="P79" s="27" t="n">
        <x:v>2755.6</x:v>
      </x:c>
      <x:c r="Q79" s="29" t="n">
        <x:f>IFERROR(P79/SUMIFS($P$5:$P$167,$F$5:$F$167,F79,$E$5:$E$167,E79),0)</x:f>
        <x:v>0.018656240223262843</x:v>
      </x:c>
      <x:c r="R79" s="28" t="n">
        <x:v>0</x:v>
      </x:c>
      <x:c r="S79" s="28" t="n">
        <x:v>0</x:v>
      </x:c>
      <x:c r="T79" s="28" t="n">
        <x:v>0</x:v>
      </x:c>
      <x:c r="U79" s="28" t="n">
        <x:v>0</x:v>
      </x:c>
      <x:c r="V79" s="28" t="n">
        <x:v>11304</x:v>
      </x:c>
      <x:c r="W79" s="27" t="n">
        <x:f>IFERROR(P79/T79,0)</x:f>
        <x:v>0</x:v>
      </x:c>
      <x:c r="X79" s="25" t="str">
        <x:v>​120252512881130399</x:v>
      </x:c>
    </x:row>
    <x:row r="80">
      <x:c r="A80" s="25" t="str">
        <x:v>Yerli</x:v>
      </x:c>
      <x:c r="B80" s="25" t="str">
        <x:v>Türkçe</x:v>
      </x:c>
      <x:c r="C80" s="25" t="str">
        <x:v>Bilinirlik / İzlenme / Trafik</x:v>
      </x:c>
      <x:c r="D80" s="25" t="str">
        <x:v>Doktor Kampanyası</x:v>
      </x:c>
      <x:c r="E80" s="25" t="str">
        <x:v>Doruk Hastaneleri - SİNA ÖZEL Sağlık Hizmetleri A.ş</x:v>
      </x:c>
      <x:c r="F80" s="25" t="str">
        <x:v>Doktor - Bilinirlik Kampanyası - Nilüfer</x:v>
      </x:c>
      <x:c r="G80" s="25" t="str">
        <x:v>nilüfer - Hanife Zerrin Yazıcı</x:v>
      </x:c>
      <x:c r="H80" s="25" t="str">
        <x:v>ACTIVE</x:v>
      </x:c>
      <x:c r="I80" s="25" t="str">
        <x:v>REACH</x:v>
      </x:c>
      <x:c r="J80" s="27" t="n">
        <x:v>0</x:v>
      </x:c>
      <x:c r="K80" s="27" t="n">
        <x:v>0</x:v>
      </x:c>
      <x:c r="L80" s="27" t="n">
        <x:v>100</x:v>
      </x:c>
      <x:c r="M80" s="27" t="n">
        <x:v>0</x:v>
      </x:c>
      <x:c r="N80" s="27" t="n">
        <x:v>2314.65</x:v>
      </x:c>
      <x:c r="O80" s="27" t="n">
        <x:v>461.44</x:v>
      </x:c>
      <x:c r="P80" s="27" t="n">
        <x:v>2776.09</x:v>
      </x:c>
      <x:c r="Q80" s="29" t="n">
        <x:f>IFERROR(P80/SUMIFS($P$5:$P$167,$F$5:$F$167,F80,$E$5:$E$167,E80),0)</x:f>
        <x:v>0.018794963681738188</x:v>
      </x:c>
      <x:c r="R80" s="28" t="n">
        <x:v>0</x:v>
      </x:c>
      <x:c r="S80" s="28" t="n">
        <x:v>0</x:v>
      </x:c>
      <x:c r="T80" s="28" t="n">
        <x:v>0</x:v>
      </x:c>
      <x:c r="U80" s="28" t="n">
        <x:v>0</x:v>
      </x:c>
      <x:c r="V80" s="28" t="n">
        <x:v>12384</x:v>
      </x:c>
      <x:c r="W80" s="27" t="n">
        <x:f>IFERROR(P80/T80,0)</x:f>
        <x:v>0</x:v>
      </x:c>
      <x:c r="X80" s="25" t="str">
        <x:v>​120250012439320399</x:v>
      </x:c>
    </x:row>
    <x:row r="81">
      <x:c r="A81" s="25" t="str">
        <x:v>Yerli</x:v>
      </x:c>
      <x:c r="B81" s="25" t="str">
        <x:v>Türkçe</x:v>
      </x:c>
      <x:c r="C81" s="25" t="str">
        <x:v>Bilinirlik / İzlenme / Trafik</x:v>
      </x:c>
      <x:c r="D81" s="25" t="str">
        <x:v>Doktor Kampanyası</x:v>
      </x:c>
      <x:c r="E81" s="25" t="str">
        <x:v>Doruk Hastaneleri - SİNA ÖZEL Sağlık Hizmetleri A.ş</x:v>
      </x:c>
      <x:c r="F81" s="25" t="str">
        <x:v>Doktor - Bilinirlik Kampanyası - Nilüfer</x:v>
      </x:c>
      <x:c r="G81" s="25" t="str">
        <x:v>nilüfer - Hasan Vatansever</x:v>
      </x:c>
      <x:c r="H81" s="25" t="str">
        <x:v>ACTIVE</x:v>
      </x:c>
      <x:c r="I81" s="25" t="str">
        <x:v>REACH</x:v>
      </x:c>
      <x:c r="J81" s="27" t="n">
        <x:v>0</x:v>
      </x:c>
      <x:c r="K81" s="27" t="n">
        <x:v>0</x:v>
      </x:c>
      <x:c r="L81" s="27" t="n">
        <x:v>100</x:v>
      </x:c>
      <x:c r="M81" s="27" t="n">
        <x:v>0</x:v>
      </x:c>
      <x:c r="N81" s="27" t="n">
        <x:v>2354.36</x:v>
      </x:c>
      <x:c r="O81" s="27" t="n">
        <x:v>459.37</x:v>
      </x:c>
      <x:c r="P81" s="27" t="n">
        <x:v>2813.73</x:v>
      </x:c>
      <x:c r="Q81" s="29" t="n">
        <x:f>IFERROR(P81/SUMIFS($P$5:$P$167,$F$5:$F$167,F81,$E$5:$E$167,E81),0)</x:f>
        <x:v>0.01904979779481832</x:v>
      </x:c>
      <x:c r="R81" s="28" t="n">
        <x:v>0</x:v>
      </x:c>
      <x:c r="S81" s="28" t="n">
        <x:v>0</x:v>
      </x:c>
      <x:c r="T81" s="28" t="n">
        <x:v>0</x:v>
      </x:c>
      <x:c r="U81" s="28" t="n">
        <x:v>0</x:v>
      </x:c>
      <x:c r="V81" s="28" t="n">
        <x:v>14019</x:v>
      </x:c>
      <x:c r="W81" s="27" t="n">
        <x:f>IFERROR(P81/T81,0)</x:f>
        <x:v>0</x:v>
      </x:c>
      <x:c r="X81" s="25" t="str">
        <x:v>​120250139863230399</x:v>
      </x:c>
    </x:row>
    <x:row r="82">
      <x:c r="A82" s="25" t="str">
        <x:v>Yerli</x:v>
      </x:c>
      <x:c r="B82" s="25" t="str">
        <x:v>Türkçe</x:v>
      </x:c>
      <x:c r="C82" s="25" t="str">
        <x:v>Bilinirlik / İzlenme / Trafik</x:v>
      </x:c>
      <x:c r="D82" s="25" t="str">
        <x:v>Doktor Kampanyası</x:v>
      </x:c>
      <x:c r="E82" s="25" t="str">
        <x:v>Doruk Hastaneleri - SİNA ÖZEL Sağlık Hizmetleri A.ş</x:v>
      </x:c>
      <x:c r="F82" s="25" t="str">
        <x:v>Doktor - Bilinirlik Kampanyası - Nilüfer</x:v>
      </x:c>
      <x:c r="G82" s="25" t="str">
        <x:v>nilüfer - İrfan Atasoy</x:v>
      </x:c>
      <x:c r="H82" s="25" t="str">
        <x:v>ACTIVE</x:v>
      </x:c>
      <x:c r="I82" s="25" t="str">
        <x:v>REACH</x:v>
      </x:c>
      <x:c r="J82" s="27" t="n">
        <x:v>0</x:v>
      </x:c>
      <x:c r="K82" s="27" t="n">
        <x:v>0</x:v>
      </x:c>
      <x:c r="L82" s="27" t="n">
        <x:v>100</x:v>
      </x:c>
      <x:c r="M82" s="27" t="n">
        <x:v>0</x:v>
      </x:c>
      <x:c r="N82" s="27" t="n">
        <x:v>2356.41</x:v>
      </x:c>
      <x:c r="O82" s="27" t="n">
        <x:v>476</x:v>
      </x:c>
      <x:c r="P82" s="27" t="n">
        <x:v>2832.41</x:v>
      </x:c>
      <x:c r="Q82" s="29" t="n">
        <x:f>IFERROR(P82/SUMIFS($P$5:$P$167,$F$5:$F$167,F82,$E$5:$E$167,E82),0)</x:f>
        <x:v>0.01917626700927998</x:v>
      </x:c>
      <x:c r="R82" s="28" t="n">
        <x:v>0</x:v>
      </x:c>
      <x:c r="S82" s="28" t="n">
        <x:v>0</x:v>
      </x:c>
      <x:c r="T82" s="28" t="n">
        <x:v>0</x:v>
      </x:c>
      <x:c r="U82" s="28" t="n">
        <x:v>0</x:v>
      </x:c>
      <x:c r="V82" s="28" t="n">
        <x:v>14627</x:v>
      </x:c>
      <x:c r="W82" s="27" t="n">
        <x:f>IFERROR(P82/T82,0)</x:f>
        <x:v>0</x:v>
      </x:c>
      <x:c r="X82" s="25" t="str">
        <x:v>​120250028838690399</x:v>
      </x:c>
    </x:row>
    <x:row r="83">
      <x:c r="A83" s="25" t="str">
        <x:v>Yerli</x:v>
      </x:c>
      <x:c r="B83" s="25" t="str">
        <x:v>Türkçe</x:v>
      </x:c>
      <x:c r="C83" s="25" t="str">
        <x:v>Bilinirlik / İzlenme / Trafik</x:v>
      </x:c>
      <x:c r="D83" s="25" t="str">
        <x:v>Doktor Kampanyası</x:v>
      </x:c>
      <x:c r="E83" s="25" t="str">
        <x:v>Doruk Hastaneleri - SİNA ÖZEL Sağlık Hizmetleri A.ş</x:v>
      </x:c>
      <x:c r="F83" s="25" t="str">
        <x:v>Doktor - Bilinirlik Kampanyası - Nilüfer</x:v>
      </x:c>
      <x:c r="G83" s="25" t="str">
        <x:v>nilüfer - Kamil Dilek</x:v>
      </x:c>
      <x:c r="H83" s="25" t="str">
        <x:v>ACTIVE</x:v>
      </x:c>
      <x:c r="I83" s="25" t="str">
        <x:v>REACH</x:v>
      </x:c>
      <x:c r="J83" s="27" t="n">
        <x:v>0</x:v>
      </x:c>
      <x:c r="K83" s="27" t="n">
        <x:v>0</x:v>
      </x:c>
      <x:c r="L83" s="27" t="n">
        <x:v>100</x:v>
      </x:c>
      <x:c r="M83" s="27" t="n">
        <x:v>0</x:v>
      </x:c>
      <x:c r="N83" s="27" t="n">
        <x:v>2295.65</x:v>
      </x:c>
      <x:c r="O83" s="27" t="n">
        <x:v>463.7</x:v>
      </x:c>
      <x:c r="P83" s="27" t="n">
        <x:v>2759.35</x:v>
      </x:c>
      <x:c r="Q83" s="29" t="n">
        <x:f>IFERROR(P83/SUMIFS($P$5:$P$167,$F$5:$F$167,F83,$E$5:$E$167,E83),0)</x:f>
        <x:v>0.01868162885036302</x:v>
      </x:c>
      <x:c r="R83" s="28" t="n">
        <x:v>0</x:v>
      </x:c>
      <x:c r="S83" s="28" t="n">
        <x:v>0</x:v>
      </x:c>
      <x:c r="T83" s="28" t="n">
        <x:v>0</x:v>
      </x:c>
      <x:c r="U83" s="28" t="n">
        <x:v>0</x:v>
      </x:c>
      <x:c r="V83" s="28" t="n">
        <x:v>16816</x:v>
      </x:c>
      <x:c r="W83" s="27" t="n">
        <x:f>IFERROR(P83/T83,0)</x:f>
        <x:v>0</x:v>
      </x:c>
      <x:c r="X83" s="25" t="str">
        <x:v>​120250369890950399</x:v>
      </x:c>
    </x:row>
    <x:row r="84">
      <x:c r="A84" s="25" t="str">
        <x:v>Yerli</x:v>
      </x:c>
      <x:c r="B84" s="25" t="str">
        <x:v>Türkçe</x:v>
      </x:c>
      <x:c r="C84" s="25" t="str">
        <x:v>Bilinirlik / İzlenme / Trafik</x:v>
      </x:c>
      <x:c r="D84" s="25" t="str">
        <x:v>Doktor Kampanyası</x:v>
      </x:c>
      <x:c r="E84" s="25" t="str">
        <x:v>Doruk Hastaneleri - SİNA ÖZEL Sağlık Hizmetleri A.ş</x:v>
      </x:c>
      <x:c r="F84" s="25" t="str">
        <x:v>Doktor - Bilinirlik Kampanyası - Nilüfer</x:v>
      </x:c>
      <x:c r="G84" s="25" t="str">
        <x:v>nilüfer - Kemal Köroğlu</x:v>
      </x:c>
      <x:c r="H84" s="25" t="str">
        <x:v>ACTIVE</x:v>
      </x:c>
      <x:c r="I84" s="25" t="str">
        <x:v>REACH</x:v>
      </x:c>
      <x:c r="J84" s="27" t="n">
        <x:v>0</x:v>
      </x:c>
      <x:c r="K84" s="27" t="n">
        <x:v>0</x:v>
      </x:c>
      <x:c r="L84" s="27" t="n">
        <x:v>100</x:v>
      </x:c>
      <x:c r="M84" s="27" t="n">
        <x:v>0</x:v>
      </x:c>
      <x:c r="N84" s="27" t="n">
        <x:v>2325.69</x:v>
      </x:c>
      <x:c r="O84" s="27" t="n">
        <x:v>472.84</x:v>
      </x:c>
      <x:c r="P84" s="27" t="n">
        <x:v>2798.53</x:v>
      </x:c>
      <x:c r="Q84" s="29" t="n">
        <x:f>IFERROR(P84/SUMIFS($P$5:$P$167,$F$5:$F$167,F84,$E$5:$E$167,E84),0)</x:f>
        <x:v>0.01894688922630562</x:v>
      </x:c>
      <x:c r="R84" s="28" t="n">
        <x:v>0</x:v>
      </x:c>
      <x:c r="S84" s="28" t="n">
        <x:v>0</x:v>
      </x:c>
      <x:c r="T84" s="28" t="n">
        <x:v>0</x:v>
      </x:c>
      <x:c r="U84" s="28" t="n">
        <x:v>0</x:v>
      </x:c>
      <x:c r="V84" s="28" t="n">
        <x:v>11638</x:v>
      </x:c>
      <x:c r="W84" s="27" t="n">
        <x:f>IFERROR(P84/T84,0)</x:f>
        <x:v>0</x:v>
      </x:c>
      <x:c r="X84" s="25" t="str">
        <x:v>​120250370742110399</x:v>
      </x:c>
    </x:row>
    <x:row r="85">
      <x:c r="A85" s="25" t="str">
        <x:v>Yerli</x:v>
      </x:c>
      <x:c r="B85" s="25" t="str">
        <x:v>Türkçe</x:v>
      </x:c>
      <x:c r="C85" s="25" t="str">
        <x:v>Bilinirlik / İzlenme / Trafik</x:v>
      </x:c>
      <x:c r="D85" s="25" t="str">
        <x:v>Doktor Kampanyası</x:v>
      </x:c>
      <x:c r="E85" s="25" t="str">
        <x:v>Doruk Hastaneleri - SİNA ÖZEL Sağlık Hizmetleri A.ş</x:v>
      </x:c>
      <x:c r="F85" s="25" t="str">
        <x:v>Doktor - Bilinirlik Kampanyası - Nilüfer</x:v>
      </x:c>
      <x:c r="G85" s="25" t="str">
        <x:v>nilüfer - Mehmet Bayrak</x:v>
      </x:c>
      <x:c r="H85" s="25" t="str">
        <x:v>ACTIVE</x:v>
      </x:c>
      <x:c r="I85" s="25" t="str">
        <x:v>REACH</x:v>
      </x:c>
      <x:c r="J85" s="27" t="n">
        <x:v>0</x:v>
      </x:c>
      <x:c r="K85" s="27" t="n">
        <x:v>0</x:v>
      </x:c>
      <x:c r="L85" s="27" t="n">
        <x:v>100</x:v>
      </x:c>
      <x:c r="M85" s="27" t="n">
        <x:v>0</x:v>
      </x:c>
      <x:c r="N85" s="27" t="n">
        <x:v>2264.72</x:v>
      </x:c>
      <x:c r="O85" s="27" t="n">
        <x:v>452.33</x:v>
      </x:c>
      <x:c r="P85" s="27" t="n">
        <x:v>2717.0499999999997</x:v>
      </x:c>
      <x:c r="Q85" s="29" t="n">
        <x:f>IFERROR(P85/SUMIFS($P$5:$P$167,$F$5:$F$167,F85,$E$5:$E$167,E85),0)</x:f>
        <x:v>0.01839524513667307</x:v>
      </x:c>
      <x:c r="R85" s="28" t="n">
        <x:v>0</x:v>
      </x:c>
      <x:c r="S85" s="28" t="n">
        <x:v>0</x:v>
      </x:c>
      <x:c r="T85" s="28" t="n">
        <x:v>0</x:v>
      </x:c>
      <x:c r="U85" s="28" t="n">
        <x:v>0</x:v>
      </x:c>
      <x:c r="V85" s="28" t="n">
        <x:v>13501</x:v>
      </x:c>
      <x:c r="W85" s="27" t="n">
        <x:f>IFERROR(P85/T85,0)</x:f>
        <x:v>0</x:v>
      </x:c>
      <x:c r="X85" s="25" t="str">
        <x:v>​120250370795600399</x:v>
      </x:c>
    </x:row>
    <x:row r="86">
      <x:c r="A86" s="25" t="str">
        <x:v>Yerli</x:v>
      </x:c>
      <x:c r="B86" s="25" t="str">
        <x:v>Türkçe</x:v>
      </x:c>
      <x:c r="C86" s="25" t="str">
        <x:v>Bilinirlik / İzlenme / Trafik</x:v>
      </x:c>
      <x:c r="D86" s="25" t="str">
        <x:v>Doktor Kampanyası</x:v>
      </x:c>
      <x:c r="E86" s="25" t="str">
        <x:v>Doruk Hastaneleri - SİNA ÖZEL Sağlık Hizmetleri A.ş</x:v>
      </x:c>
      <x:c r="F86" s="25" t="str">
        <x:v>Doktor - Bilinirlik Kampanyası - Nilüfer</x:v>
      </x:c>
      <x:c r="G86" s="25" t="str">
        <x:v>nilüfer - Mehmet Renan Özakgün</x:v>
      </x:c>
      <x:c r="H86" s="25" t="str">
        <x:v>ACTIVE</x:v>
      </x:c>
      <x:c r="I86" s="25" t="str">
        <x:v>REACH</x:v>
      </x:c>
      <x:c r="J86" s="27" t="n">
        <x:v>0</x:v>
      </x:c>
      <x:c r="K86" s="27" t="n">
        <x:v>0</x:v>
      </x:c>
      <x:c r="L86" s="27" t="n">
        <x:v>100</x:v>
      </x:c>
      <x:c r="M86" s="27" t="n">
        <x:v>0</x:v>
      </x:c>
      <x:c r="N86" s="27" t="n">
        <x:v>2362.03</x:v>
      </x:c>
      <x:c r="O86" s="27" t="n">
        <x:v>445.94</x:v>
      </x:c>
      <x:c r="P86" s="27" t="n">
        <x:v>2807.9700000000003</x:v>
      </x:c>
      <x:c r="Q86" s="29" t="n">
        <x:f>IFERROR(P86/SUMIFS($P$5:$P$167,$F$5:$F$167,F86,$E$5:$E$167,E86),0)</x:f>
        <x:v>0.019010800863592456</x:v>
      </x:c>
      <x:c r="R86" s="28" t="n">
        <x:v>0</x:v>
      </x:c>
      <x:c r="S86" s="28" t="n">
        <x:v>0</x:v>
      </x:c>
      <x:c r="T86" s="28" t="n">
        <x:v>0</x:v>
      </x:c>
      <x:c r="U86" s="28" t="n">
        <x:v>0</x:v>
      </x:c>
      <x:c r="V86" s="28" t="n">
        <x:v>11852</x:v>
      </x:c>
      <x:c r="W86" s="27" t="n">
        <x:f>IFERROR(P86/T86,0)</x:f>
        <x:v>0</x:v>
      </x:c>
      <x:c r="X86" s="25" t="str">
        <x:v>​120250370209780399</x:v>
      </x:c>
    </x:row>
    <x:row r="87">
      <x:c r="A87" s="25" t="str">
        <x:v>Yerli</x:v>
      </x:c>
      <x:c r="B87" s="25" t="str">
        <x:v>Türkçe</x:v>
      </x:c>
      <x:c r="C87" s="25" t="str">
        <x:v>Bilinirlik / İzlenme / Trafik</x:v>
      </x:c>
      <x:c r="D87" s="25" t="str">
        <x:v>Doktor Kampanyası</x:v>
      </x:c>
      <x:c r="E87" s="25" t="str">
        <x:v>Doruk Hastaneleri - SİNA ÖZEL Sağlık Hizmetleri A.ş</x:v>
      </x:c>
      <x:c r="F87" s="25" t="str">
        <x:v>Doktor - Bilinirlik Kampanyası - Nilüfer</x:v>
      </x:c>
      <x:c r="G87" s="25" t="str">
        <x:v>nilüfer - Melike Yıldırım</x:v>
      </x:c>
      <x:c r="H87" s="25" t="str">
        <x:v>ACTIVE</x:v>
      </x:c>
      <x:c r="I87" s="25" t="str">
        <x:v>REACH</x:v>
      </x:c>
      <x:c r="J87" s="27" t="n">
        <x:v>0</x:v>
      </x:c>
      <x:c r="K87" s="27" t="n">
        <x:v>0</x:v>
      </x:c>
      <x:c r="L87" s="27" t="n">
        <x:v>100</x:v>
      </x:c>
      <x:c r="M87" s="27" t="n">
        <x:v>0</x:v>
      </x:c>
      <x:c r="N87" s="27" t="n">
        <x:v>2336.44</x:v>
      </x:c>
      <x:c r="O87" s="27" t="n">
        <x:v>458.92</x:v>
      </x:c>
      <x:c r="P87" s="27" t="n">
        <x:v>2795.36</x:v>
      </x:c>
      <x:c r="Q87" s="29" t="n">
        <x:f>IFERROR(P87/SUMIFS($P$5:$P$167,$F$5:$F$167,F87,$E$5:$E$167,E87),0)</x:f>
        <x:v>0.018925427373530274</x:v>
      </x:c>
      <x:c r="R87" s="28" t="n">
        <x:v>0</x:v>
      </x:c>
      <x:c r="S87" s="28" t="n">
        <x:v>0</x:v>
      </x:c>
      <x:c r="T87" s="28" t="n">
        <x:v>0</x:v>
      </x:c>
      <x:c r="U87" s="28" t="n">
        <x:v>0</x:v>
      </x:c>
      <x:c r="V87" s="28" t="n">
        <x:v>13190</x:v>
      </x:c>
      <x:c r="W87" s="27" t="n">
        <x:f>IFERROR(P87/T87,0)</x:f>
        <x:v>0</x:v>
      </x:c>
      <x:c r="X87" s="25" t="str">
        <x:v>​120250373494480399</x:v>
      </x:c>
    </x:row>
    <x:row r="88">
      <x:c r="A88" s="25" t="str">
        <x:v>Yerli</x:v>
      </x:c>
      <x:c r="B88" s="25" t="str">
        <x:v>Türkçe</x:v>
      </x:c>
      <x:c r="C88" s="25" t="str">
        <x:v>Bilinirlik / İzlenme / Trafik</x:v>
      </x:c>
      <x:c r="D88" s="25" t="str">
        <x:v>Doktor Kampanyası</x:v>
      </x:c>
      <x:c r="E88" s="25" t="str">
        <x:v>Doruk Hastaneleri - SİNA ÖZEL Sağlık Hizmetleri A.ş</x:v>
      </x:c>
      <x:c r="F88" s="25" t="str">
        <x:v>Doktor - Bilinirlik Kampanyası - Nilüfer</x:v>
      </x:c>
      <x:c r="G88" s="25" t="str">
        <x:v>nilüfer - Meltem Öner</x:v>
      </x:c>
      <x:c r="H88" s="25" t="str">
        <x:v>ACTIVE</x:v>
      </x:c>
      <x:c r="I88" s="25" t="str">
        <x:v>REACH</x:v>
      </x:c>
      <x:c r="J88" s="27" t="n">
        <x:v>0</x:v>
      </x:c>
      <x:c r="K88" s="27" t="n">
        <x:v>0</x:v>
      </x:c>
      <x:c r="L88" s="27" t="n">
        <x:v>100</x:v>
      </x:c>
      <x:c r="M88" s="27" t="n">
        <x:v>0</x:v>
      </x:c>
      <x:c r="N88" s="27" t="n">
        <x:v>2378.55</x:v>
      </x:c>
      <x:c r="O88" s="27" t="n">
        <x:v>465.46</x:v>
      </x:c>
      <x:c r="P88" s="27" t="n">
        <x:v>2844.01</x:v>
      </x:c>
      <x:c r="Q88" s="29" t="n">
        <x:f>IFERROR(P88/SUMIFS($P$5:$P$167,$F$5:$F$167,F88,$E$5:$E$167,E88),0)</x:f>
        <x:v>0.019254802495776515</x:v>
      </x:c>
      <x:c r="R88" s="28" t="n">
        <x:v>0</x:v>
      </x:c>
      <x:c r="S88" s="28" t="n">
        <x:v>0</x:v>
      </x:c>
      <x:c r="T88" s="28" t="n">
        <x:v>0</x:v>
      </x:c>
      <x:c r="U88" s="28" t="n">
        <x:v>0</x:v>
      </x:c>
      <x:c r="V88" s="28" t="n">
        <x:v>9927</x:v>
      </x:c>
      <x:c r="W88" s="27" t="n">
        <x:f>IFERROR(P88/T88,0)</x:f>
        <x:v>0</x:v>
      </x:c>
      <x:c r="X88" s="25" t="str">
        <x:v>​120250013535020399</x:v>
      </x:c>
    </x:row>
    <x:row r="89">
      <x:c r="A89" s="25" t="str">
        <x:v>Yerli</x:v>
      </x:c>
      <x:c r="B89" s="25" t="str">
        <x:v>Türkçe</x:v>
      </x:c>
      <x:c r="C89" s="25" t="str">
        <x:v>Bilinirlik / İzlenme / Trafik</x:v>
      </x:c>
      <x:c r="D89" s="25" t="str">
        <x:v>Doktor Kampanyası</x:v>
      </x:c>
      <x:c r="E89" s="25" t="str">
        <x:v>Doruk Hastaneleri - SİNA ÖZEL Sağlık Hizmetleri A.ş</x:v>
      </x:c>
      <x:c r="F89" s="25" t="str">
        <x:v>Doktor - Bilinirlik Kampanyası - Nilüfer</x:v>
      </x:c>
      <x:c r="G89" s="25" t="str">
        <x:v>nilüfer - Merve Kahraman</x:v>
      </x:c>
      <x:c r="H89" s="25" t="str">
        <x:v>ACTIVE</x:v>
      </x:c>
      <x:c r="I89" s="25" t="str">
        <x:v>REACH</x:v>
      </x:c>
      <x:c r="J89" s="27" t="n">
        <x:v>0</x:v>
      </x:c>
      <x:c r="K89" s="27" t="n">
        <x:v>0</x:v>
      </x:c>
      <x:c r="L89" s="27" t="n">
        <x:v>100</x:v>
      </x:c>
      <x:c r="M89" s="27" t="n">
        <x:v>0</x:v>
      </x:c>
      <x:c r="N89" s="27" t="n">
        <x:v>2295.33</x:v>
      </x:c>
      <x:c r="O89" s="27" t="n">
        <x:v>461.18</x:v>
      </x:c>
      <x:c r="P89" s="27" t="n">
        <x:v>2756.5099999999998</x:v>
      </x:c>
      <x:c r="Q89" s="29" t="n">
        <x:f>IFERROR(P89/SUMIFS($P$5:$P$167,$F$5:$F$167,F89,$E$5:$E$167,E89),0)</x:f>
        <x:v>0.018662401196772486</x:v>
      </x:c>
      <x:c r="R89" s="28" t="n">
        <x:v>0</x:v>
      </x:c>
      <x:c r="S89" s="28" t="n">
        <x:v>0</x:v>
      </x:c>
      <x:c r="T89" s="28" t="n">
        <x:v>0</x:v>
      </x:c>
      <x:c r="U89" s="28" t="n">
        <x:v>0</x:v>
      </x:c>
      <x:c r="V89" s="28" t="n">
        <x:v>19035</x:v>
      </x:c>
      <x:c r="W89" s="27" t="n">
        <x:f>IFERROR(P89/T89,0)</x:f>
        <x:v>0</x:v>
      </x:c>
      <x:c r="X89" s="25" t="str">
        <x:v>​120250373606480399</x:v>
      </x:c>
    </x:row>
    <x:row r="90">
      <x:c r="A90" s="25" t="str">
        <x:v>Yerli</x:v>
      </x:c>
      <x:c r="B90" s="25" t="str">
        <x:v>Türkçe</x:v>
      </x:c>
      <x:c r="C90" s="25" t="str">
        <x:v>Bilinirlik / İzlenme / Trafik</x:v>
      </x:c>
      <x:c r="D90" s="25" t="str">
        <x:v>Doktor Kampanyası</x:v>
      </x:c>
      <x:c r="E90" s="25" t="str">
        <x:v>Doruk Hastaneleri - SİNA ÖZEL Sağlık Hizmetleri A.ş</x:v>
      </x:c>
      <x:c r="F90" s="25" t="str">
        <x:v>Doktor - Bilinirlik Kampanyası - Nilüfer</x:v>
      </x:c>
      <x:c r="G90" s="25" t="str">
        <x:v>nilüfer - Mete Şişman</x:v>
      </x:c>
      <x:c r="H90" s="25" t="str">
        <x:v>ACTIVE</x:v>
      </x:c>
      <x:c r="I90" s="25" t="str">
        <x:v>REACH</x:v>
      </x:c>
      <x:c r="J90" s="27" t="n">
        <x:v>0</x:v>
      </x:c>
      <x:c r="K90" s="27" t="n">
        <x:v>0</x:v>
      </x:c>
      <x:c r="L90" s="27" t="n">
        <x:v>100</x:v>
      </x:c>
      <x:c r="M90" s="27" t="n">
        <x:v>0</x:v>
      </x:c>
      <x:c r="N90" s="27" t="n">
        <x:v>2342.22</x:v>
      </x:c>
      <x:c r="O90" s="27" t="n">
        <x:v>466.98</x:v>
      </x:c>
      <x:c r="P90" s="27" t="n">
        <x:v>2809.2</x:v>
      </x:c>
      <x:c r="Q90" s="29" t="n">
        <x:f>IFERROR(P90/SUMIFS($P$5:$P$167,$F$5:$F$167,F90,$E$5:$E$167,E90),0)</x:f>
        <x:v>0.019019128333281312</x:v>
      </x:c>
      <x:c r="R90" s="28" t="n">
        <x:v>0</x:v>
      </x:c>
      <x:c r="S90" s="28" t="n">
        <x:v>0</x:v>
      </x:c>
      <x:c r="T90" s="28" t="n">
        <x:v>0</x:v>
      </x:c>
      <x:c r="U90" s="28" t="n">
        <x:v>0</x:v>
      </x:c>
      <x:c r="V90" s="28" t="n">
        <x:v>10615</x:v>
      </x:c>
      <x:c r="W90" s="27" t="n">
        <x:f>IFERROR(P90/T90,0)</x:f>
        <x:v>0</x:v>
      </x:c>
      <x:c r="X90" s="25" t="str">
        <x:v>​120250016550420399</x:v>
      </x:c>
    </x:row>
    <x:row r="91">
      <x:c r="A91" s="25" t="str">
        <x:v>Yerli</x:v>
      </x:c>
      <x:c r="B91" s="25" t="str">
        <x:v>Türkçe</x:v>
      </x:c>
      <x:c r="C91" s="25" t="str">
        <x:v>Bilinirlik / İzlenme / Trafik</x:v>
      </x:c>
      <x:c r="D91" s="25" t="str">
        <x:v>Doktor Kampanyası</x:v>
      </x:c>
      <x:c r="E91" s="25" t="str">
        <x:v>Doruk Hastaneleri - SİNA ÖZEL Sağlık Hizmetleri A.ş</x:v>
      </x:c>
      <x:c r="F91" s="25" t="str">
        <x:v>Doktor - Bilinirlik Kampanyası - Nilüfer</x:v>
      </x:c>
      <x:c r="G91" s="25" t="str">
        <x:v>nilüfer - Murat Pekgöz</x:v>
      </x:c>
      <x:c r="H91" s="25" t="str">
        <x:v>ACTIVE</x:v>
      </x:c>
      <x:c r="I91" s="25" t="str">
        <x:v>REACH</x:v>
      </x:c>
      <x:c r="J91" s="27" t="n">
        <x:v>0</x:v>
      </x:c>
      <x:c r="K91" s="27" t="n">
        <x:v>0</x:v>
      </x:c>
      <x:c r="L91" s="27" t="n">
        <x:v>100</x:v>
      </x:c>
      <x:c r="M91" s="27" t="n">
        <x:v>0</x:v>
      </x:c>
      <x:c r="N91" s="27" t="n">
        <x:v>2336.96</x:v>
      </x:c>
      <x:c r="O91" s="27" t="n">
        <x:v>476.39</x:v>
      </x:c>
      <x:c r="P91" s="27" t="n">
        <x:v>2813.35</x:v>
      </x:c>
      <x:c r="Q91" s="29" t="n">
        <x:f>IFERROR(P91/SUMIFS($P$5:$P$167,$F$5:$F$167,F91,$E$5:$E$167,E91),0)</x:f>
        <x:v>0.019047225080605502</x:v>
      </x:c>
      <x:c r="R91" s="28" t="n">
        <x:v>0</x:v>
      </x:c>
      <x:c r="S91" s="28" t="n">
        <x:v>0</x:v>
      </x:c>
      <x:c r="T91" s="28" t="n">
        <x:v>0</x:v>
      </x:c>
      <x:c r="U91" s="28" t="n">
        <x:v>0</x:v>
      </x:c>
      <x:c r="V91" s="28" t="n">
        <x:v>10366</x:v>
      </x:c>
      <x:c r="W91" s="27" t="n">
        <x:f>IFERROR(P91/T91,0)</x:f>
        <x:v>0</x:v>
      </x:c>
      <x:c r="X91" s="25" t="str">
        <x:v>​120250014089650399</x:v>
      </x:c>
    </x:row>
    <x:row r="92">
      <x:c r="A92" s="25" t="str">
        <x:v>Yerli</x:v>
      </x:c>
      <x:c r="B92" s="25" t="str">
        <x:v>Türkçe</x:v>
      </x:c>
      <x:c r="C92" s="25" t="str">
        <x:v>Bilinirlik / İzlenme / Trafik</x:v>
      </x:c>
      <x:c r="D92" s="25" t="str">
        <x:v>Doktor Kampanyası</x:v>
      </x:c>
      <x:c r="E92" s="25" t="str">
        <x:v>Doruk Hastaneleri - SİNA ÖZEL Sağlık Hizmetleri A.ş</x:v>
      </x:c>
      <x:c r="F92" s="25" t="str">
        <x:v>Doktor - Bilinirlik Kampanyası - Nilüfer</x:v>
      </x:c>
      <x:c r="G92" s="25" t="str">
        <x:v>nilüfer - Nejat Bıyıklı</x:v>
      </x:c>
      <x:c r="H92" s="25" t="str">
        <x:v>ACTIVE</x:v>
      </x:c>
      <x:c r="I92" s="25" t="str">
        <x:v>REACH</x:v>
      </x:c>
      <x:c r="J92" s="27" t="n">
        <x:v>0</x:v>
      </x:c>
      <x:c r="K92" s="27" t="n">
        <x:v>0</x:v>
      </x:c>
      <x:c r="L92" s="27" t="n">
        <x:v>100</x:v>
      </x:c>
      <x:c r="M92" s="27" t="n">
        <x:v>0</x:v>
      </x:c>
      <x:c r="N92" s="27" t="n">
        <x:v>2282.98</x:v>
      </x:c>
      <x:c r="O92" s="27" t="n">
        <x:v>471.21</x:v>
      </x:c>
      <x:c r="P92" s="27" t="n">
        <x:v>2754.19</x:v>
      </x:c>
      <x:c r="Q92" s="29" t="n">
        <x:f>IFERROR(P92/SUMIFS($P$5:$P$167,$F$5:$F$167,F92,$E$5:$E$167,E92),0)</x:f>
        <x:v>0.01864669409947318</x:v>
      </x:c>
      <x:c r="R92" s="28" t="n">
        <x:v>0</x:v>
      </x:c>
      <x:c r="S92" s="28" t="n">
        <x:v>0</x:v>
      </x:c>
      <x:c r="T92" s="28" t="n">
        <x:v>0</x:v>
      </x:c>
      <x:c r="U92" s="28" t="n">
        <x:v>0</x:v>
      </x:c>
      <x:c r="V92" s="28" t="n">
        <x:v>17277</x:v>
      </x:c>
      <x:c r="W92" s="27" t="n">
        <x:f>IFERROR(P92/T92,0)</x:f>
        <x:v>0</x:v>
      </x:c>
      <x:c r="X92" s="25" t="str">
        <x:v>​120250013155480399</x:v>
      </x:c>
    </x:row>
    <x:row r="93">
      <x:c r="A93" s="25" t="str">
        <x:v>Yerli</x:v>
      </x:c>
      <x:c r="B93" s="25" t="str">
        <x:v>Türkçe</x:v>
      </x:c>
      <x:c r="C93" s="25" t="str">
        <x:v>Bilinirlik / İzlenme / Trafik</x:v>
      </x:c>
      <x:c r="D93" s="25" t="str">
        <x:v>Doktor Kampanyası</x:v>
      </x:c>
      <x:c r="E93" s="25" t="str">
        <x:v>Doruk Hastaneleri - SİNA ÖZEL Sağlık Hizmetleri A.ş</x:v>
      </x:c>
      <x:c r="F93" s="25" t="str">
        <x:v>Doktor - Bilinirlik Kampanyası - Nilüfer</x:v>
      </x:c>
      <x:c r="G93" s="25" t="str">
        <x:v>nilüfer - Nesibe Gül Yüksel Aslıer</x:v>
      </x:c>
      <x:c r="H93" s="25" t="str">
        <x:v>ACTIVE</x:v>
      </x:c>
      <x:c r="I93" s="25" t="str">
        <x:v>REACH</x:v>
      </x:c>
      <x:c r="J93" s="27" t="n">
        <x:v>0</x:v>
      </x:c>
      <x:c r="K93" s="27" t="n">
        <x:v>0</x:v>
      </x:c>
      <x:c r="L93" s="27" t="n">
        <x:v>100</x:v>
      </x:c>
      <x:c r="M93" s="27" t="n">
        <x:v>0</x:v>
      </x:c>
      <x:c r="N93" s="27" t="n">
        <x:v>2313.18</x:v>
      </x:c>
      <x:c r="O93" s="27" t="n">
        <x:v>466.93</x:v>
      </x:c>
      <x:c r="P93" s="27" t="n">
        <x:v>2780.1099999999997</x:v>
      </x:c>
      <x:c r="Q93" s="29" t="n">
        <x:f>IFERROR(P93/SUMIFS($P$5:$P$167,$F$5:$F$167,F93,$E$5:$E$167,E93),0)</x:f>
        <x:v>0.01882218028998957</x:v>
      </x:c>
      <x:c r="R93" s="28" t="n">
        <x:v>0</x:v>
      </x:c>
      <x:c r="S93" s="28" t="n">
        <x:v>0</x:v>
      </x:c>
      <x:c r="T93" s="28" t="n">
        <x:v>0</x:v>
      </x:c>
      <x:c r="U93" s="28" t="n">
        <x:v>0</x:v>
      </x:c>
      <x:c r="V93" s="28" t="n">
        <x:v>14201</x:v>
      </x:c>
      <x:c r="W93" s="27" t="n">
        <x:f>IFERROR(P93/T93,0)</x:f>
        <x:v>0</x:v>
      </x:c>
      <x:c r="X93" s="25" t="str">
        <x:v>​120252512656600399</x:v>
      </x:c>
    </x:row>
    <x:row r="94">
      <x:c r="A94" s="25" t="str">
        <x:v>Yerli</x:v>
      </x:c>
      <x:c r="B94" s="25" t="str">
        <x:v>Türkçe</x:v>
      </x:c>
      <x:c r="C94" s="25" t="str">
        <x:v>Bilinirlik / İzlenme / Trafik</x:v>
      </x:c>
      <x:c r="D94" s="25" t="str">
        <x:v>Doktor Kampanyası</x:v>
      </x:c>
      <x:c r="E94" s="25" t="str">
        <x:v>Doruk Hastaneleri - SİNA ÖZEL Sağlık Hizmetleri A.ş</x:v>
      </x:c>
      <x:c r="F94" s="25" t="str">
        <x:v>Doktor - Bilinirlik Kampanyası - Nilüfer</x:v>
      </x:c>
      <x:c r="G94" s="25" t="str">
        <x:v>nilüfer - Osman Tiryakioğlu</x:v>
      </x:c>
      <x:c r="H94" s="25" t="str">
        <x:v>ACTIVE</x:v>
      </x:c>
      <x:c r="I94" s="25" t="str">
        <x:v>REACH</x:v>
      </x:c>
      <x:c r="J94" s="27" t="n">
        <x:v>0</x:v>
      </x:c>
      <x:c r="K94" s="27" t="n">
        <x:v>0</x:v>
      </x:c>
      <x:c r="L94" s="27" t="n">
        <x:v>100</x:v>
      </x:c>
      <x:c r="M94" s="27" t="n">
        <x:v>0</x:v>
      </x:c>
      <x:c r="N94" s="27" t="n">
        <x:v>2326.99</x:v>
      </x:c>
      <x:c r="O94" s="27" t="n">
        <x:v>457.64</x:v>
      </x:c>
      <x:c r="P94" s="27" t="n">
        <x:v>2784.6299999999997</x:v>
      </x:c>
      <x:c r="Q94" s="29" t="n">
        <x:f>IFERROR(P94/SUMIFS($P$5:$P$167,$F$5:$F$167,F94,$E$5:$E$167,E94),0)</x:f>
        <x:v>0.018852782048520977</x:v>
      </x:c>
      <x:c r="R94" s="28" t="n">
        <x:v>0</x:v>
      </x:c>
      <x:c r="S94" s="28" t="n">
        <x:v>0</x:v>
      </x:c>
      <x:c r="T94" s="28" t="n">
        <x:v>0</x:v>
      </x:c>
      <x:c r="U94" s="28" t="n">
        <x:v>0</x:v>
      </x:c>
      <x:c r="V94" s="28" t="n">
        <x:v>12638</x:v>
      </x:c>
      <x:c r="W94" s="27" t="n">
        <x:f>IFERROR(P94/T94,0)</x:f>
        <x:v>0</x:v>
      </x:c>
      <x:c r="X94" s="25" t="str">
        <x:v>​120252512242560399</x:v>
      </x:c>
    </x:row>
    <x:row r="95">
      <x:c r="A95" s="25" t="str">
        <x:v>Yerli</x:v>
      </x:c>
      <x:c r="B95" s="25" t="str">
        <x:v>Türkçe</x:v>
      </x:c>
      <x:c r="C95" s="25" t="str">
        <x:v>Bilinirlik / İzlenme / Trafik</x:v>
      </x:c>
      <x:c r="D95" s="25" t="str">
        <x:v>Doktor Kampanyası</x:v>
      </x:c>
      <x:c r="E95" s="25" t="str">
        <x:v>Doruk Hastaneleri - SİNA ÖZEL Sağlık Hizmetleri A.ş</x:v>
      </x:c>
      <x:c r="F95" s="25" t="str">
        <x:v>Doktor - Bilinirlik Kampanyası - Nilüfer</x:v>
      </x:c>
      <x:c r="G95" s="25" t="str">
        <x:v>nilüfer - Ömer Yalkın</x:v>
      </x:c>
      <x:c r="H95" s="25" t="str">
        <x:v>ACTIVE</x:v>
      </x:c>
      <x:c r="I95" s="25" t="str">
        <x:v>REACH</x:v>
      </x:c>
      <x:c r="J95" s="27" t="n">
        <x:v>0</x:v>
      </x:c>
      <x:c r="K95" s="27" t="n">
        <x:v>0</x:v>
      </x:c>
      <x:c r="L95" s="27" t="n">
        <x:v>100</x:v>
      </x:c>
      <x:c r="M95" s="27" t="n">
        <x:v>0</x:v>
      </x:c>
      <x:c r="N95" s="27" t="n">
        <x:v>2368.68</x:v>
      </x:c>
      <x:c r="O95" s="27" t="n">
        <x:v>467.89</x:v>
      </x:c>
      <x:c r="P95" s="27" t="n">
        <x:v>2836.5699999999997</x:v>
      </x:c>
      <x:c r="Q95" s="29" t="n">
        <x:f>IFERROR(P95/SUMIFS($P$5:$P$167,$F$5:$F$167,F95,$E$5:$E$167,E95),0)</x:f>
        <x:v>0.01920443145960977</x:v>
      </x:c>
      <x:c r="R95" s="28" t="n">
        <x:v>0</x:v>
      </x:c>
      <x:c r="S95" s="28" t="n">
        <x:v>0</x:v>
      </x:c>
      <x:c r="T95" s="28" t="n">
        <x:v>0</x:v>
      </x:c>
      <x:c r="U95" s="28" t="n">
        <x:v>0</x:v>
      </x:c>
      <x:c r="V95" s="28" t="n">
        <x:v>12728</x:v>
      </x:c>
      <x:c r="W95" s="27" t="n">
        <x:f>IFERROR(P95/T95,0)</x:f>
        <x:v>0</x:v>
      </x:c>
      <x:c r="X95" s="25" t="str">
        <x:v>​120250017034220399</x:v>
      </x:c>
    </x:row>
    <x:row r="96">
      <x:c r="A96" s="25" t="str">
        <x:v>Yerli</x:v>
      </x:c>
      <x:c r="B96" s="25" t="str">
        <x:v>Türkçe</x:v>
      </x:c>
      <x:c r="C96" s="25" t="str">
        <x:v>Bilinirlik / İzlenme / Trafik</x:v>
      </x:c>
      <x:c r="D96" s="25" t="str">
        <x:v>Doktor Kampanyası</x:v>
      </x:c>
      <x:c r="E96" s="25" t="str">
        <x:v>Doruk Hastaneleri - SİNA ÖZEL Sağlık Hizmetleri A.ş</x:v>
      </x:c>
      <x:c r="F96" s="25" t="str">
        <x:v>Doktor - Bilinirlik Kampanyası - Nilüfer</x:v>
      </x:c>
      <x:c r="G96" s="25" t="str">
        <x:v>nilüfer - Önder Akkaya</x:v>
      </x:c>
      <x:c r="H96" s="25" t="str">
        <x:v>ACTIVE</x:v>
      </x:c>
      <x:c r="I96" s="25" t="str">
        <x:v>REACH</x:v>
      </x:c>
      <x:c r="J96" s="27" t="n">
        <x:v>0</x:v>
      </x:c>
      <x:c r="K96" s="27" t="n">
        <x:v>0</x:v>
      </x:c>
      <x:c r="L96" s="27" t="n">
        <x:v>100</x:v>
      </x:c>
      <x:c r="M96" s="27" t="n">
        <x:v>0</x:v>
      </x:c>
      <x:c r="N96" s="27" t="n">
        <x:v>2273.04</x:v>
      </x:c>
      <x:c r="O96" s="27" t="n">
        <x:v>471.77</x:v>
      </x:c>
      <x:c r="P96" s="27" t="n">
        <x:v>2744.81</x:v>
      </x:c>
      <x:c r="Q96" s="29" t="n">
        <x:f>IFERROR(P96/SUMIFS($P$5:$P$167,$F$5:$F$167,F96,$E$5:$E$167,E96),0)</x:f>
        <x:v>0.018583188680219947</x:v>
      </x:c>
      <x:c r="R96" s="28" t="n">
        <x:v>0</x:v>
      </x:c>
      <x:c r="S96" s="28" t="n">
        <x:v>0</x:v>
      </x:c>
      <x:c r="T96" s="28" t="n">
        <x:v>0</x:v>
      </x:c>
      <x:c r="U96" s="28" t="n">
        <x:v>0</x:v>
      </x:c>
      <x:c r="V96" s="28" t="n">
        <x:v>12582</x:v>
      </x:c>
      <x:c r="W96" s="27" t="n">
        <x:f>IFERROR(P96/T96,0)</x:f>
        <x:v>0</x:v>
      </x:c>
      <x:c r="X96" s="25" t="str">
        <x:v>​120250370266480399</x:v>
      </x:c>
    </x:row>
    <x:row r="97">
      <x:c r="A97" s="25" t="str">
        <x:v>Yerli</x:v>
      </x:c>
      <x:c r="B97" s="25" t="str">
        <x:v>Türkçe</x:v>
      </x:c>
      <x:c r="C97" s="25" t="str">
        <x:v>Bilinirlik / İzlenme / Trafik</x:v>
      </x:c>
      <x:c r="D97" s="25" t="str">
        <x:v>Doktor Kampanyası</x:v>
      </x:c>
      <x:c r="E97" s="25" t="str">
        <x:v>Doruk Hastaneleri - SİNA ÖZEL Sağlık Hizmetleri A.ş</x:v>
      </x:c>
      <x:c r="F97" s="25" t="str">
        <x:v>Doktor - Bilinirlik Kampanyası - Nilüfer</x:v>
      </x:c>
      <x:c r="G97" s="25" t="str">
        <x:v>nilüfer - Özgecen Demirbaş</x:v>
      </x:c>
      <x:c r="H97" s="25" t="str">
        <x:v>ACTIVE</x:v>
      </x:c>
      <x:c r="I97" s="25" t="str">
        <x:v>REACH</x:v>
      </x:c>
      <x:c r="J97" s="27" t="n">
        <x:v>0</x:v>
      </x:c>
      <x:c r="K97" s="27" t="n">
        <x:v>0</x:v>
      </x:c>
      <x:c r="L97" s="27" t="n">
        <x:v>100</x:v>
      </x:c>
      <x:c r="M97" s="27" t="n">
        <x:v>0</x:v>
      </x:c>
      <x:c r="N97" s="27" t="n">
        <x:v>2357.59</x:v>
      </x:c>
      <x:c r="O97" s="27" t="n">
        <x:v>475.07</x:v>
      </x:c>
      <x:c r="P97" s="27" t="n">
        <x:v>2832.6600000000003</x:v>
      </x:c>
      <x:c r="Q97" s="29" t="n">
        <x:f>IFERROR(P97/SUMIFS($P$5:$P$167,$F$5:$F$167,F97,$E$5:$E$167,E97),0)</x:f>
        <x:v>0.019177959584419993</x:v>
      </x:c>
      <x:c r="R97" s="28" t="n">
        <x:v>0</x:v>
      </x:c>
      <x:c r="S97" s="28" t="n">
        <x:v>0</x:v>
      </x:c>
      <x:c r="T97" s="28" t="n">
        <x:v>0</x:v>
      </x:c>
      <x:c r="U97" s="28" t="n">
        <x:v>0</x:v>
      </x:c>
      <x:c r="V97" s="28" t="n">
        <x:v>10866</x:v>
      </x:c>
      <x:c r="W97" s="27" t="n">
        <x:f>IFERROR(P97/T97,0)</x:f>
        <x:v>0</x:v>
      </x:c>
      <x:c r="X97" s="25" t="str">
        <x:v>​120249678013370399</x:v>
      </x:c>
    </x:row>
    <x:row r="98">
      <x:c r="A98" s="25" t="str">
        <x:v>Yerli</x:v>
      </x:c>
      <x:c r="B98" s="25" t="str">
        <x:v>Türkçe</x:v>
      </x:c>
      <x:c r="C98" s="25" t="str">
        <x:v>Bilinirlik / İzlenme / Trafik</x:v>
      </x:c>
      <x:c r="D98" s="25" t="str">
        <x:v>Doktor Kampanyası</x:v>
      </x:c>
      <x:c r="E98" s="25" t="str">
        <x:v>Doruk Hastaneleri - SİNA ÖZEL Sağlık Hizmetleri A.ş</x:v>
      </x:c>
      <x:c r="F98" s="25" t="str">
        <x:v>Doktor - Bilinirlik Kampanyası - Nilüfer</x:v>
      </x:c>
      <x:c r="G98" s="25" t="str">
        <x:v>nilüfer - Rıdvan Ali</x:v>
      </x:c>
      <x:c r="H98" s="25" t="str">
        <x:v>ACTIVE</x:v>
      </x:c>
      <x:c r="I98" s="25" t="str">
        <x:v>REACH</x:v>
      </x:c>
      <x:c r="J98" s="27" t="n">
        <x:v>0</x:v>
      </x:c>
      <x:c r="K98" s="27" t="n">
        <x:v>0</x:v>
      </x:c>
      <x:c r="L98" s="27" t="n">
        <x:v>100</x:v>
      </x:c>
      <x:c r="M98" s="27" t="n">
        <x:v>0</x:v>
      </x:c>
      <x:c r="N98" s="27" t="n">
        <x:v>2315.48</x:v>
      </x:c>
      <x:c r="O98" s="27" t="n">
        <x:v>462.3</x:v>
      </x:c>
      <x:c r="P98" s="27" t="n">
        <x:v>2777.78</x:v>
      </x:c>
      <x:c r="Q98" s="29" t="n">
        <x:f>IFERROR(P98/SUMIFS($P$5:$P$167,$F$5:$F$167,F98,$E$5:$E$167,E98),0)</x:f>
        <x:v>0.018806405489684666</x:v>
      </x:c>
      <x:c r="R98" s="28" t="n">
        <x:v>0</x:v>
      </x:c>
      <x:c r="S98" s="28" t="n">
        <x:v>0</x:v>
      </x:c>
      <x:c r="T98" s="28" t="n">
        <x:v>0</x:v>
      </x:c>
      <x:c r="U98" s="28" t="n">
        <x:v>0</x:v>
      </x:c>
      <x:c r="V98" s="28" t="n">
        <x:v>10565</x:v>
      </x:c>
      <x:c r="W98" s="27" t="n">
        <x:f>IFERROR(P98/T98,0)</x:f>
        <x:v>0</x:v>
      </x:c>
      <x:c r="X98" s="25" t="str">
        <x:v>​120250139943010399</x:v>
      </x:c>
    </x:row>
    <x:row r="99">
      <x:c r="A99" s="25" t="str">
        <x:v>Yerli</x:v>
      </x:c>
      <x:c r="B99" s="25" t="str">
        <x:v>Türkçe</x:v>
      </x:c>
      <x:c r="C99" s="25" t="str">
        <x:v>Bilinirlik / İzlenme / Trafik</x:v>
      </x:c>
      <x:c r="D99" s="25" t="str">
        <x:v>Doktor Kampanyası</x:v>
      </x:c>
      <x:c r="E99" s="25" t="str">
        <x:v>Doruk Hastaneleri - SİNA ÖZEL Sağlık Hizmetleri A.ş</x:v>
      </x:c>
      <x:c r="F99" s="25" t="str">
        <x:v>Doktor - Bilinirlik Kampanyası - Nilüfer</x:v>
      </x:c>
      <x:c r="G99" s="25" t="str">
        <x:v>nilüfer - Sabahattin Karakaya</x:v>
      </x:c>
      <x:c r="H99" s="25" t="str">
        <x:v>ACTIVE</x:v>
      </x:c>
      <x:c r="I99" s="25" t="str">
        <x:v>REACH</x:v>
      </x:c>
      <x:c r="J99" s="27" t="n">
        <x:v>0</x:v>
      </x:c>
      <x:c r="K99" s="27" t="n">
        <x:v>0</x:v>
      </x:c>
      <x:c r="L99" s="27" t="n">
        <x:v>100</x:v>
      </x:c>
      <x:c r="M99" s="27" t="n">
        <x:v>0</x:v>
      </x:c>
      <x:c r="N99" s="27" t="n">
        <x:v>2339.32</x:v>
      </x:c>
      <x:c r="O99" s="27" t="n">
        <x:v>460.2</x:v>
      </x:c>
      <x:c r="P99" s="27" t="n">
        <x:v>2799.52</x:v>
      </x:c>
      <x:c r="Q99" s="29" t="n">
        <x:f>IFERROR(P99/SUMIFS($P$5:$P$167,$F$5:$F$167,F99,$E$5:$E$167,E99),0)</x:f>
        <x:v>0.018953591823860066</x:v>
      </x:c>
      <x:c r="R99" s="28" t="n">
        <x:v>0</x:v>
      </x:c>
      <x:c r="S99" s="28" t="n">
        <x:v>0</x:v>
      </x:c>
      <x:c r="T99" s="28" t="n">
        <x:v>0</x:v>
      </x:c>
      <x:c r="U99" s="28" t="n">
        <x:v>0</x:v>
      </x:c>
      <x:c r="V99" s="28" t="n">
        <x:v>11695</x:v>
      </x:c>
      <x:c r="W99" s="27" t="n">
        <x:f>IFERROR(P99/T99,0)</x:f>
        <x:v>0</x:v>
      </x:c>
      <x:c r="X99" s="25" t="str">
        <x:v>​120249678913370399</x:v>
      </x:c>
    </x:row>
    <x:row r="100">
      <x:c r="A100" s="25" t="str">
        <x:v>Yerli</x:v>
      </x:c>
      <x:c r="B100" s="25" t="str">
        <x:v>Türkçe</x:v>
      </x:c>
      <x:c r="C100" s="25" t="str">
        <x:v>Bilinirlik / İzlenme / Trafik</x:v>
      </x:c>
      <x:c r="D100" s="25" t="str">
        <x:v>Doktor Kampanyası</x:v>
      </x:c>
      <x:c r="E100" s="25" t="str">
        <x:v>Doruk Hastaneleri - SİNA ÖZEL Sağlık Hizmetleri A.ş</x:v>
      </x:c>
      <x:c r="F100" s="25" t="str">
        <x:v>Doktor - Bilinirlik Kampanyası - Nilüfer</x:v>
      </x:c>
      <x:c r="G100" s="25" t="str">
        <x:v>nilüfer - Salih Kılıç</x:v>
      </x:c>
      <x:c r="H100" s="25" t="str">
        <x:v>ACTIVE</x:v>
      </x:c>
      <x:c r="I100" s="25" t="str">
        <x:v>REACH</x:v>
      </x:c>
      <x:c r="J100" s="27" t="n">
        <x:v>0</x:v>
      </x:c>
      <x:c r="K100" s="27" t="n">
        <x:v>0</x:v>
      </x:c>
      <x:c r="L100" s="27" t="n">
        <x:v>100</x:v>
      </x:c>
      <x:c r="M100" s="27" t="n">
        <x:v>0</x:v>
      </x:c>
      <x:c r="N100" s="27" t="n">
        <x:v>2299.6</x:v>
      </x:c>
      <x:c r="O100" s="27" t="n">
        <x:v>455.87</x:v>
      </x:c>
      <x:c r="P100" s="27" t="n">
        <x:v>2755.47</x:v>
      </x:c>
      <x:c r="Q100" s="29" t="n">
        <x:f>IFERROR(P100/SUMIFS($P$5:$P$167,$F$5:$F$167,F100,$E$5:$E$167,E100),0)</x:f>
        <x:v>0.018655360084190036</x:v>
      </x:c>
      <x:c r="R100" s="28" t="n">
        <x:v>0</x:v>
      </x:c>
      <x:c r="S100" s="28" t="n">
        <x:v>0</x:v>
      </x:c>
      <x:c r="T100" s="28" t="n">
        <x:v>0</x:v>
      </x:c>
      <x:c r="U100" s="28" t="n">
        <x:v>0</x:v>
      </x:c>
      <x:c r="V100" s="28" t="n">
        <x:v>13243</x:v>
      </x:c>
      <x:c r="W100" s="27" t="n">
        <x:f>IFERROR(P100/T100,0)</x:f>
        <x:v>0</x:v>
      </x:c>
      <x:c r="X100" s="25" t="str">
        <x:v>​120250014497470399</x:v>
      </x:c>
    </x:row>
    <x:row r="101">
      <x:c r="A101" s="25" t="str">
        <x:v>Yerli</x:v>
      </x:c>
      <x:c r="B101" s="25" t="str">
        <x:v>Türkçe</x:v>
      </x:c>
      <x:c r="C101" s="25" t="str">
        <x:v>Bilinirlik / İzlenme / Trafik</x:v>
      </x:c>
      <x:c r="D101" s="25" t="str">
        <x:v>Doktor Kampanyası</x:v>
      </x:c>
      <x:c r="E101" s="25" t="str">
        <x:v>Doruk Hastaneleri - SİNA ÖZEL Sağlık Hizmetleri A.ş</x:v>
      </x:c>
      <x:c r="F101" s="25" t="str">
        <x:v>Doktor - Bilinirlik Kampanyası - Nilüfer</x:v>
      </x:c>
      <x:c r="G101" s="25" t="str">
        <x:v>nilüfer - Seren Şeviker</x:v>
      </x:c>
      <x:c r="H101" s="25" t="str">
        <x:v>ACTIVE</x:v>
      </x:c>
      <x:c r="I101" s="25" t="str">
        <x:v>REACH</x:v>
      </x:c>
      <x:c r="J101" s="27" t="n">
        <x:v>0</x:v>
      </x:c>
      <x:c r="K101" s="27" t="n">
        <x:v>0</x:v>
      </x:c>
      <x:c r="L101" s="27" t="n">
        <x:v>100</x:v>
      </x:c>
      <x:c r="M101" s="27" t="n">
        <x:v>0</x:v>
      </x:c>
      <x:c r="N101" s="27" t="n">
        <x:v>2335.41</x:v>
      </x:c>
      <x:c r="O101" s="27" t="n">
        <x:v>462.05</x:v>
      </x:c>
      <x:c r="P101" s="27" t="n">
        <x:v>2797.46</x:v>
      </x:c>
      <x:c r="Q101" s="29" t="n">
        <x:f>IFERROR(P101/SUMIFS($P$5:$P$167,$F$5:$F$167,F101,$E$5:$E$167,E101),0)</x:f>
        <x:v>0.018939645004706372</x:v>
      </x:c>
      <x:c r="R101" s="28" t="n">
        <x:v>0</x:v>
      </x:c>
      <x:c r="S101" s="28" t="n">
        <x:v>0</x:v>
      </x:c>
      <x:c r="T101" s="28" t="n">
        <x:v>0</x:v>
      </x:c>
      <x:c r="U101" s="28" t="n">
        <x:v>0</x:v>
      </x:c>
      <x:c r="V101" s="28" t="n">
        <x:v>10536</x:v>
      </x:c>
      <x:c r="W101" s="27" t="n">
        <x:f>IFERROR(P101/T101,0)</x:f>
        <x:v>0</x:v>
      </x:c>
      <x:c r="X101" s="25" t="str">
        <x:v>​120250370297860399</x:v>
      </x:c>
    </x:row>
    <x:row r="102">
      <x:c r="A102" s="25" t="str">
        <x:v>Yerli</x:v>
      </x:c>
      <x:c r="B102" s="25" t="str">
        <x:v>Türkçe</x:v>
      </x:c>
      <x:c r="C102" s="25" t="str">
        <x:v>Bilinirlik / İzlenme / Trafik</x:v>
      </x:c>
      <x:c r="D102" s="25" t="str">
        <x:v>Doktor Kampanyası</x:v>
      </x:c>
      <x:c r="E102" s="25" t="str">
        <x:v>Doruk Hastaneleri - SİNA ÖZEL Sağlık Hizmetleri A.ş</x:v>
      </x:c>
      <x:c r="F102" s="25" t="str">
        <x:v>Doktor - Bilinirlik Kampanyası - Nilüfer</x:v>
      </x:c>
      <x:c r="G102" s="25" t="str">
        <x:v>nilüfer - Serkan Fatih Yeğen</x:v>
      </x:c>
      <x:c r="H102" s="25" t="str">
        <x:v>ACTIVE</x:v>
      </x:c>
      <x:c r="I102" s="25" t="str">
        <x:v>REACH</x:v>
      </x:c>
      <x:c r="J102" s="27" t="n">
        <x:v>0</x:v>
      </x:c>
      <x:c r="K102" s="27" t="n">
        <x:v>0</x:v>
      </x:c>
      <x:c r="L102" s="27" t="n">
        <x:v>100</x:v>
      </x:c>
      <x:c r="M102" s="27" t="n">
        <x:v>0</x:v>
      </x:c>
      <x:c r="N102" s="27" t="n">
        <x:v>2287.43</x:v>
      </x:c>
      <x:c r="O102" s="27" t="n">
        <x:v>461.15</x:v>
      </x:c>
      <x:c r="P102" s="27" t="n">
        <x:v>2748.58</x:v>
      </x:c>
      <x:c r="Q102" s="29" t="n">
        <x:f>IFERROR(P102/SUMIFS($P$5:$P$167,$F$5:$F$167,F102,$E$5:$E$167,E102),0)</x:f>
        <x:v>0.01860871271333132</x:v>
      </x:c>
      <x:c r="R102" s="28" t="n">
        <x:v>0</x:v>
      </x:c>
      <x:c r="S102" s="28" t="n">
        <x:v>0</x:v>
      </x:c>
      <x:c r="T102" s="28" t="n">
        <x:v>0</x:v>
      </x:c>
      <x:c r="U102" s="28" t="n">
        <x:v>0</x:v>
      </x:c>
      <x:c r="V102" s="28" t="n">
        <x:v>16996</x:v>
      </x:c>
      <x:c r="W102" s="27" t="n">
        <x:f>IFERROR(P102/T102,0)</x:f>
        <x:v>0</x:v>
      </x:c>
      <x:c r="X102" s="25" t="str">
        <x:v>​120250017424400399</x:v>
      </x:c>
    </x:row>
    <x:row r="103">
      <x:c r="A103" s="25" t="str">
        <x:v>Yerli</x:v>
      </x:c>
      <x:c r="B103" s="25" t="str">
        <x:v>Türkçe</x:v>
      </x:c>
      <x:c r="C103" s="25" t="str">
        <x:v>Bilinirlik / İzlenme / Trafik</x:v>
      </x:c>
      <x:c r="D103" s="25" t="str">
        <x:v>Doktor Kampanyası</x:v>
      </x:c>
      <x:c r="E103" s="25" t="str">
        <x:v>Doruk Hastaneleri - SİNA ÖZEL Sağlık Hizmetleri A.ş</x:v>
      </x:c>
      <x:c r="F103" s="25" t="str">
        <x:v>Doktor - Bilinirlik Kampanyası - Nilüfer</x:v>
      </x:c>
      <x:c r="G103" s="25" t="str">
        <x:v>nilüfer - Sinan Demirtaş</x:v>
      </x:c>
      <x:c r="H103" s="25" t="str">
        <x:v>ACTIVE</x:v>
      </x:c>
      <x:c r="I103" s="25" t="str">
        <x:v>REACH</x:v>
      </x:c>
      <x:c r="J103" s="27" t="n">
        <x:v>0</x:v>
      </x:c>
      <x:c r="K103" s="27" t="n">
        <x:v>0</x:v>
      </x:c>
      <x:c r="L103" s="27" t="n">
        <x:v>100</x:v>
      </x:c>
      <x:c r="M103" s="27" t="n">
        <x:v>0</x:v>
      </x:c>
      <x:c r="N103" s="27" t="n">
        <x:v>2315.49</x:v>
      </x:c>
      <x:c r="O103" s="27" t="n">
        <x:v>454.19</x:v>
      </x:c>
      <x:c r="P103" s="27" t="n">
        <x:v>2769.68</x:v>
      </x:c>
      <x:c r="Q103" s="29" t="n">
        <x:f>IFERROR(P103/SUMIFS($P$5:$P$167,$F$5:$F$167,F103,$E$5:$E$167,E103),0)</x:f>
        <x:v>0.018751566055148293</x:v>
      </x:c>
      <x:c r="R103" s="28" t="n">
        <x:v>0</x:v>
      </x:c>
      <x:c r="S103" s="28" t="n">
        <x:v>0</x:v>
      </x:c>
      <x:c r="T103" s="28" t="n">
        <x:v>0</x:v>
      </x:c>
      <x:c r="U103" s="28" t="n">
        <x:v>0</x:v>
      </x:c>
      <x:c r="V103" s="28" t="n">
        <x:v>13348</x:v>
      </x:c>
      <x:c r="W103" s="27" t="n">
        <x:f>IFERROR(P103/T103,0)</x:f>
        <x:v>0</x:v>
      </x:c>
      <x:c r="X103" s="25" t="str">
        <x:v>​120252512377460399</x:v>
      </x:c>
    </x:row>
    <x:row r="104">
      <x:c r="A104" s="25" t="str">
        <x:v>Yerli</x:v>
      </x:c>
      <x:c r="B104" s="25" t="str">
        <x:v>Türkçe</x:v>
      </x:c>
      <x:c r="C104" s="25" t="str">
        <x:v>Bilinirlik / İzlenme / Trafik</x:v>
      </x:c>
      <x:c r="D104" s="25" t="str">
        <x:v>Doktor Kampanyası</x:v>
      </x:c>
      <x:c r="E104" s="25" t="str">
        <x:v>Doruk Hastaneleri - SİNA ÖZEL Sağlık Hizmetleri A.ş</x:v>
      </x:c>
      <x:c r="F104" s="25" t="str">
        <x:v>Doktor - Bilinirlik Kampanyası - Nilüfer</x:v>
      </x:c>
      <x:c r="G104" s="25" t="str">
        <x:v>nilüfer - Sözer Sarıoğlu</x:v>
      </x:c>
      <x:c r="H104" s="25" t="str">
        <x:v>ACTIVE</x:v>
      </x:c>
      <x:c r="I104" s="25" t="str">
        <x:v>REACH</x:v>
      </x:c>
      <x:c r="J104" s="27" t="n">
        <x:v>0</x:v>
      </x:c>
      <x:c r="K104" s="27" t="n">
        <x:v>0</x:v>
      </x:c>
      <x:c r="L104" s="27" t="n">
        <x:v>100</x:v>
      </x:c>
      <x:c r="M104" s="27" t="n">
        <x:v>0</x:v>
      </x:c>
      <x:c r="N104" s="27" t="n">
        <x:v>2332.28</x:v>
      </x:c>
      <x:c r="O104" s="27" t="n">
        <x:v>458.25</x:v>
      </x:c>
      <x:c r="P104" s="27" t="n">
        <x:v>2790.53</x:v>
      </x:c>
      <x:c r="Q104" s="29" t="n">
        <x:f>IFERROR(P104/SUMIFS($P$5:$P$167,$F$5:$F$167,F104,$E$5:$E$167,E104),0)</x:f>
        <x:v>0.018892726821825252</x:v>
      </x:c>
      <x:c r="R104" s="28" t="n">
        <x:v>0</x:v>
      </x:c>
      <x:c r="S104" s="28" t="n">
        <x:v>0</x:v>
      </x:c>
      <x:c r="T104" s="28" t="n">
        <x:v>0</x:v>
      </x:c>
      <x:c r="U104" s="28" t="n">
        <x:v>0</x:v>
      </x:c>
      <x:c r="V104" s="28" t="n">
        <x:v>9769</x:v>
      </x:c>
      <x:c r="W104" s="27" t="n">
        <x:f>IFERROR(P104/T104,0)</x:f>
        <x:v>0</x:v>
      </x:c>
      <x:c r="X104" s="25" t="str">
        <x:v>​120249678934630399</x:v>
      </x:c>
    </x:row>
    <x:row r="105">
      <x:c r="A105" s="25" t="str">
        <x:v>Yerli</x:v>
      </x:c>
      <x:c r="B105" s="25" t="str">
        <x:v>Türkçe</x:v>
      </x:c>
      <x:c r="C105" s="25" t="str">
        <x:v>Bilinirlik / İzlenme / Trafik</x:v>
      </x:c>
      <x:c r="D105" s="25" t="str">
        <x:v>Doktor Kampanyası</x:v>
      </x:c>
      <x:c r="E105" s="25" t="str">
        <x:v>Doruk Hastaneleri - SİNA ÖZEL Sağlık Hizmetleri A.ş</x:v>
      </x:c>
      <x:c r="F105" s="25" t="str">
        <x:v>Doktor - Bilinirlik Kampanyası - Nilüfer</x:v>
      </x:c>
      <x:c r="G105" s="25" t="str">
        <x:v>nilüfer - Şenol Acar</x:v>
      </x:c>
      <x:c r="H105" s="25" t="str">
        <x:v>ACTIVE</x:v>
      </x:c>
      <x:c r="I105" s="25" t="str">
        <x:v>REACH</x:v>
      </x:c>
      <x:c r="J105" s="27" t="n">
        <x:v>0</x:v>
      </x:c>
      <x:c r="K105" s="27" t="n">
        <x:v>0</x:v>
      </x:c>
      <x:c r="L105" s="27" t="n">
        <x:v>100</x:v>
      </x:c>
      <x:c r="M105" s="27" t="n">
        <x:v>0</x:v>
      </x:c>
      <x:c r="N105" s="27" t="n">
        <x:v>2311.92</x:v>
      </x:c>
      <x:c r="O105" s="27" t="n">
        <x:v>459.87</x:v>
      </x:c>
      <x:c r="P105" s="27" t="n">
        <x:v>2771.79</x:v>
      </x:c>
      <x:c r="Q105" s="29" t="n">
        <x:f>IFERROR(P105/SUMIFS($P$5:$P$167,$F$5:$F$167,F105,$E$5:$E$167,E105),0)</x:f>
        <x:v>0.01876585138932999</x:v>
      </x:c>
      <x:c r="R105" s="28" t="n">
        <x:v>0</x:v>
      </x:c>
      <x:c r="S105" s="28" t="n">
        <x:v>0</x:v>
      </x:c>
      <x:c r="T105" s="28" t="n">
        <x:v>0</x:v>
      </x:c>
      <x:c r="U105" s="28" t="n">
        <x:v>0</x:v>
      </x:c>
      <x:c r="V105" s="28" t="n">
        <x:v>12376</x:v>
      </x:c>
      <x:c r="W105" s="27" t="n">
        <x:f>IFERROR(P105/T105,0)</x:f>
        <x:v>0</x:v>
      </x:c>
      <x:c r="X105" s="25" t="str">
        <x:v>​120252512712000399</x:v>
      </x:c>
    </x:row>
    <x:row r="106">
      <x:c r="A106" s="25" t="str">
        <x:v>Yerli</x:v>
      </x:c>
      <x:c r="B106" s="25" t="str">
        <x:v>Türkçe</x:v>
      </x:c>
      <x:c r="C106" s="25" t="str">
        <x:v>Bilinirlik / İzlenme / Trafik</x:v>
      </x:c>
      <x:c r="D106" s="25" t="str">
        <x:v>Doktor Kampanyası</x:v>
      </x:c>
      <x:c r="E106" s="25" t="str">
        <x:v>Doruk Hastaneleri - SİNA ÖZEL Sağlık Hizmetleri A.ş</x:v>
      </x:c>
      <x:c r="F106" s="25" t="str">
        <x:v>Doktor - Bilinirlik Kampanyası - Nilüfer</x:v>
      </x:c>
      <x:c r="G106" s="25" t="str">
        <x:v>nilüfer - Volkan Tümay</x:v>
      </x:c>
      <x:c r="H106" s="25" t="str">
        <x:v>ACTIVE</x:v>
      </x:c>
      <x:c r="I106" s="25" t="str">
        <x:v>REACH</x:v>
      </x:c>
      <x:c r="J106" s="27" t="n">
        <x:v>0</x:v>
      </x:c>
      <x:c r="K106" s="27" t="n">
        <x:v>0</x:v>
      </x:c>
      <x:c r="L106" s="27" t="n">
        <x:v>100</x:v>
      </x:c>
      <x:c r="M106" s="27" t="n">
        <x:v>0</x:v>
      </x:c>
      <x:c r="N106" s="27" t="n">
        <x:v>2307.66</x:v>
      </x:c>
      <x:c r="O106" s="27" t="n">
        <x:v>474.82</x:v>
      </x:c>
      <x:c r="P106" s="27" t="n">
        <x:v>2782.48</x:v>
      </x:c>
      <x:c r="Q106" s="29" t="n">
        <x:f>IFERROR(P106/SUMIFS($P$5:$P$167,$F$5:$F$167,F106,$E$5:$E$167,E106),0)</x:f>
        <x:v>0.01883822590231688</x:v>
      </x:c>
      <x:c r="R106" s="28" t="n">
        <x:v>0</x:v>
      </x:c>
      <x:c r="S106" s="28" t="n">
        <x:v>0</x:v>
      </x:c>
      <x:c r="T106" s="28" t="n">
        <x:v>0</x:v>
      </x:c>
      <x:c r="U106" s="28" t="n">
        <x:v>0</x:v>
      </x:c>
      <x:c r="V106" s="28" t="n">
        <x:v>12403</x:v>
      </x:c>
      <x:c r="W106" s="27" t="n">
        <x:f>IFERROR(P106/T106,0)</x:f>
        <x:v>0</x:v>
      </x:c>
      <x:c r="X106" s="25" t="str">
        <x:v>​120250017569770399</x:v>
      </x:c>
    </x:row>
    <x:row r="107">
      <x:c r="A107" s="25" t="str">
        <x:v>Yerli</x:v>
      </x:c>
      <x:c r="B107" s="25" t="str">
        <x:v>Türkçe</x:v>
      </x:c>
      <x:c r="C107" s="25" t="str">
        <x:v>Bilinirlik / İzlenme / Trafik</x:v>
      </x:c>
      <x:c r="D107" s="25" t="str">
        <x:v>Doktor Kampanyası</x:v>
      </x:c>
      <x:c r="E107" s="25" t="str">
        <x:v>Doruk Hastaneleri - SİNA ÖZEL Sağlık Hizmetleri A.ş</x:v>
      </x:c>
      <x:c r="F107" s="25" t="str">
        <x:v>Doktor - Bilinirlik Kampanyası - Nilüfer</x:v>
      </x:c>
      <x:c r="G107" s="25" t="str">
        <x:v>nilüfer - Zafer Serenli Yeğen</x:v>
      </x:c>
      <x:c r="H107" s="25" t="str">
        <x:v>ACTIVE</x:v>
      </x:c>
      <x:c r="I107" s="25" t="str">
        <x:v>REACH</x:v>
      </x:c>
      <x:c r="J107" s="27" t="n">
        <x:v>0</x:v>
      </x:c>
      <x:c r="K107" s="27" t="n">
        <x:v>0</x:v>
      </x:c>
      <x:c r="L107" s="27" t="n">
        <x:v>100</x:v>
      </x:c>
      <x:c r="M107" s="27" t="n">
        <x:v>0</x:v>
      </x:c>
      <x:c r="N107" s="27" t="n">
        <x:v>2321.82</x:v>
      </x:c>
      <x:c r="O107" s="27" t="n">
        <x:v>475.4</x:v>
      </x:c>
      <x:c r="P107" s="27" t="n">
        <x:v>2797.2200000000003</x:v>
      </x:c>
      <x:c r="Q107" s="29" t="n">
        <x:f>IFERROR(P107/SUMIFS($P$5:$P$167,$F$5:$F$167,F107,$E$5:$E$167,E107),0)</x:f>
        <x:v>0.018938020132571964</x:v>
      </x:c>
      <x:c r="R107" s="28" t="n">
        <x:v>0</x:v>
      </x:c>
      <x:c r="S107" s="28" t="n">
        <x:v>0</x:v>
      </x:c>
      <x:c r="T107" s="28" t="n">
        <x:v>0</x:v>
      </x:c>
      <x:c r="U107" s="28" t="n">
        <x:v>0</x:v>
      </x:c>
      <x:c r="V107" s="28" t="n">
        <x:v>10500</x:v>
      </x:c>
      <x:c r="W107" s="27" t="n">
        <x:f>IFERROR(P107/T107,0)</x:f>
        <x:v>0</x:v>
      </x:c>
      <x:c r="X107" s="25" t="str">
        <x:v>​120250140012690399</x:v>
      </x:c>
    </x:row>
    <x:row r="108">
      <x:c r="A108" s="25" t="str">
        <x:v>Yerli</x:v>
      </x:c>
      <x:c r="B108" s="25" t="str">
        <x:v>Türkçe</x:v>
      </x:c>
      <x:c r="C108" s="25" t="str">
        <x:v>Bilinirlik / İzlenme / Trafik</x:v>
      </x:c>
      <x:c r="D108" s="25" t="str">
        <x:v>Doktor Kampanyası</x:v>
      </x:c>
      <x:c r="E108" s="25" t="str">
        <x:v>Doruk Hastaneleri - SİNA ÖZEL Sağlık Hizmetleri A.ş</x:v>
      </x:c>
      <x:c r="F108" s="25" t="str">
        <x:v>Doktor - Bilinirlik Kampanyası - Yıldırım</x:v>
      </x:c>
      <x:c r="G108" s="25" t="str">
        <x:v>yıldırım -  Şener Özbölük</x:v>
      </x:c>
      <x:c r="H108" s="25" t="str">
        <x:v>ACTIVE</x:v>
      </x:c>
      <x:c r="I108" s="25" t="str">
        <x:v>REACH</x:v>
      </x:c>
      <x:c r="J108" s="27" t="n">
        <x:v>0</x:v>
      </x:c>
      <x:c r="K108" s="27" t="n">
        <x:v>0</x:v>
      </x:c>
      <x:c r="L108" s="27" t="n">
        <x:v>100</x:v>
      </x:c>
      <x:c r="M108" s="27" t="n">
        <x:v>0</x:v>
      </x:c>
      <x:c r="N108" s="27" t="n">
        <x:v>1328.73</x:v>
      </x:c>
      <x:c r="O108" s="27" t="n">
        <x:v>473.83</x:v>
      </x:c>
      <x:c r="P108" s="27" t="n">
        <x:v>1802.56</x:v>
      </x:c>
      <x:c r="Q108" s="29" t="n">
        <x:f>IFERROR(P108/SUMIFS($P$5:$P$167,$F$5:$F$167,F108,$E$5:$E$167,E108),0)</x:f>
        <x:v>0.03810803548569796</x:v>
      </x:c>
      <x:c r="R108" s="28" t="n">
        <x:v>0</x:v>
      </x:c>
      <x:c r="S108" s="28" t="n">
        <x:v>0</x:v>
      </x:c>
      <x:c r="T108" s="28" t="n">
        <x:v>0</x:v>
      </x:c>
      <x:c r="U108" s="28" t="n">
        <x:v>0</x:v>
      </x:c>
      <x:c r="V108" s="28" t="n">
        <x:v>9040</x:v>
      </x:c>
      <x:c r="W108" s="27" t="n">
        <x:f>IFERROR(P108/T108,0)</x:f>
        <x:v>0</x:v>
      </x:c>
      <x:c r="X108" s="25" t="str">
        <x:v>​120255507182090399</x:v>
      </x:c>
    </x:row>
    <x:row r="109">
      <x:c r="A109" s="25" t="str">
        <x:v>Yerli</x:v>
      </x:c>
      <x:c r="B109" s="25" t="str">
        <x:v>Türkçe</x:v>
      </x:c>
      <x:c r="C109" s="25" t="str">
        <x:v>Bilinirlik / İzlenme / Trafik</x:v>
      </x:c>
      <x:c r="D109" s="25" t="str">
        <x:v>Doktor Kampanyası</x:v>
      </x:c>
      <x:c r="E109" s="25" t="str">
        <x:v>Doruk Hastaneleri - SİNA ÖZEL Sağlık Hizmetleri A.ş</x:v>
      </x:c>
      <x:c r="F109" s="25" t="str">
        <x:v>Doktor - Bilinirlik Kampanyası - Yıldırım</x:v>
      </x:c>
      <x:c r="G109" s="25" t="str">
        <x:v>yıldırım - Abdullah Ertaş</x:v>
      </x:c>
      <x:c r="H109" s="25" t="str">
        <x:v>ACTIVE</x:v>
      </x:c>
      <x:c r="I109" s="25" t="str">
        <x:v>REACH</x:v>
      </x:c>
      <x:c r="J109" s="27" t="n">
        <x:v>0</x:v>
      </x:c>
      <x:c r="K109" s="27" t="n">
        <x:v>0</x:v>
      </x:c>
      <x:c r="L109" s="27" t="n">
        <x:v>100</x:v>
      </x:c>
      <x:c r="M109" s="27" t="n">
        <x:v>0</x:v>
      </x:c>
      <x:c r="N109" s="27" t="n">
        <x:v>2099.79</x:v>
      </x:c>
      <x:c r="O109" s="27" t="n">
        <x:v>476.56</x:v>
      </x:c>
      <x:c r="P109" s="27" t="n">
        <x:v>2576.35</x:v>
      </x:c>
      <x:c r="Q109" s="29" t="n">
        <x:f>IFERROR(P109/SUMIFS($P$5:$P$167,$F$5:$F$167,F109,$E$5:$E$167,E109),0)</x:f>
        <x:v>0.05446677903846637</x:v>
      </x:c>
      <x:c r="R109" s="28" t="n">
        <x:v>0</x:v>
      </x:c>
      <x:c r="S109" s="28" t="n">
        <x:v>0</x:v>
      </x:c>
      <x:c r="T109" s="28" t="n">
        <x:v>0</x:v>
      </x:c>
      <x:c r="U109" s="28" t="n">
        <x:v>0</x:v>
      </x:c>
      <x:c r="V109" s="28" t="n">
        <x:v>14247</x:v>
      </x:c>
      <x:c r="W109" s="27" t="n">
        <x:f>IFERROR(P109/T109,0)</x:f>
        <x:v>0</x:v>
      </x:c>
      <x:c r="X109" s="25" t="str">
        <x:v>​120255158812050399</x:v>
      </x:c>
    </x:row>
    <x:row r="110">
      <x:c r="A110" s="25" t="str">
        <x:v>Yerli</x:v>
      </x:c>
      <x:c r="B110" s="25" t="str">
        <x:v>Türkçe</x:v>
      </x:c>
      <x:c r="C110" s="25" t="str">
        <x:v>Bilinirlik / İzlenme / Trafik</x:v>
      </x:c>
      <x:c r="D110" s="25" t="str">
        <x:v>Doktor Kampanyası</x:v>
      </x:c>
      <x:c r="E110" s="25" t="str">
        <x:v>Doruk Hastaneleri - SİNA ÖZEL Sağlık Hizmetleri A.ş</x:v>
      </x:c>
      <x:c r="F110" s="25" t="str">
        <x:v>Doktor - Bilinirlik Kampanyası - Yıldırım</x:v>
      </x:c>
      <x:c r="G110" s="25" t="str">
        <x:v>yıldırım - Berat Eralp</x:v>
      </x:c>
      <x:c r="H110" s="25" t="str">
        <x:v>ACTIVE</x:v>
      </x:c>
      <x:c r="I110" s="25" t="str">
        <x:v>REACH</x:v>
      </x:c>
      <x:c r="J110" s="27" t="n">
        <x:v>0</x:v>
      </x:c>
      <x:c r="K110" s="27" t="n">
        <x:v>0</x:v>
      </x:c>
      <x:c r="L110" s="27" t="n">
        <x:v>100</x:v>
      </x:c>
      <x:c r="M110" s="27" t="n">
        <x:v>0</x:v>
      </x:c>
      <x:c r="N110" s="27" t="n">
        <x:v>1311.58</x:v>
      </x:c>
      <x:c r="O110" s="27" t="n">
        <x:v>460.39</x:v>
      </x:c>
      <x:c r="P110" s="27" t="n">
        <x:v>1771.9699999999998</x:v>
      </x:c>
      <x:c r="Q110" s="29" t="n">
        <x:f>IFERROR(P110/SUMIFS($P$5:$P$167,$F$5:$F$167,F110,$E$5:$E$167,E110),0)</x:f>
        <x:v>0.03746133035216149</x:v>
      </x:c>
      <x:c r="R110" s="28" t="n">
        <x:v>0</x:v>
      </x:c>
      <x:c r="S110" s="28" t="n">
        <x:v>0</x:v>
      </x:c>
      <x:c r="T110" s="28" t="n">
        <x:v>0</x:v>
      </x:c>
      <x:c r="U110" s="28" t="n">
        <x:v>0</x:v>
      </x:c>
      <x:c r="V110" s="28" t="n">
        <x:v>9928</x:v>
      </x:c>
      <x:c r="W110" s="27" t="n">
        <x:f>IFERROR(P110/T110,0)</x:f>
        <x:v>0</x:v>
      </x:c>
      <x:c r="X110" s="25" t="str">
        <x:v>​120255506674520399</x:v>
      </x:c>
    </x:row>
    <x:row r="111">
      <x:c r="A111" s="25" t="str">
        <x:v>Yerli</x:v>
      </x:c>
      <x:c r="B111" s="25" t="str">
        <x:v>Türkçe</x:v>
      </x:c>
      <x:c r="C111" s="25" t="str">
        <x:v>Bilinirlik / İzlenme / Trafik</x:v>
      </x:c>
      <x:c r="D111" s="25" t="str">
        <x:v>Doktor Kampanyası</x:v>
      </x:c>
      <x:c r="E111" s="25" t="str">
        <x:v>Doruk Hastaneleri - SİNA ÖZEL Sağlık Hizmetleri A.ş</x:v>
      </x:c>
      <x:c r="F111" s="25" t="str">
        <x:v>Doktor - Bilinirlik Kampanyası - Yıldırım</x:v>
      </x:c>
      <x:c r="G111" s="25" t="str">
        <x:v>yıldırım - Büşra Türk</x:v>
      </x:c>
      <x:c r="H111" s="25" t="str">
        <x:v>ACTIVE</x:v>
      </x:c>
      <x:c r="I111" s="25" t="str">
        <x:v>REACH</x:v>
      </x:c>
      <x:c r="J111" s="27" t="n">
        <x:v>0</x:v>
      </x:c>
      <x:c r="K111" s="27" t="n">
        <x:v>0</x:v>
      </x:c>
      <x:c r="L111" s="27" t="n">
        <x:v>100</x:v>
      </x:c>
      <x:c r="M111" s="27" t="n">
        <x:v>0</x:v>
      </x:c>
      <x:c r="N111" s="27" t="n">
        <x:v>1515.21</x:v>
      </x:c>
      <x:c r="O111" s="27" t="n">
        <x:v>460.97</x:v>
      </x:c>
      <x:c r="P111" s="27" t="n">
        <x:v>1976.18</x:v>
      </x:c>
      <x:c r="Q111" s="29" t="n">
        <x:f>IFERROR(P111/SUMIFS($P$5:$P$167,$F$5:$F$167,F111,$E$5:$E$167,E111),0)</x:f>
        <x:v>0.04177854693664932</x:v>
      </x:c>
      <x:c r="R111" s="28" t="n">
        <x:v>0</x:v>
      </x:c>
      <x:c r="S111" s="28" t="n">
        <x:v>0</x:v>
      </x:c>
      <x:c r="T111" s="28" t="n">
        <x:v>0</x:v>
      </x:c>
      <x:c r="U111" s="28" t="n">
        <x:v>0</x:v>
      </x:c>
      <x:c r="V111" s="28" t="n">
        <x:v>12557</x:v>
      </x:c>
      <x:c r="W111" s="27" t="n">
        <x:f>IFERROR(P111/T111,0)</x:f>
        <x:v>0</x:v>
      </x:c>
      <x:c r="X111" s="25" t="str">
        <x:v>​120255420920950399</x:v>
      </x:c>
    </x:row>
    <x:row r="112">
      <x:c r="A112" s="25" t="str">
        <x:v>Yerli</x:v>
      </x:c>
      <x:c r="B112" s="25" t="str">
        <x:v>Türkçe</x:v>
      </x:c>
      <x:c r="C112" s="25" t="str">
        <x:v>Bilinirlik / İzlenme / Trafik</x:v>
      </x:c>
      <x:c r="D112" s="25" t="str">
        <x:v>Doktor Kampanyası</x:v>
      </x:c>
      <x:c r="E112" s="25" t="str">
        <x:v>Doruk Hastaneleri - SİNA ÖZEL Sağlık Hizmetleri A.ş</x:v>
      </x:c>
      <x:c r="F112" s="25" t="str">
        <x:v>Doktor - Bilinirlik Kampanyası - Yıldırım</x:v>
      </x:c>
      <x:c r="G112" s="25" t="str">
        <x:v>yıldırım - Doğukan Durak</x:v>
      </x:c>
      <x:c r="H112" s="25" t="str">
        <x:v>ACTIVE</x:v>
      </x:c>
      <x:c r="I112" s="25" t="str">
        <x:v>REACH</x:v>
      </x:c>
      <x:c r="J112" s="27" t="n">
        <x:v>0</x:v>
      </x:c>
      <x:c r="K112" s="27" t="n">
        <x:v>0</x:v>
      </x:c>
      <x:c r="L112" s="27" t="n">
        <x:v>100</x:v>
      </x:c>
      <x:c r="M112" s="27" t="n">
        <x:v>0</x:v>
      </x:c>
      <x:c r="N112" s="27" t="n">
        <x:v>1511.19</x:v>
      </x:c>
      <x:c r="O112" s="27" t="n">
        <x:v>462.44</x:v>
      </x:c>
      <x:c r="P112" s="27" t="n">
        <x:v>1973.63</x:v>
      </x:c>
      <x:c r="Q112" s="29" t="n">
        <x:f>IFERROR(P112/SUMIFS($P$5:$P$167,$F$5:$F$167,F112,$E$5:$E$167,E112),0)</x:f>
        <x:v>0.041724637224635</x:v>
      </x:c>
      <x:c r="R112" s="28" t="n">
        <x:v>0</x:v>
      </x:c>
      <x:c r="S112" s="28" t="n">
        <x:v>0</x:v>
      </x:c>
      <x:c r="T112" s="28" t="n">
        <x:v>0</x:v>
      </x:c>
      <x:c r="U112" s="28" t="n">
        <x:v>0</x:v>
      </x:c>
      <x:c r="V112" s="28" t="n">
        <x:v>11456</x:v>
      </x:c>
      <x:c r="W112" s="27" t="n">
        <x:f>IFERROR(P112/T112,0)</x:f>
        <x:v>0</x:v>
      </x:c>
      <x:c r="X112" s="25" t="str">
        <x:v>​120255421113630399</x:v>
      </x:c>
    </x:row>
    <x:row r="113">
      <x:c r="A113" s="25" t="str">
        <x:v>Yerli</x:v>
      </x:c>
      <x:c r="B113" s="25" t="str">
        <x:v>Türkçe</x:v>
      </x:c>
      <x:c r="C113" s="25" t="str">
        <x:v>Bilinirlik / İzlenme / Trafik</x:v>
      </x:c>
      <x:c r="D113" s="25" t="str">
        <x:v>Doktor Kampanyası</x:v>
      </x:c>
      <x:c r="E113" s="25" t="str">
        <x:v>Doruk Hastaneleri - SİNA ÖZEL Sağlık Hizmetleri A.ş</x:v>
      </x:c>
      <x:c r="F113" s="25" t="str">
        <x:v>Doktor - Bilinirlik Kampanyası - Yıldırım</x:v>
      </x:c>
      <x:c r="G113" s="25" t="str">
        <x:v>yıldırım - Ediz Tevfik Özgan</x:v>
      </x:c>
      <x:c r="H113" s="25" t="str">
        <x:v>ACTIVE</x:v>
      </x:c>
      <x:c r="I113" s="25" t="str">
        <x:v>REACH</x:v>
      </x:c>
      <x:c r="J113" s="27" t="n">
        <x:v>0</x:v>
      </x:c>
      <x:c r="K113" s="27" t="n">
        <x:v>0</x:v>
      </x:c>
      <x:c r="L113" s="27" t="n">
        <x:v>100</x:v>
      </x:c>
      <x:c r="M113" s="27" t="n">
        <x:v>0</x:v>
      </x:c>
      <x:c r="N113" s="27" t="n">
        <x:v>1262.82</x:v>
      </x:c>
      <x:c r="O113" s="27" t="n">
        <x:v>454.38</x:v>
      </x:c>
      <x:c r="P113" s="27" t="n">
        <x:v>1717.1999999999998</x:v>
      </x:c>
      <x:c r="Q113" s="29" t="n">
        <x:f>IFERROR(P113/SUMIFS($P$5:$P$167,$F$5:$F$167,F113,$E$5:$E$167,E113),0)</x:f>
        <x:v>0.036303434302348066</x:v>
      </x:c>
      <x:c r="R113" s="28" t="n">
        <x:v>0</x:v>
      </x:c>
      <x:c r="S113" s="28" t="n">
        <x:v>0</x:v>
      </x:c>
      <x:c r="T113" s="28" t="n">
        <x:v>0</x:v>
      </x:c>
      <x:c r="U113" s="28" t="n">
        <x:v>0</x:v>
      </x:c>
      <x:c r="V113" s="28" t="n">
        <x:v>10508</x:v>
      </x:c>
      <x:c r="W113" s="27" t="n">
        <x:f>IFERROR(P113/T113,0)</x:f>
        <x:v>0</x:v>
      </x:c>
      <x:c r="X113" s="25" t="str">
        <x:v>​120255421144210399</x:v>
      </x:c>
    </x:row>
    <x:row r="114">
      <x:c r="A114" s="25" t="str">
        <x:v>Yerli</x:v>
      </x:c>
      <x:c r="B114" s="25" t="str">
        <x:v>Türkçe</x:v>
      </x:c>
      <x:c r="C114" s="25" t="str">
        <x:v>Bilinirlik / İzlenme / Trafik</x:v>
      </x:c>
      <x:c r="D114" s="25" t="str">
        <x:v>Doktor Kampanyası</x:v>
      </x:c>
      <x:c r="E114" s="25" t="str">
        <x:v>Doruk Hastaneleri - SİNA ÖZEL Sağlık Hizmetleri A.ş</x:v>
      </x:c>
      <x:c r="F114" s="25" t="str">
        <x:v>Doktor - Bilinirlik Kampanyası - Yıldırım</x:v>
      </x:c>
      <x:c r="G114" s="25" t="str">
        <x:v>yıldırım - Elif Hizal</x:v>
      </x:c>
      <x:c r="H114" s="25" t="str">
        <x:v>ACTIVE</x:v>
      </x:c>
      <x:c r="I114" s="25" t="str">
        <x:v>REACH</x:v>
      </x:c>
      <x:c r="J114" s="27" t="n">
        <x:v>0</x:v>
      </x:c>
      <x:c r="K114" s="27" t="n">
        <x:v>0</x:v>
      </x:c>
      <x:c r="L114" s="27" t="n">
        <x:v>100</x:v>
      </x:c>
      <x:c r="M114" s="27" t="n">
        <x:v>0</x:v>
      </x:c>
      <x:c r="N114" s="27" t="n">
        <x:v>1286.76</x:v>
      </x:c>
      <x:c r="O114" s="27" t="n">
        <x:v>451.12</x:v>
      </x:c>
      <x:c r="P114" s="27" t="n">
        <x:v>1737.88</x:v>
      </x:c>
      <x:c r="Q114" s="29" t="n">
        <x:f>IFERROR(P114/SUMIFS($P$5:$P$167,$F$5:$F$167,F114,$E$5:$E$167,E114),0)</x:f>
        <x:v>0.03674063149625243</x:v>
      </x:c>
      <x:c r="R114" s="28" t="n">
        <x:v>0</x:v>
      </x:c>
      <x:c r="S114" s="28" t="n">
        <x:v>0</x:v>
      </x:c>
      <x:c r="T114" s="28" t="n">
        <x:v>0</x:v>
      </x:c>
      <x:c r="U114" s="28" t="n">
        <x:v>0</x:v>
      </x:c>
      <x:c r="V114" s="28" t="n">
        <x:v>11058</x:v>
      </x:c>
      <x:c r="W114" s="27" t="n">
        <x:f>IFERROR(P114/T114,0)</x:f>
        <x:v>0</x:v>
      </x:c>
      <x:c r="X114" s="25" t="str">
        <x:v>​120255506696910399</x:v>
      </x:c>
    </x:row>
    <x:row r="115">
      <x:c r="A115" s="25" t="str">
        <x:v>Yerli</x:v>
      </x:c>
      <x:c r="B115" s="25" t="str">
        <x:v>Türkçe</x:v>
      </x:c>
      <x:c r="C115" s="25" t="str">
        <x:v>Bilinirlik / İzlenme / Trafik</x:v>
      </x:c>
      <x:c r="D115" s="25" t="str">
        <x:v>Doktor Kampanyası</x:v>
      </x:c>
      <x:c r="E115" s="25" t="str">
        <x:v>Doruk Hastaneleri - SİNA ÖZEL Sağlık Hizmetleri A.ş</x:v>
      </x:c>
      <x:c r="F115" s="25" t="str">
        <x:v>Doktor - Bilinirlik Kampanyası - Yıldırım</x:v>
      </x:c>
      <x:c r="G115" s="25" t="str">
        <x:v>yıldırım - Ersin Özgören</x:v>
      </x:c>
      <x:c r="H115" s="25" t="str">
        <x:v>ACTIVE</x:v>
      </x:c>
      <x:c r="I115" s="25" t="str">
        <x:v>REACH</x:v>
      </x:c>
      <x:c r="J115" s="27" t="n">
        <x:v>0</x:v>
      </x:c>
      <x:c r="K115" s="27" t="n">
        <x:v>0</x:v>
      </x:c>
      <x:c r="L115" s="27" t="n">
        <x:v>100</x:v>
      </x:c>
      <x:c r="M115" s="27" t="n">
        <x:v>0</x:v>
      </x:c>
      <x:c r="N115" s="27" t="n">
        <x:v>1434.41</x:v>
      </x:c>
      <x:c r="O115" s="27" t="n">
        <x:v>456.62</x:v>
      </x:c>
      <x:c r="P115" s="27" t="n">
        <x:v>1891.0300000000002</x:v>
      </x:c>
      <x:c r="Q115" s="29" t="n">
        <x:f>IFERROR(P115/SUMIFS($P$5:$P$167,$F$5:$F$167,F115,$E$5:$E$167,E115),0)</x:f>
        <x:v>0.039978385376641785</x:v>
      </x:c>
      <x:c r="R115" s="28" t="n">
        <x:v>0</x:v>
      </x:c>
      <x:c r="S115" s="28" t="n">
        <x:v>0</x:v>
      </x:c>
      <x:c r="T115" s="28" t="n">
        <x:v>0</x:v>
      </x:c>
      <x:c r="U115" s="28" t="n">
        <x:v>0</x:v>
      </x:c>
      <x:c r="V115" s="28" t="n">
        <x:v>14646</x:v>
      </x:c>
      <x:c r="W115" s="27" t="n">
        <x:f>IFERROR(P115/T115,0)</x:f>
        <x:v>0</x:v>
      </x:c>
      <x:c r="X115" s="25" t="str">
        <x:v>​120255421156330399</x:v>
      </x:c>
    </x:row>
    <x:row r="116">
      <x:c r="A116" s="25" t="str">
        <x:v>Yerli</x:v>
      </x:c>
      <x:c r="B116" s="25" t="str">
        <x:v>Türkçe</x:v>
      </x:c>
      <x:c r="C116" s="25" t="str">
        <x:v>Bilinirlik / İzlenme / Trafik</x:v>
      </x:c>
      <x:c r="D116" s="25" t="str">
        <x:v>Doktor Kampanyası</x:v>
      </x:c>
      <x:c r="E116" s="25" t="str">
        <x:v>Doruk Hastaneleri - SİNA ÖZEL Sağlık Hizmetleri A.ş</x:v>
      </x:c>
      <x:c r="F116" s="25" t="str">
        <x:v>Doktor - Bilinirlik Kampanyası - Yıldırım</x:v>
      </x:c>
      <x:c r="G116" s="25" t="str">
        <x:v>yıldırım - Gökhan Aktürk</x:v>
      </x:c>
      <x:c r="H116" s="25" t="str">
        <x:v>ACTIVE</x:v>
      </x:c>
      <x:c r="I116" s="25" t="str">
        <x:v>REACH</x:v>
      </x:c>
      <x:c r="J116" s="27" t="n">
        <x:v>0</x:v>
      </x:c>
      <x:c r="K116" s="27" t="n">
        <x:v>0</x:v>
      </x:c>
      <x:c r="L116" s="27" t="n">
        <x:v>100</x:v>
      </x:c>
      <x:c r="M116" s="27" t="n">
        <x:v>0</x:v>
      </x:c>
      <x:c r="N116" s="27" t="n">
        <x:v>1325.79</x:v>
      </x:c>
      <x:c r="O116" s="27" t="n">
        <x:v>462.16</x:v>
      </x:c>
      <x:c r="P116" s="27" t="n">
        <x:v>1787.95</x:v>
      </x:c>
      <x:c r="Q116" s="29" t="n">
        <x:f>IFERROR(P116/SUMIFS($P$5:$P$167,$F$5:$F$167,F116,$E$5:$E$167,E116),0)</x:f>
        <x:v>0.03779916454745122</x:v>
      </x:c>
      <x:c r="R116" s="28" t="n">
        <x:v>0</x:v>
      </x:c>
      <x:c r="S116" s="28" t="n">
        <x:v>0</x:v>
      </x:c>
      <x:c r="T116" s="28" t="n">
        <x:v>0</x:v>
      </x:c>
      <x:c r="U116" s="28" t="n">
        <x:v>0</x:v>
      </x:c>
      <x:c r="V116" s="28" t="n">
        <x:v>6966</x:v>
      </x:c>
      <x:c r="W116" s="27" t="n">
        <x:f>IFERROR(P116/T116,0)</x:f>
        <x:v>0</x:v>
      </x:c>
      <x:c r="X116" s="25" t="str">
        <x:v>​120255507067120399</x:v>
      </x:c>
    </x:row>
    <x:row r="117">
      <x:c r="A117" s="25" t="str">
        <x:v>Yerli</x:v>
      </x:c>
      <x:c r="B117" s="25" t="str">
        <x:v>Türkçe</x:v>
      </x:c>
      <x:c r="C117" s="25" t="str">
        <x:v>Bilinirlik / İzlenme / Trafik</x:v>
      </x:c>
      <x:c r="D117" s="25" t="str">
        <x:v>Doktor Kampanyası</x:v>
      </x:c>
      <x:c r="E117" s="25" t="str">
        <x:v>Doruk Hastaneleri - SİNA ÖZEL Sağlık Hizmetleri A.ş</x:v>
      </x:c>
      <x:c r="F117" s="25" t="str">
        <x:v>Doktor - Bilinirlik Kampanyası - Yıldırım</x:v>
      </x:c>
      <x:c r="G117" s="25" t="str">
        <x:v>yıldırım - Handan İlkdoğan</x:v>
      </x:c>
      <x:c r="H117" s="25" t="str">
        <x:v>ACTIVE</x:v>
      </x:c>
      <x:c r="I117" s="25" t="str">
        <x:v>REACH</x:v>
      </x:c>
      <x:c r="J117" s="27" t="n">
        <x:v>0</x:v>
      </x:c>
      <x:c r="K117" s="27" t="n">
        <x:v>0</x:v>
      </x:c>
      <x:c r="L117" s="27" t="n">
        <x:v>100</x:v>
      </x:c>
      <x:c r="M117" s="27" t="n">
        <x:v>0</x:v>
      </x:c>
      <x:c r="N117" s="27" t="n">
        <x:v>1500.7</x:v>
      </x:c>
      <x:c r="O117" s="27" t="n">
        <x:v>467.08</x:v>
      </x:c>
      <x:c r="P117" s="27" t="n">
        <x:v>1967.78</x:v>
      </x:c>
      <x:c r="Q117" s="29" t="n">
        <x:f>IFERROR(P117/SUMIFS($P$5:$P$167,$F$5:$F$167,F117,$E$5:$E$167,E117),0)</x:f>
        <x:v>0.04160096200295509</x:v>
      </x:c>
      <x:c r="R117" s="28" t="n">
        <x:v>0</x:v>
      </x:c>
      <x:c r="S117" s="28" t="n">
        <x:v>0</x:v>
      </x:c>
      <x:c r="T117" s="28" t="n">
        <x:v>0</x:v>
      </x:c>
      <x:c r="U117" s="28" t="n">
        <x:v>0</x:v>
      </x:c>
      <x:c r="V117" s="28" t="n">
        <x:v>8570</x:v>
      </x:c>
      <x:c r="W117" s="27" t="n">
        <x:f>IFERROR(P117/T117,0)</x:f>
        <x:v>0</x:v>
      </x:c>
      <x:c r="X117" s="25" t="str">
        <x:v>​120255420947760399</x:v>
      </x:c>
    </x:row>
    <x:row r="118">
      <x:c r="A118" s="25" t="str">
        <x:v>Yerli</x:v>
      </x:c>
      <x:c r="B118" s="25" t="str">
        <x:v>Türkçe</x:v>
      </x:c>
      <x:c r="C118" s="25" t="str">
        <x:v>Bilinirlik / İzlenme / Trafik</x:v>
      </x:c>
      <x:c r="D118" s="25" t="str">
        <x:v>Doktor Kampanyası</x:v>
      </x:c>
      <x:c r="E118" s="25" t="str">
        <x:v>Doruk Hastaneleri - SİNA ÖZEL Sağlık Hizmetleri A.ş</x:v>
      </x:c>
      <x:c r="F118" s="25" t="str">
        <x:v>Doktor - Bilinirlik Kampanyası - Yıldırım</x:v>
      </x:c>
      <x:c r="G118" s="25" t="str">
        <x:v>yıldırım - İbrahim Özdemir</x:v>
      </x:c>
      <x:c r="H118" s="25" t="str">
        <x:v>ACTIVE</x:v>
      </x:c>
      <x:c r="I118" s="25" t="str">
        <x:v>REACH</x:v>
      </x:c>
      <x:c r="J118" s="27" t="n">
        <x:v>0</x:v>
      </x:c>
      <x:c r="K118" s="27" t="n">
        <x:v>0</x:v>
      </x:c>
      <x:c r="L118" s="27" t="n">
        <x:v>100</x:v>
      </x:c>
      <x:c r="M118" s="27" t="n">
        <x:v>0</x:v>
      </x:c>
      <x:c r="N118" s="27" t="n">
        <x:v>1274.06</x:v>
      </x:c>
      <x:c r="O118" s="27" t="n">
        <x:v>448.08</x:v>
      </x:c>
      <x:c r="P118" s="27" t="n">
        <x:v>1722.1399999999999</x:v>
      </x:c>
      <x:c r="Q118" s="29" t="n">
        <x:f>IFERROR(P118/SUMIFS($P$5:$P$167,$F$5:$F$167,F118,$E$5:$E$167,E118),0)</x:f>
        <x:v>0.0364078711562111</x:v>
      </x:c>
      <x:c r="R118" s="28" t="n">
        <x:v>0</x:v>
      </x:c>
      <x:c r="S118" s="28" t="n">
        <x:v>0</x:v>
      </x:c>
      <x:c r="T118" s="28" t="n">
        <x:v>0</x:v>
      </x:c>
      <x:c r="U118" s="28" t="n">
        <x:v>0</x:v>
      </x:c>
      <x:c r="V118" s="28" t="n">
        <x:v>12538</x:v>
      </x:c>
      <x:c r="W118" s="27" t="n">
        <x:f>IFERROR(P118/T118,0)</x:f>
        <x:v>0</x:v>
      </x:c>
      <x:c r="X118" s="25" t="str">
        <x:v>​120255506272360399</x:v>
      </x:c>
    </x:row>
    <x:row r="119">
      <x:c r="A119" s="25" t="str">
        <x:v>Yerli</x:v>
      </x:c>
      <x:c r="B119" s="25" t="str">
        <x:v>Türkçe</x:v>
      </x:c>
      <x:c r="C119" s="25" t="str">
        <x:v>Bilinirlik / İzlenme / Trafik</x:v>
      </x:c>
      <x:c r="D119" s="25" t="str">
        <x:v>Doktor Kampanyası</x:v>
      </x:c>
      <x:c r="E119" s="25" t="str">
        <x:v>Doruk Hastaneleri - SİNA ÖZEL Sağlık Hizmetleri A.ş</x:v>
      </x:c>
      <x:c r="F119" s="25" t="str">
        <x:v>Doktor - Bilinirlik Kampanyası - Yıldırım</x:v>
      </x:c>
      <x:c r="G119" s="25" t="str">
        <x:v>yıldırım - İlknur Saide Kıngır</x:v>
      </x:c>
      <x:c r="H119" s="25" t="str">
        <x:v>ACTIVE</x:v>
      </x:c>
      <x:c r="I119" s="25" t="str">
        <x:v>REACH</x:v>
      </x:c>
      <x:c r="J119" s="27" t="n">
        <x:v>0</x:v>
      </x:c>
      <x:c r="K119" s="27" t="n">
        <x:v>0</x:v>
      </x:c>
      <x:c r="L119" s="27" t="n">
        <x:v>100</x:v>
      </x:c>
      <x:c r="M119" s="27" t="n">
        <x:v>0</x:v>
      </x:c>
      <x:c r="N119" s="27" t="n">
        <x:v>1290.96</x:v>
      </x:c>
      <x:c r="O119" s="27" t="n">
        <x:v>470.9</x:v>
      </x:c>
      <x:c r="P119" s="27" t="n">
        <x:v>1761.8600000000001</x:v>
      </x:c>
      <x:c r="Q119" s="29" t="n">
        <x:f>IFERROR(P119/SUMIFS($P$5:$P$167,$F$5:$F$167,F119,$E$5:$E$167,E119),0)</x:f>
        <x:v>0.03724759419982237</x:v>
      </x:c>
      <x:c r="R119" s="28" t="n">
        <x:v>0</x:v>
      </x:c>
      <x:c r="S119" s="28" t="n">
        <x:v>0</x:v>
      </x:c>
      <x:c r="T119" s="28" t="n">
        <x:v>0</x:v>
      </x:c>
      <x:c r="U119" s="28" t="n">
        <x:v>1</x:v>
      </x:c>
      <x:c r="V119" s="28" t="n">
        <x:v>13346</x:v>
      </x:c>
      <x:c r="W119" s="27" t="n">
        <x:f>IFERROR(P119/T119,0)</x:f>
        <x:v>0</x:v>
      </x:c>
      <x:c r="X119" s="25" t="str">
        <x:v>​120255506768920399</x:v>
      </x:c>
    </x:row>
    <x:row r="120">
      <x:c r="A120" s="25" t="str">
        <x:v>Yerli</x:v>
      </x:c>
      <x:c r="B120" s="25" t="str">
        <x:v>Türkçe</x:v>
      </x:c>
      <x:c r="C120" s="25" t="str">
        <x:v>Bilinirlik / İzlenme / Trafik</x:v>
      </x:c>
      <x:c r="D120" s="25" t="str">
        <x:v>Doktor Kampanyası</x:v>
      </x:c>
      <x:c r="E120" s="25" t="str">
        <x:v>Doruk Hastaneleri - SİNA ÖZEL Sağlık Hizmetleri A.ş</x:v>
      </x:c>
      <x:c r="F120" s="25" t="str">
        <x:v>Doktor - Bilinirlik Kampanyası - Yıldırım</x:v>
      </x:c>
      <x:c r="G120" s="25" t="str">
        <x:v>yıldırım - İrem Deniz Karakaya</x:v>
      </x:c>
      <x:c r="H120" s="25" t="str">
        <x:v>ACTIVE</x:v>
      </x:c>
      <x:c r="I120" s="25" t="str">
        <x:v>REACH</x:v>
      </x:c>
      <x:c r="J120" s="27" t="n">
        <x:v>0</x:v>
      </x:c>
      <x:c r="K120" s="27" t="n">
        <x:v>0</x:v>
      </x:c>
      <x:c r="L120" s="27" t="n">
        <x:v>100</x:v>
      </x:c>
      <x:c r="M120" s="27" t="n">
        <x:v>0</x:v>
      </x:c>
      <x:c r="N120" s="27" t="n">
        <x:v>1300.61</x:v>
      </x:c>
      <x:c r="O120" s="27" t="n">
        <x:v>457.63</x:v>
      </x:c>
      <x:c r="P120" s="27" t="n">
        <x:v>1758.2399999999998</x:v>
      </x:c>
      <x:c r="Q120" s="29" t="n">
        <x:f>IFERROR(P120/SUMIFS($P$5:$P$167,$F$5:$F$167,F120,$E$5:$E$167,E120),0)</x:f>
        <x:v>0.037171063549825564</x:v>
      </x:c>
      <x:c r="R120" s="28" t="n">
        <x:v>0</x:v>
      </x:c>
      <x:c r="S120" s="28" t="n">
        <x:v>0</x:v>
      </x:c>
      <x:c r="T120" s="28" t="n">
        <x:v>0</x:v>
      </x:c>
      <x:c r="U120" s="28" t="n">
        <x:v>0</x:v>
      </x:c>
      <x:c r="V120" s="28" t="n">
        <x:v>10229</x:v>
      </x:c>
      <x:c r="W120" s="27" t="n">
        <x:f>IFERROR(P120/T120,0)</x:f>
        <x:v>0</x:v>
      </x:c>
      <x:c r="X120" s="25" t="str">
        <x:v>​120255507103940399</x:v>
      </x:c>
    </x:row>
    <x:row r="121">
      <x:c r="A121" s="25" t="str">
        <x:v>Yerli</x:v>
      </x:c>
      <x:c r="B121" s="25" t="str">
        <x:v>Türkçe</x:v>
      </x:c>
      <x:c r="C121" s="25" t="str">
        <x:v>Bilinirlik / İzlenme / Trafik</x:v>
      </x:c>
      <x:c r="D121" s="25" t="str">
        <x:v>Doktor Kampanyası</x:v>
      </x:c>
      <x:c r="E121" s="25" t="str">
        <x:v>Doruk Hastaneleri - SİNA ÖZEL Sağlık Hizmetleri A.ş</x:v>
      </x:c>
      <x:c r="F121" s="25" t="str">
        <x:v>Doktor - Bilinirlik Kampanyası - Yıldırım</x:v>
      </x:c>
      <x:c r="G121" s="25" t="str">
        <x:v>yıldırım - Mehmet Şerif Özkan</x:v>
      </x:c>
      <x:c r="H121" s="25" t="str">
        <x:v>ACTIVE</x:v>
      </x:c>
      <x:c r="I121" s="25" t="str">
        <x:v>REACH</x:v>
      </x:c>
      <x:c r="J121" s="27" t="n">
        <x:v>0</x:v>
      </x:c>
      <x:c r="K121" s="27" t="n">
        <x:v>0</x:v>
      </x:c>
      <x:c r="L121" s="27" t="n">
        <x:v>100</x:v>
      </x:c>
      <x:c r="M121" s="27" t="n">
        <x:v>0</x:v>
      </x:c>
      <x:c r="N121" s="27" t="n">
        <x:v>1266.85</x:v>
      </x:c>
      <x:c r="O121" s="27" t="n">
        <x:v>451.83</x:v>
      </x:c>
      <x:c r="P121" s="27" t="n">
        <x:v>1718.6799999999998</x:v>
      </x:c>
      <x:c r="Q121" s="29" t="n">
        <x:f>IFERROR(P121/SUMIFS($P$5:$P$167,$F$5:$F$167,F121,$E$5:$E$167,E121),0)</x:f>
        <x:v>0.03633472307637991</x:v>
      </x:c>
      <x:c r="R121" s="28" t="n">
        <x:v>0</x:v>
      </x:c>
      <x:c r="S121" s="28" t="n">
        <x:v>0</x:v>
      </x:c>
      <x:c r="T121" s="28" t="n">
        <x:v>0</x:v>
      </x:c>
      <x:c r="U121" s="28" t="n">
        <x:v>0</x:v>
      </x:c>
      <x:c r="V121" s="28" t="n">
        <x:v>11906</x:v>
      </x:c>
      <x:c r="W121" s="27" t="n">
        <x:f>IFERROR(P121/T121,0)</x:f>
        <x:v>0</x:v>
      </x:c>
      <x:c r="X121" s="25" t="str">
        <x:v>​120255507121880399</x:v>
      </x:c>
    </x:row>
    <x:row r="122">
      <x:c r="A122" s="25" t="str">
        <x:v>Yerli</x:v>
      </x:c>
      <x:c r="B122" s="25" t="str">
        <x:v>Türkçe</x:v>
      </x:c>
      <x:c r="C122" s="25" t="str">
        <x:v>Bilinirlik / İzlenme / Trafik</x:v>
      </x:c>
      <x:c r="D122" s="25" t="str">
        <x:v>Doktor Kampanyası</x:v>
      </x:c>
      <x:c r="E122" s="25" t="str">
        <x:v>Doruk Hastaneleri - SİNA ÖZEL Sağlık Hizmetleri A.ş</x:v>
      </x:c>
      <x:c r="F122" s="25" t="str">
        <x:v>Doktor - Bilinirlik Kampanyası - Yıldırım</x:v>
      </x:c>
      <x:c r="G122" s="25" t="str">
        <x:v>yıldırım - Mehmet Şimşek</x:v>
      </x:c>
      <x:c r="H122" s="25" t="str">
        <x:v>ACTIVE</x:v>
      </x:c>
      <x:c r="I122" s="25" t="str">
        <x:v>REACH</x:v>
      </x:c>
      <x:c r="J122" s="27" t="n">
        <x:v>0</x:v>
      </x:c>
      <x:c r="K122" s="27" t="n">
        <x:v>0</x:v>
      </x:c>
      <x:c r="L122" s="27" t="n">
        <x:v>100</x:v>
      </x:c>
      <x:c r="M122" s="27" t="n">
        <x:v>0</x:v>
      </x:c>
      <x:c r="N122" s="27" t="n">
        <x:v>1491.53</x:v>
      </x:c>
      <x:c r="O122" s="27" t="n">
        <x:v>461.1</x:v>
      </x:c>
      <x:c r="P122" s="27" t="n">
        <x:v>1952.63</x:v>
      </x:c>
      <x:c r="Q122" s="29" t="n">
        <x:f>IFERROR(P122/SUMIFS($P$5:$P$167,$F$5:$F$167,F122,$E$5:$E$167,E122),0)</x:f>
        <x:v>0.04128067489039944</x:v>
      </x:c>
      <x:c r="R122" s="28" t="n">
        <x:v>0</x:v>
      </x:c>
      <x:c r="S122" s="28" t="n">
        <x:v>0</x:v>
      </x:c>
      <x:c r="T122" s="28" t="n">
        <x:v>0</x:v>
      </x:c>
      <x:c r="U122" s="28" t="n">
        <x:v>0</x:v>
      </x:c>
      <x:c r="V122" s="28" t="n">
        <x:v>14197</x:v>
      </x:c>
      <x:c r="W122" s="27" t="n">
        <x:f>IFERROR(P122/T122,0)</x:f>
        <x:v>0</x:v>
      </x:c>
      <x:c r="X122" s="25" t="str">
        <x:v>​120255421074860399</x:v>
      </x:c>
    </x:row>
    <x:row r="123">
      <x:c r="A123" s="25" t="str">
        <x:v>Yerli</x:v>
      </x:c>
      <x:c r="B123" s="25" t="str">
        <x:v>Türkçe</x:v>
      </x:c>
      <x:c r="C123" s="25" t="str">
        <x:v>Bilinirlik / İzlenme / Trafik</x:v>
      </x:c>
      <x:c r="D123" s="25" t="str">
        <x:v>Doktor Kampanyası</x:v>
      </x:c>
      <x:c r="E123" s="25" t="str">
        <x:v>Doruk Hastaneleri - SİNA ÖZEL Sağlık Hizmetleri A.ş</x:v>
      </x:c>
      <x:c r="F123" s="25" t="str">
        <x:v>Doktor - Bilinirlik Kampanyası - Yıldırım</x:v>
      </x:c>
      <x:c r="G123" s="25" t="str">
        <x:v>yıldırım - Muhammet İkbal Güngör</x:v>
      </x:c>
      <x:c r="H123" s="25" t="str">
        <x:v>ACTIVE</x:v>
      </x:c>
      <x:c r="I123" s="25" t="str">
        <x:v>REACH</x:v>
      </x:c>
      <x:c r="J123" s="27" t="n">
        <x:v>0</x:v>
      </x:c>
      <x:c r="K123" s="27" t="n">
        <x:v>0</x:v>
      </x:c>
      <x:c r="L123" s="27" t="n">
        <x:v>100</x:v>
      </x:c>
      <x:c r="M123" s="27" t="n">
        <x:v>0</x:v>
      </x:c>
      <x:c r="N123" s="27" t="n">
        <x:v>559.21</x:v>
      </x:c>
      <x:c r="O123" s="27" t="n">
        <x:v>463.12</x:v>
      </x:c>
      <x:c r="P123" s="27" t="n">
        <x:v>1022.33</x:v>
      </x:c>
      <x:c r="Q123" s="29" t="n">
        <x:f>IFERROR(P123/SUMIFS($P$5:$P$167,$F$5:$F$167,F123,$E$5:$E$167,E123),0)</x:f>
        <x:v>0.021613143483763978</x:v>
      </x:c>
      <x:c r="R123" s="28" t="n">
        <x:v>0</x:v>
      </x:c>
      <x:c r="S123" s="28" t="n">
        <x:v>0</x:v>
      </x:c>
      <x:c r="T123" s="28" t="n">
        <x:v>0</x:v>
      </x:c>
      <x:c r="U123" s="28" t="n">
        <x:v>0</x:v>
      </x:c>
      <x:c r="V123" s="28" t="n">
        <x:v>4106</x:v>
      </x:c>
      <x:c r="W123" s="27" t="n">
        <x:f>IFERROR(P123/T123,0)</x:f>
        <x:v>0</x:v>
      </x:c>
      <x:c r="X123" s="25" t="str">
        <x:v>​120255746618960399</x:v>
      </x:c>
    </x:row>
    <x:row r="124">
      <x:c r="A124" s="25" t="str">
        <x:v>Yerli</x:v>
      </x:c>
      <x:c r="B124" s="25" t="str">
        <x:v>Türkçe</x:v>
      </x:c>
      <x:c r="C124" s="25" t="str">
        <x:v>Bilinirlik / İzlenme / Trafik</x:v>
      </x:c>
      <x:c r="D124" s="25" t="str">
        <x:v>Doktor Kampanyası</x:v>
      </x:c>
      <x:c r="E124" s="25" t="str">
        <x:v>Doruk Hastaneleri - SİNA ÖZEL Sağlık Hizmetleri A.ş</x:v>
      </x:c>
      <x:c r="F124" s="25" t="str">
        <x:v>Doktor - Bilinirlik Kampanyası - Yıldırım</x:v>
      </x:c>
      <x:c r="G124" s="25" t="str">
        <x:v>yıldırım - Mutlu Kılciler</x:v>
      </x:c>
      <x:c r="H124" s="25" t="str">
        <x:v>ACTIVE</x:v>
      </x:c>
      <x:c r="I124" s="25" t="str">
        <x:v>REACH</x:v>
      </x:c>
      <x:c r="J124" s="27" t="n">
        <x:v>0</x:v>
      </x:c>
      <x:c r="K124" s="27" t="n">
        <x:v>0</x:v>
      </x:c>
      <x:c r="L124" s="27" t="n">
        <x:v>100</x:v>
      </x:c>
      <x:c r="M124" s="27" t="n">
        <x:v>0</x:v>
      </x:c>
      <x:c r="N124" s="27" t="n">
        <x:v>1287.68</x:v>
      </x:c>
      <x:c r="O124" s="27" t="n">
        <x:v>447.87</x:v>
      </x:c>
      <x:c r="P124" s="27" t="n">
        <x:v>1735.5500000000002</x:v>
      </x:c>
      <x:c r="Q124" s="29" t="n">
        <x:f>IFERROR(P124/SUMIFS($P$5:$P$167,$F$5:$F$167,F124,$E$5:$E$167,E124),0)</x:f>
        <x:v>0.036691372818215814</x:v>
      </x:c>
      <x:c r="R124" s="28" t="n">
        <x:v>0</x:v>
      </x:c>
      <x:c r="S124" s="28" t="n">
        <x:v>0</x:v>
      </x:c>
      <x:c r="T124" s="28" t="n">
        <x:v>0</x:v>
      </x:c>
      <x:c r="U124" s="28" t="n">
        <x:v>0</x:v>
      </x:c>
      <x:c r="V124" s="28" t="n">
        <x:v>12329</x:v>
      </x:c>
      <x:c r="W124" s="27" t="n">
        <x:f>IFERROR(P124/T124,0)</x:f>
        <x:v>0</x:v>
      </x:c>
      <x:c r="X124" s="25" t="str">
        <x:v>​120255506783390399</x:v>
      </x:c>
    </x:row>
    <x:row r="125">
      <x:c r="A125" s="25" t="str">
        <x:v>Yerli</x:v>
      </x:c>
      <x:c r="B125" s="25" t="str">
        <x:v>Türkçe</x:v>
      </x:c>
      <x:c r="C125" s="25" t="str">
        <x:v>Bilinirlik / İzlenme / Trafik</x:v>
      </x:c>
      <x:c r="D125" s="25" t="str">
        <x:v>Doktor Kampanyası</x:v>
      </x:c>
      <x:c r="E125" s="25" t="str">
        <x:v>Doruk Hastaneleri - SİNA ÖZEL Sağlık Hizmetleri A.ş</x:v>
      </x:c>
      <x:c r="F125" s="25" t="str">
        <x:v>Doktor - Bilinirlik Kampanyası - Yıldırım</x:v>
      </x:c>
      <x:c r="G125" s="25" t="str">
        <x:v>yıldırım - Nuran Celiloğlu</x:v>
      </x:c>
      <x:c r="H125" s="25" t="str">
        <x:v>ACTIVE</x:v>
      </x:c>
      <x:c r="I125" s="25" t="str">
        <x:v>REACH</x:v>
      </x:c>
      <x:c r="J125" s="27" t="n">
        <x:v>0</x:v>
      </x:c>
      <x:c r="K125" s="27" t="n">
        <x:v>0</x:v>
      </x:c>
      <x:c r="L125" s="27" t="n">
        <x:v>100</x:v>
      </x:c>
      <x:c r="M125" s="27" t="n">
        <x:v>0</x:v>
      </x:c>
      <x:c r="N125" s="27" t="n">
        <x:v>1252.54</x:v>
      </x:c>
      <x:c r="O125" s="27" t="n">
        <x:v>442.41</x:v>
      </x:c>
      <x:c r="P125" s="27" t="n">
        <x:v>1694.95</x:v>
      </x:c>
      <x:c r="Q125" s="29" t="n">
        <x:f>IFERROR(P125/SUMIFS($P$5:$P$167,$F$5:$F$167,F125,$E$5:$E$167,E125),0)</x:f>
        <x:v>0.035833045638693724</x:v>
      </x:c>
      <x:c r="R125" s="28" t="n">
        <x:v>0</x:v>
      </x:c>
      <x:c r="S125" s="28" t="n">
        <x:v>0</x:v>
      </x:c>
      <x:c r="T125" s="28" t="n">
        <x:v>0</x:v>
      </x:c>
      <x:c r="U125" s="28" t="n">
        <x:v>1</x:v>
      </x:c>
      <x:c r="V125" s="28" t="n">
        <x:v>18074</x:v>
      </x:c>
      <x:c r="W125" s="27" t="n">
        <x:f>IFERROR(P125/T125,0)</x:f>
        <x:v>0</x:v>
      </x:c>
      <x:c r="X125" s="25" t="str">
        <x:v>​120255506920550399</x:v>
      </x:c>
    </x:row>
    <x:row r="126">
      <x:c r="A126" s="25" t="str">
        <x:v>Yerli</x:v>
      </x:c>
      <x:c r="B126" s="25" t="str">
        <x:v>Türkçe</x:v>
      </x:c>
      <x:c r="C126" s="25" t="str">
        <x:v>Bilinirlik / İzlenme / Trafik</x:v>
      </x:c>
      <x:c r="D126" s="25" t="str">
        <x:v>Doktor Kampanyası</x:v>
      </x:c>
      <x:c r="E126" s="25" t="str">
        <x:v>Doruk Hastaneleri - SİNA ÖZEL Sağlık Hizmetleri A.ş</x:v>
      </x:c>
      <x:c r="F126" s="25" t="str">
        <x:v>Doktor - Bilinirlik Kampanyası - Yıldırım</x:v>
      </x:c>
      <x:c r="G126" s="25" t="str">
        <x:v>yıldırım - Nurlana İbrahimova</x:v>
      </x:c>
      <x:c r="H126" s="25" t="str">
        <x:v>ACTIVE</x:v>
      </x:c>
      <x:c r="I126" s="25" t="str">
        <x:v>REACH</x:v>
      </x:c>
      <x:c r="J126" s="27" t="n">
        <x:v>0</x:v>
      </x:c>
      <x:c r="K126" s="27" t="n">
        <x:v>0</x:v>
      </x:c>
      <x:c r="L126" s="27" t="n">
        <x:v>100</x:v>
      </x:c>
      <x:c r="M126" s="27" t="n">
        <x:v>0</x:v>
      </x:c>
      <x:c r="N126" s="27" t="n">
        <x:v>1284.44</x:v>
      </x:c>
      <x:c r="O126" s="27" t="n">
        <x:v>461.7</x:v>
      </x:c>
      <x:c r="P126" s="27" t="n">
        <x:v>1746.14</x:v>
      </x:c>
      <x:c r="Q126" s="29" t="n">
        <x:f>IFERROR(P126/SUMIFS($P$5:$P$167,$F$5:$F$167,F126,$E$5:$E$167,E126),0)</x:f>
        <x:v>0.03691525668105175</x:v>
      </x:c>
      <x:c r="R126" s="28" t="n">
        <x:v>0</x:v>
      </x:c>
      <x:c r="S126" s="28" t="n">
        <x:v>0</x:v>
      </x:c>
      <x:c r="T126" s="28" t="n">
        <x:v>0</x:v>
      </x:c>
      <x:c r="U126" s="28" t="n">
        <x:v>0</x:v>
      </x:c>
      <x:c r="V126" s="28" t="n">
        <x:v>12333</x:v>
      </x:c>
      <x:c r="W126" s="27" t="n">
        <x:f>IFERROR(P126/T126,0)</x:f>
        <x:v>0</x:v>
      </x:c>
      <x:c r="X126" s="25" t="str">
        <x:v>​120255506254670399</x:v>
      </x:c>
    </x:row>
    <x:row r="127">
      <x:c r="A127" s="25" t="str">
        <x:v>Yerli</x:v>
      </x:c>
      <x:c r="B127" s="25" t="str">
        <x:v>Türkçe</x:v>
      </x:c>
      <x:c r="C127" s="25" t="str">
        <x:v>Bilinirlik / İzlenme / Trafik</x:v>
      </x:c>
      <x:c r="D127" s="25" t="str">
        <x:v>Doktor Kampanyası</x:v>
      </x:c>
      <x:c r="E127" s="25" t="str">
        <x:v>Doruk Hastaneleri - SİNA ÖZEL Sağlık Hizmetleri A.ş</x:v>
      </x:c>
      <x:c r="F127" s="25" t="str">
        <x:v>Doktor - Bilinirlik Kampanyası - Yıldırım</x:v>
      </x:c>
      <x:c r="G127" s="25" t="str">
        <x:v>yıldırım - Ömer Aydın</x:v>
      </x:c>
      <x:c r="H127" s="25" t="str">
        <x:v>ACTIVE</x:v>
      </x:c>
      <x:c r="I127" s="25" t="str">
        <x:v>REACH</x:v>
      </x:c>
      <x:c r="J127" s="27" t="n">
        <x:v>0</x:v>
      </x:c>
      <x:c r="K127" s="27" t="n">
        <x:v>0</x:v>
      </x:c>
      <x:c r="L127" s="27" t="n">
        <x:v>100</x:v>
      </x:c>
      <x:c r="M127" s="27" t="n">
        <x:v>0</x:v>
      </x:c>
      <x:c r="N127" s="27" t="n">
        <x:v>568.05</x:v>
      </x:c>
      <x:c r="O127" s="27" t="n">
        <x:v>461.78</x:v>
      </x:c>
      <x:c r="P127" s="27" t="n">
        <x:v>1029.83</x:v>
      </x:c>
      <x:c r="Q127" s="29" t="n">
        <x:f>IFERROR(P127/SUMIFS($P$5:$P$167,$F$5:$F$167,F127,$E$5:$E$167,E127),0)</x:f>
        <x:v>0.02177170146027668</x:v>
      </x:c>
      <x:c r="R127" s="28" t="n">
        <x:v>0</x:v>
      </x:c>
      <x:c r="S127" s="28" t="n">
        <x:v>0</x:v>
      </x:c>
      <x:c r="T127" s="28" t="n">
        <x:v>0</x:v>
      </x:c>
      <x:c r="U127" s="28" t="n">
        <x:v>0</x:v>
      </x:c>
      <x:c r="V127" s="28" t="n">
        <x:v>5014</x:v>
      </x:c>
      <x:c r="W127" s="27" t="n">
        <x:f>IFERROR(P127/T127,0)</x:f>
        <x:v>0</x:v>
      </x:c>
      <x:c r="X127" s="25" t="str">
        <x:v>​120255746600700399</x:v>
      </x:c>
    </x:row>
    <x:row r="128">
      <x:c r="A128" s="25" t="str">
        <x:v>Yerli</x:v>
      </x:c>
      <x:c r="B128" s="25" t="str">
        <x:v>Türkçe</x:v>
      </x:c>
      <x:c r="C128" s="25" t="str">
        <x:v>Bilinirlik / İzlenme / Trafik</x:v>
      </x:c>
      <x:c r="D128" s="25" t="str">
        <x:v>Doktor Kampanyası</x:v>
      </x:c>
      <x:c r="E128" s="25" t="str">
        <x:v>Doruk Hastaneleri - SİNA ÖZEL Sağlık Hizmetleri A.ş</x:v>
      </x:c>
      <x:c r="F128" s="25" t="str">
        <x:v>Doktor - Bilinirlik Kampanyası - Yıldırım</x:v>
      </x:c>
      <x:c r="G128" s="25" t="str">
        <x:v>yıldırım - Ömer Duyuran</x:v>
      </x:c>
      <x:c r="H128" s="25" t="str">
        <x:v>ACTIVE</x:v>
      </x:c>
      <x:c r="I128" s="25" t="str">
        <x:v>REACH</x:v>
      </x:c>
      <x:c r="J128" s="27" t="n">
        <x:v>0</x:v>
      </x:c>
      <x:c r="K128" s="27" t="n">
        <x:v>0</x:v>
      </x:c>
      <x:c r="L128" s="27" t="n">
        <x:v>100</x:v>
      </x:c>
      <x:c r="M128" s="27" t="n">
        <x:v>0</x:v>
      </x:c>
      <x:c r="N128" s="27" t="n">
        <x:v>1536.47</x:v>
      </x:c>
      <x:c r="O128" s="27" t="n">
        <x:v>458.52</x:v>
      </x:c>
      <x:c r="P128" s="27" t="n">
        <x:v>1994.99</x:v>
      </x:c>
      <x:c r="Q128" s="29" t="n">
        <x:f>IFERROR(P128/SUMIFS($P$5:$P$167,$F$5:$F$167,F128,$E$5:$E$167,E128),0)</x:f>
        <x:v>0.042176210341743174</x:v>
      </x:c>
      <x:c r="R128" s="28" t="n">
        <x:v>0</x:v>
      </x:c>
      <x:c r="S128" s="28" t="n">
        <x:v>0</x:v>
      </x:c>
      <x:c r="T128" s="28" t="n">
        <x:v>0</x:v>
      </x:c>
      <x:c r="U128" s="28" t="n">
        <x:v>0</x:v>
      </x:c>
      <x:c r="V128" s="28" t="n">
        <x:v>9265</x:v>
      </x:c>
      <x:c r="W128" s="27" t="n">
        <x:f>IFERROR(P128/T128,0)</x:f>
        <x:v>0</x:v>
      </x:c>
      <x:c r="X128" s="25" t="str">
        <x:v>​120255420974610399</x:v>
      </x:c>
    </x:row>
    <x:row r="129">
      <x:c r="A129" s="25" t="str">
        <x:v>Yerli</x:v>
      </x:c>
      <x:c r="B129" s="25" t="str">
        <x:v>Türkçe</x:v>
      </x:c>
      <x:c r="C129" s="25" t="str">
        <x:v>Bilinirlik / İzlenme / Trafik</x:v>
      </x:c>
      <x:c r="D129" s="25" t="str">
        <x:v>Doktor Kampanyası</x:v>
      </x:c>
      <x:c r="E129" s="25" t="str">
        <x:v>Doruk Hastaneleri - SİNA ÖZEL Sağlık Hizmetleri A.ş</x:v>
      </x:c>
      <x:c r="F129" s="25" t="str">
        <x:v>Doktor - Bilinirlik Kampanyası - Yıldırım</x:v>
      </x:c>
      <x:c r="G129" s="25" t="str">
        <x:v>yıldırım - Özge Gürbüz</x:v>
      </x:c>
      <x:c r="H129" s="25" t="str">
        <x:v>ACTIVE</x:v>
      </x:c>
      <x:c r="I129" s="25" t="str">
        <x:v>REACH</x:v>
      </x:c>
      <x:c r="J129" s="27" t="n">
        <x:v>0</x:v>
      </x:c>
      <x:c r="K129" s="27" t="n">
        <x:v>0</x:v>
      </x:c>
      <x:c r="L129" s="27" t="n">
        <x:v>100</x:v>
      </x:c>
      <x:c r="M129" s="27" t="n">
        <x:v>0</x:v>
      </x:c>
      <x:c r="N129" s="27" t="n">
        <x:v>1280.1</x:v>
      </x:c>
      <x:c r="O129" s="27" t="n">
        <x:v>456.59</x:v>
      </x:c>
      <x:c r="P129" s="27" t="n">
        <x:v>1736.6899999999998</x:v>
      </x:c>
      <x:c r="Q129" s="29" t="n">
        <x:f>IFERROR(P129/SUMIFS($P$5:$P$167,$F$5:$F$167,F129,$E$5:$E$167,E129),0)</x:f>
        <x:v>0.03671547363064574</x:v>
      </x:c>
      <x:c r="R129" s="28" t="n">
        <x:v>0</x:v>
      </x:c>
      <x:c r="S129" s="28" t="n">
        <x:v>0</x:v>
      </x:c>
      <x:c r="T129" s="28" t="n">
        <x:v>0</x:v>
      </x:c>
      <x:c r="U129" s="28" t="n">
        <x:v>0</x:v>
      </x:c>
      <x:c r="V129" s="28" t="n">
        <x:v>9653</x:v>
      </x:c>
      <x:c r="W129" s="27" t="n">
        <x:f>IFERROR(P129/T129,0)</x:f>
        <x:v>0</x:v>
      </x:c>
      <x:c r="X129" s="25" t="str">
        <x:v>​120255506866590399</x:v>
      </x:c>
    </x:row>
    <x:row r="130">
      <x:c r="A130" s="25" t="str">
        <x:v>Yerli</x:v>
      </x:c>
      <x:c r="B130" s="25" t="str">
        <x:v>Türkçe</x:v>
      </x:c>
      <x:c r="C130" s="25" t="str">
        <x:v>Bilinirlik / İzlenme / Trafik</x:v>
      </x:c>
      <x:c r="D130" s="25" t="str">
        <x:v>Doktor Kampanyası</x:v>
      </x:c>
      <x:c r="E130" s="25" t="str">
        <x:v>Doruk Hastaneleri - SİNA ÖZEL Sağlık Hizmetleri A.ş</x:v>
      </x:c>
      <x:c r="F130" s="25" t="str">
        <x:v>Doktor - Bilinirlik Kampanyası - Yıldırım</x:v>
      </x:c>
      <x:c r="G130" s="25" t="str">
        <x:v>yıldırım - Özgür Ulaş Özdoğan</x:v>
      </x:c>
      <x:c r="H130" s="25" t="str">
        <x:v>ACTIVE</x:v>
      </x:c>
      <x:c r="I130" s="25" t="str">
        <x:v>REACH</x:v>
      </x:c>
      <x:c r="J130" s="27" t="n">
        <x:v>0</x:v>
      </x:c>
      <x:c r="K130" s="27" t="n">
        <x:v>0</x:v>
      </x:c>
      <x:c r="L130" s="27" t="n">
        <x:v>100</x:v>
      </x:c>
      <x:c r="M130" s="27" t="n">
        <x:v>0</x:v>
      </x:c>
      <x:c r="N130" s="27" t="n">
        <x:v>1288.38</x:v>
      </x:c>
      <x:c r="O130" s="27" t="n">
        <x:v>447.59</x:v>
      </x:c>
      <x:c r="P130" s="27" t="n">
        <x:v>1735.97</x:v>
      </x:c>
      <x:c r="Q130" s="29" t="n">
        <x:f>IFERROR(P130/SUMIFS($P$5:$P$167,$F$5:$F$167,F130,$E$5:$E$167,E130),0)</x:f>
        <x:v>0.036700252064900525</x:v>
      </x:c>
      <x:c r="R130" s="28" t="n">
        <x:v>0</x:v>
      </x:c>
      <x:c r="S130" s="28" t="n">
        <x:v>0</x:v>
      </x:c>
      <x:c r="T130" s="28" t="n">
        <x:v>0</x:v>
      </x:c>
      <x:c r="U130" s="28" t="n">
        <x:v>0</x:v>
      </x:c>
      <x:c r="V130" s="28" t="n">
        <x:v>9735</x:v>
      </x:c>
      <x:c r="W130" s="27" t="n">
        <x:f>IFERROR(P130/T130,0)</x:f>
        <x:v>0</x:v>
      </x:c>
      <x:c r="X130" s="25" t="str">
        <x:v>​120255506982060399</x:v>
      </x:c>
    </x:row>
    <x:row r="131">
      <x:c r="A131" s="25" t="str">
        <x:v>Yerli</x:v>
      </x:c>
      <x:c r="B131" s="25" t="str">
        <x:v>Türkçe</x:v>
      </x:c>
      <x:c r="C131" s="25" t="str">
        <x:v>Bilinirlik / İzlenme / Trafik</x:v>
      </x:c>
      <x:c r="D131" s="25" t="str">
        <x:v>Doktor Kampanyası</x:v>
      </x:c>
      <x:c r="E131" s="25" t="str">
        <x:v>Doruk Hastaneleri - SİNA ÖZEL Sağlık Hizmetleri A.ş</x:v>
      </x:c>
      <x:c r="F131" s="25" t="str">
        <x:v>Doktor - Bilinirlik Kampanyası - Yıldırım</x:v>
      </x:c>
      <x:c r="G131" s="25" t="str">
        <x:v>yıldırım - Tunç Polat Edizsoy</x:v>
      </x:c>
      <x:c r="H131" s="25" t="str">
        <x:v>ACTIVE</x:v>
      </x:c>
      <x:c r="I131" s="25" t="str">
        <x:v>REACH</x:v>
      </x:c>
      <x:c r="J131" s="27" t="n">
        <x:v>0</x:v>
      </x:c>
      <x:c r="K131" s="27" t="n">
        <x:v>0</x:v>
      </x:c>
      <x:c r="L131" s="27" t="n">
        <x:v>100</x:v>
      </x:c>
      <x:c r="M131" s="27" t="n">
        <x:v>0</x:v>
      </x:c>
      <x:c r="N131" s="27" t="n">
        <x:v>1295.82</x:v>
      </x:c>
      <x:c r="O131" s="27" t="n">
        <x:v>457.68</x:v>
      </x:c>
      <x:c r="P131" s="27" t="n">
        <x:v>1753.5</x:v>
      </x:c>
      <x:c r="Q131" s="29" t="n">
        <x:f>IFERROR(P131/SUMIFS($P$5:$P$167,$F$5:$F$167,F131,$E$5:$E$167,E131),0)</x:f>
        <x:v>0.03707085490866954</x:v>
      </x:c>
      <x:c r="R131" s="28" t="n">
        <x:v>0</x:v>
      </x:c>
      <x:c r="S131" s="28" t="n">
        <x:v>0</x:v>
      </x:c>
      <x:c r="T131" s="28" t="n">
        <x:v>0</x:v>
      </x:c>
      <x:c r="U131" s="28" t="n">
        <x:v>0</x:v>
      </x:c>
      <x:c r="V131" s="28" t="n">
        <x:v>9688</x:v>
      </x:c>
      <x:c r="W131" s="27" t="n">
        <x:f>IFERROR(P131/T131,0)</x:f>
        <x:v>0</x:v>
      </x:c>
      <x:c r="X131" s="25" t="str">
        <x:v>​120255507135650399</x:v>
      </x:c>
    </x:row>
    <x:row r="132">
      <x:c r="A132" s="25" t="str">
        <x:v>Yerli</x:v>
      </x:c>
      <x:c r="B132" s="25" t="str">
        <x:v>Türkçe</x:v>
      </x:c>
      <x:c r="C132" s="25" t="str">
        <x:v>Bilinirlik / İzlenme / Trafik</x:v>
      </x:c>
      <x:c r="D132" s="25" t="str">
        <x:v>Doktor Kampanyası</x:v>
      </x:c>
      <x:c r="E132" s="25" t="str">
        <x:v>Doruk Hastaneleri - SİNA ÖZEL Sağlık Hizmetleri A.ş</x:v>
      </x:c>
      <x:c r="F132" s="25" t="str">
        <x:v>Doktor - Bilinirlik Kampanyası - Yıldırım</x:v>
      </x:c>
      <x:c r="G132" s="25" t="str">
        <x:v>yıldırım - Ünal Uluca</x:v>
      </x:c>
      <x:c r="H132" s="25" t="str">
        <x:v>ACTIVE</x:v>
      </x:c>
      <x:c r="I132" s="25" t="str">
        <x:v>REACH</x:v>
      </x:c>
      <x:c r="J132" s="27" t="n">
        <x:v>0</x:v>
      </x:c>
      <x:c r="K132" s="27" t="n">
        <x:v>0</x:v>
      </x:c>
      <x:c r="L132" s="27" t="n">
        <x:v>100</x:v>
      </x:c>
      <x:c r="M132" s="27" t="n">
        <x:v>0</x:v>
      </x:c>
      <x:c r="N132" s="27" t="n">
        <x:v>1504.34</x:v>
      </x:c>
      <x:c r="O132" s="27" t="n">
        <x:v>484.27</x:v>
      </x:c>
      <x:c r="P132" s="27" t="n">
        <x:v>1988.61</x:v>
      </x:c>
      <x:c r="Q132" s="29" t="n">
        <x:f>IFERROR(P132/SUMIFS($P$5:$P$167,$F$5:$F$167,F132,$E$5:$E$167,E132),0)</x:f>
        <x:v>0.0420413303563897</x:v>
      </x:c>
      <x:c r="R132" s="28" t="n">
        <x:v>0</x:v>
      </x:c>
      <x:c r="S132" s="28" t="n">
        <x:v>0</x:v>
      </x:c>
      <x:c r="T132" s="28" t="n">
        <x:v>0</x:v>
      </x:c>
      <x:c r="U132" s="28" t="n">
        <x:v>0</x:v>
      </x:c>
      <x:c r="V132" s="28" t="n">
        <x:v>9444</x:v>
      </x:c>
      <x:c r="W132" s="27" t="n">
        <x:f>IFERROR(P132/T132,0)</x:f>
        <x:v>0</x:v>
      </x:c>
      <x:c r="X132" s="25" t="str">
        <x:v>​120255421046410399</x:v>
      </x:c>
    </x:row>
    <x:row r="133">
      <x:c r="A133" s="25" t="str">
        <x:v>Yerli</x:v>
      </x:c>
      <x:c r="B133" s="25" t="str">
        <x:v>Türkçe</x:v>
      </x:c>
      <x:c r="C133" s="25" t="str">
        <x:v>Bilinirlik / İzlenme / Trafik</x:v>
      </x:c>
      <x:c r="D133" s="25" t="str">
        <x:v>Doktor Kampanyası</x:v>
      </x:c>
      <x:c r="E133" s="25" t="str">
        <x:v>Doruk Hastaneleri - SİNA ÖZEL Sağlık Hizmetleri A.ş</x:v>
      </x:c>
      <x:c r="F133" s="25" t="str">
        <x:v>Doktor - Bilinirlik Kampanyası - Yıldırım</x:v>
      </x:c>
      <x:c r="G133" s="25" t="str">
        <x:v>yıldırım - Yusuf Karabulut</x:v>
      </x:c>
      <x:c r="H133" s="25" t="str">
        <x:v>ACTIVE</x:v>
      </x:c>
      <x:c r="I133" s="25" t="str">
        <x:v>REACH</x:v>
      </x:c>
      <x:c r="J133" s="27" t="n">
        <x:v>0</x:v>
      </x:c>
      <x:c r="K133" s="27" t="n">
        <x:v>0</x:v>
      </x:c>
      <x:c r="L133" s="27" t="n">
        <x:v>100</x:v>
      </x:c>
      <x:c r="M133" s="27" t="n">
        <x:v>0</x:v>
      </x:c>
      <x:c r="N133" s="27" t="n">
        <x:v>556.37</x:v>
      </x:c>
      <x:c r="O133" s="27" t="n">
        <x:v>466.06</x:v>
      </x:c>
      <x:c r="P133" s="27" t="n">
        <x:v>1022.4300000000001</x:v>
      </x:c>
      <x:c r="Q133" s="29" t="n">
        <x:f>IFERROR(P133/SUMIFS($P$5:$P$167,$F$5:$F$167,F133,$E$5:$E$167,E133),0)</x:f>
        <x:v>0.02161525759011748</x:v>
      </x:c>
      <x:c r="R133" s="28" t="n">
        <x:v>0</x:v>
      </x:c>
      <x:c r="S133" s="28" t="n">
        <x:v>0</x:v>
      </x:c>
      <x:c r="T133" s="28" t="n">
        <x:v>0</x:v>
      </x:c>
      <x:c r="U133" s="28" t="n">
        <x:v>0</x:v>
      </x:c>
      <x:c r="V133" s="28" t="n">
        <x:v>3813</x:v>
      </x:c>
      <x:c r="W133" s="27" t="n">
        <x:f>IFERROR(P133/T133,0)</x:f>
        <x:v>0</x:v>
      </x:c>
      <x:c r="X133" s="25" t="str">
        <x:v>​120255746465770399</x:v>
      </x:c>
    </x:row>
    <x:row r="134">
      <x:c r="A134" s="25" t="str">
        <x:v>Yerli</x:v>
      </x:c>
      <x:c r="B134" s="25" t="str">
        <x:v>Türkçe</x:v>
      </x:c>
      <x:c r="C134" s="25" t="str">
        <x:v>Bilinirlik / İzlenme / Trafik</x:v>
      </x:c>
      <x:c r="D134" s="25" t="str">
        <x:v>Doktor Kampanyası</x:v>
      </x:c>
      <x:c r="E134" s="25" t="str">
        <x:v>Doruk Hastaneleri - SİNA ÖZEL Sağlık Hizmetleri A.ş</x:v>
      </x:c>
      <x:c r="F134" s="25" t="str">
        <x:v>Doktor - Bilinirlik Kampanyası - Yıldırım</x:v>
      </x:c>
      <x:c r="G134" s="25" t="str">
        <x:v>yıldırım - Zeynep Sayar</x:v>
      </x:c>
      <x:c r="H134" s="25" t="str">
        <x:v>ACTIVE</x:v>
      </x:c>
      <x:c r="I134" s="25" t="str">
        <x:v>REACH</x:v>
      </x:c>
      <x:c r="J134" s="27" t="n">
        <x:v>0</x:v>
      </x:c>
      <x:c r="K134" s="27" t="n">
        <x:v>0</x:v>
      </x:c>
      <x:c r="L134" s="27" t="n">
        <x:v>100</x:v>
      </x:c>
      <x:c r="M134" s="27" t="n">
        <x:v>0</x:v>
      </x:c>
      <x:c r="N134" s="27" t="n">
        <x:v>1265.95</x:v>
      </x:c>
      <x:c r="O134" s="27" t="n">
        <x:v>458.29</x:v>
      </x:c>
      <x:c r="P134" s="27" t="n">
        <x:v>1724.24</x:v>
      </x:c>
      <x:c r="Q134" s="29" t="n">
        <x:f>IFERROR(P134/SUMIFS($P$5:$P$167,$F$5:$F$167,F134,$E$5:$E$167,E134),0)</x:f>
        <x:v>0.03645226738963466</x:v>
      </x:c>
      <x:c r="R134" s="28" t="n">
        <x:v>0</x:v>
      </x:c>
      <x:c r="S134" s="28" t="n">
        <x:v>0</x:v>
      </x:c>
      <x:c r="T134" s="28" t="n">
        <x:v>0</x:v>
      </x:c>
      <x:c r="U134" s="28" t="n">
        <x:v>0</x:v>
      </x:c>
      <x:c r="V134" s="28" t="n">
        <x:v>9683</x:v>
      </x:c>
      <x:c r="W134" s="27" t="n">
        <x:f>IFERROR(P134/T134,0)</x:f>
        <x:v>0</x:v>
      </x:c>
      <x:c r="X134" s="25" t="str">
        <x:v>​120255507076930399</x:v>
      </x:c>
    </x:row>
    <x:row r="135">
      <x:c r="A135" s="25" t="str">
        <x:v>Yerli</x:v>
      </x:c>
      <x:c r="B135" s="25" t="str">
        <x:v>Türkçe</x:v>
      </x:c>
      <x:c r="C135" s="25" t="str">
        <x:v>Bilinirlik / İzlenme / Trafik</x:v>
      </x:c>
      <x:c r="D135" s="25" t="str">
        <x:v>Marka / Kurumsal</x:v>
      </x:c>
      <x:c r="E135" s="25" t="str">
        <x:v>Doruk Hastaneleri - SİNA ÖZEL Sağlık Hizmetleri A.ş</x:v>
      </x:c>
      <x:c r="F135" s="25" t="str">
        <x:v>ÖSS-TSS - marka bilinirliği</x:v>
      </x:c>
      <x:c r="G135" s="25" t="str">
        <x:v>ÖSS-TSS - genel kitle - bilinirlik - Kopya</x:v>
      </x:c>
      <x:c r="H135" s="25" t="str">
        <x:v>ACTIVE</x:v>
      </x:c>
      <x:c r="I135" s="25" t="str">
        <x:v>REACH</x:v>
      </x:c>
      <x:c r="J135" s="27" t="n">
        <x:v>0</x:v>
      </x:c>
      <x:c r="K135" s="27" t="n">
        <x:v>0</x:v>
      </x:c>
      <x:c r="L135" s="27" t="n">
        <x:v>1000</x:v>
      </x:c>
      <x:c r="M135" s="27" t="n">
        <x:v>0</x:v>
      </x:c>
      <x:c r="N135" s="27" t="n">
        <x:v>22697.97</x:v>
      </x:c>
      <x:c r="O135" s="27" t="n">
        <x:v>4955.29</x:v>
      </x:c>
      <x:c r="P135" s="27" t="n">
        <x:v>27653.260000000002</x:v>
      </x:c>
      <x:c r="Q135" s="29" t="n">
        <x:f>IFERROR(P135/SUMIFS($P$5:$P$167,$F$5:$F$167,F135,$E$5:$E$167,E135),0)</x:f>
        <x:v>0.5225858999701415</x:v>
      </x:c>
      <x:c r="R135" s="28" t="n">
        <x:v>0</x:v>
      </x:c>
      <x:c r="S135" s="28" t="n">
        <x:v>0</x:v>
      </x:c>
      <x:c r="T135" s="28" t="n">
        <x:v>0</x:v>
      </x:c>
      <x:c r="U135" s="28" t="n">
        <x:v>5</x:v>
      </x:c>
      <x:c r="V135" s="28" t="n">
        <x:v>142140</x:v>
      </x:c>
      <x:c r="W135" s="27" t="n">
        <x:f>IFERROR(P135/T135,0)</x:f>
        <x:v>0</x:v>
      </x:c>
      <x:c r="X135" s="25" t="str">
        <x:v>​120247116824090399</x:v>
      </x:c>
    </x:row>
    <x:row r="136">
      <x:c r="A136" s="25" t="str">
        <x:v>Yerli</x:v>
      </x:c>
      <x:c r="B136" s="25" t="str">
        <x:v>Türkçe</x:v>
      </x:c>
      <x:c r="C136" s="25" t="str">
        <x:v>Bilinirlik / İzlenme / Trafik</x:v>
      </x:c>
      <x:c r="D136" s="25" t="str">
        <x:v>Marka / Kurumsal</x:v>
      </x:c>
      <x:c r="E136" s="25" t="str">
        <x:v>Doruk Hastaneleri - SİNA ÖZEL Sağlık Hizmetleri A.ş</x:v>
      </x:c>
      <x:c r="F136" s="25" t="str">
        <x:v>ÖSS-TSS - marka bilinirliği</x:v>
      </x:c>
      <x:c r="G136" s="25" t="str">
        <x:v>ÖSS-TSS - özel kitle - bilinirlik - tss hedef kitle - Kopya</x:v>
      </x:c>
      <x:c r="H136" s="25" t="str">
        <x:v>ACTIVE</x:v>
      </x:c>
      <x:c r="I136" s="25" t="str">
        <x:v>REACH</x:v>
      </x:c>
      <x:c r="J136" s="27" t="n">
        <x:v>0</x:v>
      </x:c>
      <x:c r="K136" s="27" t="n">
        <x:v>0</x:v>
      </x:c>
      <x:c r="L136" s="27" t="n">
        <x:v>1000</x:v>
      </x:c>
      <x:c r="M136" s="27" t="n">
        <x:v>0</x:v>
      </x:c>
      <x:c r="N136" s="27" t="n">
        <x:v>20527.75</x:v>
      </x:c>
      <x:c r="O136" s="27" t="n">
        <x:v>4735.19</x:v>
      </x:c>
      <x:c r="P136" s="27" t="n">
        <x:v>25262.94</x:v>
      </x:c>
      <x:c r="Q136" s="29" t="n">
        <x:f>IFERROR(P136/SUMIFS($P$5:$P$167,$F$5:$F$167,F136,$E$5:$E$167,E136),0)</x:f>
        <x:v>0.4774141000298585</x:v>
      </x:c>
      <x:c r="R136" s="28" t="n">
        <x:v>0</x:v>
      </x:c>
      <x:c r="S136" s="28" t="n">
        <x:v>0</x:v>
      </x:c>
      <x:c r="T136" s="28" t="n">
        <x:v>0</x:v>
      </x:c>
      <x:c r="U136" s="28" t="n">
        <x:v>8</x:v>
      </x:c>
      <x:c r="V136" s="28" t="n">
        <x:v>48734</x:v>
      </x:c>
      <x:c r="W136" s="27" t="n">
        <x:f>IFERROR(P136/T136,0)</x:f>
        <x:v>0</x:v>
      </x:c>
      <x:c r="X136" s="25" t="str">
        <x:v>​120247116843900399</x:v>
      </x:c>
    </x:row>
    <x:row r="137">
      <x:c r="A137" s="25" t="str">
        <x:v>Yerli</x:v>
      </x:c>
      <x:c r="B137" s="25" t="str">
        <x:v>Türkçe</x:v>
      </x:c>
      <x:c r="C137" s="25" t="str">
        <x:v>Bilinirlik / İzlenme / Trafik</x:v>
      </x:c>
      <x:c r="D137" s="25" t="str">
        <x:v>Medikal Estetik / Plastik Cerrahi</x:v>
      </x:c>
      <x:c r="E137" s="25" t="str">
        <x:v>Doruk Hastaneleri - SİNA ÖZEL Sağlık Hizmetleri A.ş</x:v>
      </x:c>
      <x:c r="F137" s="25" t="str">
        <x:v>Gönderi: "👃 Rinoplasti Ameliyatı Nedir? Yumuşak Doku Neden..."</x:v>
      </x:c>
      <x:c r="G137" s="25" t="str">
        <x:v>Gönderi: "👃 Rinoplasti Ameliyatı Nedir? Yumuşak Doku Neden..."</x:v>
      </x:c>
      <x:c r="H137" s="25" t="str">
        <x:v>ACTIVE</x:v>
      </x:c>
      <x:c r="I137" s="25" t="str">
        <x:v>PROFILE_AND_PAGE_ENGAGEMENT</x:v>
      </x:c>
      <x:c r="J137" s="27" t="n">
        <x:v>1000</x:v>
      </x:c>
      <x:c r="K137" s="27" t="n">
        <x:v>0</x:v>
      </x:c>
      <x:c r="L137" s="27" t="n">
        <x:v>0</x:v>
      </x:c>
      <x:c r="M137" s="27" t="n">
        <x:v>0</x:v>
      </x:c>
      <x:c r="N137" s="27" t="n">
        <x:v>5763.11</x:v>
      </x:c>
      <x:c r="O137" s="27" t="n">
        <x:v>4871.13</x:v>
      </x:c>
      <x:c r="P137" s="27" t="n">
        <x:v>10634.24</x:v>
      </x:c>
      <x:c r="Q137" s="29" t="n">
        <x:f>IFERROR(P137/SUMIFS($P$5:$P$167,$F$5:$F$167,F137,$E$5:$E$167,E137),0)</x:f>
        <x:v>1</x:v>
      </x:c>
      <x:c r="R137" s="28" t="n">
        <x:v>0</x:v>
      </x:c>
      <x:c r="S137" s="28" t="n">
        <x:v>0</x:v>
      </x:c>
      <x:c r="T137" s="28" t="n">
        <x:v>0</x:v>
      </x:c>
      <x:c r="U137" s="28" t="n">
        <x:v>5</x:v>
      </x:c>
      <x:c r="V137" s="28" t="n">
        <x:v>47872</x:v>
      </x:c>
      <x:c r="W137" s="27" t="n">
        <x:f>IFERROR(P137/T137,0)</x:f>
        <x:v>0</x:v>
      </x:c>
      <x:c r="X137" s="25" t="str">
        <x:v>​120255739081510399</x:v>
      </x:c>
    </x:row>
    <x:row r="138">
      <x:c r="A138" s="25" t="str">
        <x:v>Yerli</x:v>
      </x:c>
      <x:c r="B138" s="25" t="str">
        <x:v>Türkçe</x:v>
      </x:c>
      <x:c r="C138" s="25" t="str">
        <x:v>Bilinirlik / İzlenme / Trafik</x:v>
      </x:c>
      <x:c r="D138" s="25" t="str">
        <x:v>Medikal Estetik / Plastik Cerrahi</x:v>
      </x:c>
      <x:c r="E138" s="25" t="str">
        <x:v>Doruk Hastaneleri - SİNA ÖZEL Sağlık Hizmetleri A.ş</x:v>
      </x:c>
      <x:c r="F138" s="25" t="str">
        <x:v>Instagram gönderisi: 👃 Rinoplasti Ameliyatı...</x:v>
      </x:c>
      <x:c r="G138" s="25" t="str">
        <x:v>Instagram gönderisi: 👃 Rinoplasti Ameliyatı...</x:v>
      </x:c>
      <x:c r="H138" s="25" t="str">
        <x:v>ACTIVE</x:v>
      </x:c>
      <x:c r="I138" s="25" t="str">
        <x:v>VISIT_INSTAGRAM_PROFILE</x:v>
      </x:c>
      <x:c r="J138" s="27" t="n">
        <x:v>1000</x:v>
      </x:c>
      <x:c r="K138" s="27" t="n">
        <x:v>0</x:v>
      </x:c>
      <x:c r="L138" s="27" t="n">
        <x:v>0</x:v>
      </x:c>
      <x:c r="M138" s="27" t="n">
        <x:v>0</x:v>
      </x:c>
      <x:c r="N138" s="27" t="n">
        <x:v>5953.86</x:v>
      </x:c>
      <x:c r="O138" s="27" t="n">
        <x:v>3977.04</x:v>
      </x:c>
      <x:c r="P138" s="27" t="n">
        <x:v>9930.9</x:v>
      </x:c>
      <x:c r="Q138" s="29" t="n">
        <x:f>IFERROR(P138/SUMIFS($P$5:$P$167,$F$5:$F$167,F138,$E$5:$E$167,E138),0)</x:f>
        <x:v>1</x:v>
      </x:c>
      <x:c r="R138" s="28" t="n">
        <x:v>0</x:v>
      </x:c>
      <x:c r="S138" s="28" t="n">
        <x:v>0</x:v>
      </x:c>
      <x:c r="T138" s="28" t="n">
        <x:v>0</x:v>
      </x:c>
      <x:c r="U138" s="28" t="n">
        <x:v>4</x:v>
      </x:c>
      <x:c r="V138" s="28" t="n">
        <x:v>58822</x:v>
      </x:c>
      <x:c r="W138" s="27" t="n">
        <x:f>IFERROR(P138/T138,0)</x:f>
        <x:v>0</x:v>
      </x:c>
      <x:c r="X138" s="25" t="str">
        <x:v>​120255739163830399</x:v>
      </x:c>
    </x:row>
    <x:row r="139">
      <x:c r="A139" s="25" t="str">
        <x:v>Yerli</x:v>
      </x:c>
      <x:c r="B139" s="25" t="str">
        <x:v>Türkçe</x:v>
      </x:c>
      <x:c r="C139" s="25" t="str">
        <x:v>Bilinirlik / İzlenme / Trafik</x:v>
      </x:c>
      <x:c r="D139" s="25" t="str">
        <x:v>Medikal Estetik / Plastik Cerrahi</x:v>
      </x:c>
      <x:c r="E139" s="25" t="str">
        <x:v>Doruk Hastaneleri - SİNA ÖZEL Sağlık Hizmetleri A.ş</x:v>
      </x:c>
      <x:c r="F139" s="25" t="str">
        <x:v>Instagram gönderisi: Medikal estetik alanındaki...</x:v>
      </x:c>
      <x:c r="G139" s="25" t="str">
        <x:v>Instagram gönderisi: Medikal estetik alanındaki...</x:v>
      </x:c>
      <x:c r="H139" s="25" t="str">
        <x:v>ACTIVE</x:v>
      </x:c>
      <x:c r="I139" s="25" t="str">
        <x:v>VISIT_INSTAGRAM_PROFILE</x:v>
      </x:c>
      <x:c r="J139" s="27" t="n">
        <x:v>500</x:v>
      </x:c>
      <x:c r="K139" s="27" t="n">
        <x:v>0</x:v>
      </x:c>
      <x:c r="L139" s="27" t="n">
        <x:v>0</x:v>
      </x:c>
      <x:c r="M139" s="27" t="n">
        <x:v>0</x:v>
      </x:c>
      <x:c r="N139" s="27" t="n">
        <x:v>10694.54</x:v>
      </x:c>
      <x:c r="O139" s="27" t="n">
        <x:v>2253.4</x:v>
      </x:c>
      <x:c r="P139" s="27" t="n">
        <x:v>12947.94</x:v>
      </x:c>
      <x:c r="Q139" s="29" t="n">
        <x:f>IFERROR(P139/SUMIFS($P$5:$P$167,$F$5:$F$167,F139,$E$5:$E$167,E139),0)</x:f>
        <x:v>1</x:v>
      </x:c>
      <x:c r="R139" s="28" t="n">
        <x:v>0</x:v>
      </x:c>
      <x:c r="S139" s="28" t="n">
        <x:v>0</x:v>
      </x:c>
      <x:c r="T139" s="28" t="n">
        <x:v>0</x:v>
      </x:c>
      <x:c r="U139" s="28" t="n">
        <x:v>4</x:v>
      </x:c>
      <x:c r="V139" s="28" t="n">
        <x:v>59115</x:v>
      </x:c>
      <x:c r="W139" s="27" t="n">
        <x:f>IFERROR(P139/T139,0)</x:f>
        <x:v>0</x:v>
      </x:c>
      <x:c r="X139" s="25" t="str">
        <x:v>​120252323142470399</x:v>
      </x:c>
    </x:row>
    <x:row r="140">
      <x:c r="A140" s="25" t="str">
        <x:v>Yerli</x:v>
      </x:c>
      <x:c r="B140" s="25" t="str">
        <x:v>Türkçe</x:v>
      </x:c>
      <x:c r="C140" s="25" t="str">
        <x:v>Bilinirlik / İzlenme / Trafik</x:v>
      </x:c>
      <x:c r="D140" s="25" t="str">
        <x:v>Onkoloji</x:v>
      </x:c>
      <x:c r="E140" s="25" t="str">
        <x:v>Doruk Hastaneleri - SİNA ÖZEL Sağlık Hizmetleri A.ş</x:v>
      </x:c>
      <x:c r="F140" s="25" t="str">
        <x:v>Instagram gönderisi: 🎗️ Kanser Tanısı Fizik...</x:v>
      </x:c>
      <x:c r="G140" s="25" t="str">
        <x:v>Instagram gönderisi: 🎗️ Kanser Tanısı Fizik...</x:v>
      </x:c>
      <x:c r="H140" s="25" t="str">
        <x:v>ACTIVE</x:v>
      </x:c>
      <x:c r="I140" s="25" t="str">
        <x:v>VISIT_INSTAGRAM_PROFILE</x:v>
      </x:c>
      <x:c r="J140" s="27" t="n">
        <x:v>1000</x:v>
      </x:c>
      <x:c r="K140" s="27" t="n">
        <x:v>0</x:v>
      </x:c>
      <x:c r="L140" s="27" t="n">
        <x:v>0</x:v>
      </x:c>
      <x:c r="M140" s="27" t="n">
        <x:v>0</x:v>
      </x:c>
      <x:c r="N140" s="27" t="n">
        <x:v>4298.33</x:v>
      </x:c>
      <x:c r="O140" s="27" t="n">
        <x:v>0</x:v>
      </x:c>
      <x:c r="P140" s="27" t="n">
        <x:v>4298.33</x:v>
      </x:c>
      <x:c r="Q140" s="29" t="n">
        <x:f>IFERROR(P140/SUMIFS($P$5:$P$167,$F$5:$F$167,F140,$E$5:$E$167,E140),0)</x:f>
        <x:v>1</x:v>
      </x:c>
      <x:c r="R140" s="28" t="n">
        <x:v>0</x:v>
      </x:c>
      <x:c r="S140" s="28" t="n">
        <x:v>0</x:v>
      </x:c>
      <x:c r="T140" s="28" t="n">
        <x:v>0</x:v>
      </x:c>
      <x:c r="U140" s="28" t="n">
        <x:v>5</x:v>
      </x:c>
      <x:c r="V140" s="28" t="n">
        <x:v>12029</x:v>
      </x:c>
      <x:c r="W140" s="27" t="n">
        <x:f>IFERROR(P140/T140,0)</x:f>
        <x:v>0</x:v>
      </x:c>
      <x:c r="X140" s="25" t="str">
        <x:v>​120255739337190399</x:v>
      </x:c>
    </x:row>
    <x:row r="141">
      <x:c r="A141" s="25" t="str">
        <x:v>Yerli</x:v>
      </x:c>
      <x:c r="B141" s="25" t="str">
        <x:v>Türkçe</x:v>
      </x:c>
      <x:c r="C141" s="25" t="str">
        <x:v>Lead</x:v>
      </x:c>
      <x:c r="D141" s="25" t="str">
        <x:v>Check-up</x:v>
      </x:c>
      <x:c r="E141" s="25" t="str">
        <x:v>Doruk Hastaneleri - SİNA ÖZEL Sağlık Hizmetleri A.ş</x:v>
      </x:c>
      <x:c r="F141" s="25" t="str">
        <x:v>Checkup - genel - lead</x:v>
      </x:c>
      <x:c r="G141" s="25" t="str">
        <x:v>erkek-checkup-dinamik</x:v>
      </x:c>
      <x:c r="H141" s="25" t="str">
        <x:v>ACTIVE</x:v>
      </x:c>
      <x:c r="I141" s="25" t="str">
        <x:v>QUALITY_LEAD</x:v>
      </x:c>
      <x:c r="J141" s="27" t="n">
        <x:v>0</x:v>
      </x:c>
      <x:c r="K141" s="27" t="n">
        <x:v>0</x:v>
      </x:c>
      <x:c r="L141" s="27" t="n">
        <x:v>500</x:v>
      </x:c>
      <x:c r="M141" s="27" t="n">
        <x:v>0</x:v>
      </x:c>
      <x:c r="N141" s="27" t="n">
        <x:v>10954.37</x:v>
      </x:c>
      <x:c r="O141" s="27" t="n">
        <x:v>2319.52</x:v>
      </x:c>
      <x:c r="P141" s="27" t="n">
        <x:v>13273.890000000001</x:v>
      </x:c>
      <x:c r="Q141" s="29" t="n">
        <x:f>IFERROR(P141/SUMIFS($P$5:$P$167,$F$5:$F$167,F141,$E$5:$E$167,E141),0)</x:f>
        <x:v>0.5073560354808169</x:v>
      </x:c>
      <x:c r="R141" s="28" t="n">
        <x:v>45</x:v>
      </x:c>
      <x:c r="S141" s="28" t="n">
        <x:v>0</x:v>
      </x:c>
      <x:c r="T141" s="28" t="n">
        <x:v>45</x:v>
      </x:c>
      <x:c r="U141" s="28" t="n">
        <x:v>44</x:v>
      </x:c>
      <x:c r="V141" s="28" t="n">
        <x:v>15767</x:v>
      </x:c>
      <x:c r="W141" s="27" t="n">
        <x:f>IFERROR(P141/T141,0)</x:f>
        <x:v>294.97533333333337</x:v>
      </x:c>
      <x:c r="X141" s="25" t="str">
        <x:v>​120236672077380399</x:v>
      </x:c>
    </x:row>
    <x:row r="142">
      <x:c r="A142" s="25" t="str">
        <x:v>Yerli</x:v>
      </x:c>
      <x:c r="B142" s="25" t="str">
        <x:v>Türkçe</x:v>
      </x:c>
      <x:c r="C142" s="25" t="str">
        <x:v>Lead</x:v>
      </x:c>
      <x:c r="D142" s="25" t="str">
        <x:v>Check-up</x:v>
      </x:c>
      <x:c r="E142" s="25" t="str">
        <x:v>Doruk Hastaneleri - SİNA ÖZEL Sağlık Hizmetleri A.ş</x:v>
      </x:c>
      <x:c r="F142" s="25" t="str">
        <x:v>Checkup - genel - lead</x:v>
      </x:c>
      <x:c r="G142" s="25" t="str">
        <x:v>kadın-checkup-dinamik</x:v>
      </x:c>
      <x:c r="H142" s="25" t="str">
        <x:v>ACTIVE</x:v>
      </x:c>
      <x:c r="I142" s="25" t="str">
        <x:v>QUALITY_LEAD</x:v>
      </x:c>
      <x:c r="J142" s="27" t="n">
        <x:v>0</x:v>
      </x:c>
      <x:c r="K142" s="27" t="n">
        <x:v>0</x:v>
      </x:c>
      <x:c r="L142" s="27" t="n">
        <x:v>500</x:v>
      </x:c>
      <x:c r="M142" s="27" t="n">
        <x:v>0</x:v>
      </x:c>
      <x:c r="N142" s="27" t="n">
        <x:v>10578.22</x:v>
      </x:c>
      <x:c r="O142" s="27" t="n">
        <x:v>2310.76</x:v>
      </x:c>
      <x:c r="P142" s="27" t="n">
        <x:v>12888.98</x:v>
      </x:c>
      <x:c r="Q142" s="29" t="n">
        <x:f>IFERROR(P142/SUMIFS($P$5:$P$167,$F$5:$F$167,F142,$E$5:$E$167,E142),0)</x:f>
        <x:v>0.492643964519183</x:v>
      </x:c>
      <x:c r="R142" s="28" t="n">
        <x:v>29</x:v>
      </x:c>
      <x:c r="S142" s="28" t="n">
        <x:v>0</x:v>
      </x:c>
      <x:c r="T142" s="28" t="n">
        <x:v>29</x:v>
      </x:c>
      <x:c r="U142" s="28" t="n">
        <x:v>25</x:v>
      </x:c>
      <x:c r="V142" s="28" t="n">
        <x:v>11826</x:v>
      </x:c>
      <x:c r="W142" s="27" t="n">
        <x:f>IFERROR(P142/T142,0)</x:f>
        <x:v>444.4475862068965</x:v>
      </x:c>
      <x:c r="X142" s="25" t="str">
        <x:v>​120236678758120399</x:v>
      </x:c>
    </x:row>
    <x:row r="143">
      <x:c r="A143" s="25" t="str">
        <x:v>Yerli</x:v>
      </x:c>
      <x:c r="B143" s="25" t="str">
        <x:v>Türkçe</x:v>
      </x:c>
      <x:c r="C143" s="25" t="str">
        <x:v>Lead</x:v>
      </x:c>
      <x:c r="D143" s="25" t="str">
        <x:v>Check-up</x:v>
      </x:c>
      <x:c r="E143" s="25" t="str">
        <x:v>Doruk Hastaneleri - SİNA ÖZEL Sağlık Hizmetleri A.ş</x:v>
      </x:c>
      <x:c r="F143" s="25" t="str">
        <x:v>Prostat Checkup - lead</x:v>
      </x:c>
      <x:c r="G143" s="25" t="str">
        <x:v>genel set</x:v>
      </x:c>
      <x:c r="H143" s="25" t="str">
        <x:v>ACTIVE</x:v>
      </x:c>
      <x:c r="I143" s="25" t="str">
        <x:v>LEAD_GENERATION</x:v>
      </x:c>
      <x:c r="J143" s="27" t="n">
        <x:v>0</x:v>
      </x:c>
      <x:c r="K143" s="27" t="n">
        <x:v>0</x:v>
      </x:c>
      <x:c r="L143" s="27" t="n">
        <x:v>500</x:v>
      </x:c>
      <x:c r="M143" s="27" t="n">
        <x:v>0</x:v>
      </x:c>
      <x:c r="N143" s="27" t="n">
        <x:v>11901.29</x:v>
      </x:c>
      <x:c r="O143" s="27" t="n">
        <x:v>2634.22</x:v>
      </x:c>
      <x:c r="P143" s="27" t="n">
        <x:v>14535.51</x:v>
      </x:c>
      <x:c r="Q143" s="29" t="n">
        <x:f>IFERROR(P143/SUMIFS($P$5:$P$167,$F$5:$F$167,F143,$E$5:$E$167,E143),0)</x:f>
        <x:v>1</x:v>
      </x:c>
      <x:c r="R143" s="28" t="n">
        <x:v>105</x:v>
      </x:c>
      <x:c r="S143" s="28" t="n">
        <x:v>0</x:v>
      </x:c>
      <x:c r="T143" s="28" t="n">
        <x:v>105</x:v>
      </x:c>
      <x:c r="U143" s="28" t="n">
        <x:v>103</x:v>
      </x:c>
      <x:c r="V143" s="28" t="n">
        <x:v>9026</x:v>
      </x:c>
      <x:c r="W143" s="27" t="n">
        <x:f>IFERROR(P143/T143,0)</x:f>
        <x:v>138.43342857142858</x:v>
      </x:c>
      <x:c r="X143" s="25" t="str">
        <x:v>​120251414264220399</x:v>
      </x:c>
    </x:row>
    <x:row r="144">
      <x:c r="A144" s="25" t="str">
        <x:v>Yerli</x:v>
      </x:c>
      <x:c r="B144" s="25" t="str">
        <x:v>Türkçe</x:v>
      </x:c>
      <x:c r="C144" s="25" t="str">
        <x:v>Lead</x:v>
      </x:c>
      <x:c r="D144" s="25" t="str">
        <x:v>Diğer / Sınıflandırılacak</x:v>
      </x:c>
      <x:c r="E144" s="25" t="str">
        <x:v>Doruk Hastaneleri - SİNA ÖZEL Sağlık Hizmetleri A.ş</x:v>
      </x:c>
      <x:c r="F144" s="25" t="str">
        <x:v>Baş Dönmesi ve Denge Ünitesi / lead</x:v>
      </x:c>
      <x:c r="G144" s="25" t="str">
        <x:v>broad</x:v>
      </x:c>
      <x:c r="H144" s="25" t="str">
        <x:v>ACTIVE</x:v>
      </x:c>
      <x:c r="I144" s="25" t="str">
        <x:v>QUALITY_LEAD</x:v>
      </x:c>
      <x:c r="J144" s="27" t="n">
        <x:v>0</x:v>
      </x:c>
      <x:c r="K144" s="27" t="n">
        <x:v>0</x:v>
      </x:c>
      <x:c r="L144" s="27" t="n">
        <x:v>350</x:v>
      </x:c>
      <x:c r="M144" s="27" t="n">
        <x:v>0</x:v>
      </x:c>
      <x:c r="N144" s="27" t="n">
        <x:v>8115.76</x:v>
      </x:c>
      <x:c r="O144" s="27" t="n">
        <x:v>1664.84</x:v>
      </x:c>
      <x:c r="P144" s="27" t="n">
        <x:v>9780.6</x:v>
      </x:c>
      <x:c r="Q144" s="29" t="n">
        <x:f>IFERROR(P144/SUMIFS($P$5:$P$167,$F$5:$F$167,F144,$E$5:$E$167,E144),0)</x:f>
        <x:v>1</x:v>
      </x:c>
      <x:c r="R144" s="28" t="n">
        <x:v>79</x:v>
      </x:c>
      <x:c r="S144" s="28" t="n">
        <x:v>0</x:v>
      </x:c>
      <x:c r="T144" s="28" t="n">
        <x:v>79</x:v>
      </x:c>
      <x:c r="U144" s="28" t="n">
        <x:v>73</x:v>
      </x:c>
      <x:c r="V144" s="28" t="n">
        <x:v>16873</x:v>
      </x:c>
      <x:c r="W144" s="27" t="n">
        <x:f>IFERROR(P144/T144,0)</x:f>
        <x:v>123.80506329113925</x:v>
      </x:c>
      <x:c r="X144" s="25" t="str">
        <x:v>​120214167266120399</x:v>
      </x:c>
    </x:row>
    <x:row r="145">
      <x:c r="A145" s="25" t="str">
        <x:v>Yerli</x:v>
      </x:c>
      <x:c r="B145" s="25" t="str">
        <x:v>Türkçe</x:v>
      </x:c>
      <x:c r="C145" s="25" t="str">
        <x:v>Lead</x:v>
      </x:c>
      <x:c r="D145" s="25" t="str">
        <x:v>Doğum Kampanyası</x:v>
      </x:c>
      <x:c r="E145" s="25" t="str">
        <x:v>Doruk Hastaneleri - SİNA ÖZEL Sağlık Hizmetleri A.ş</x:v>
      </x:c>
      <x:c r="F145" s="25" t="str">
        <x:v>Gebe-Doğum Form Kampanyası</x:v>
      </x:c>
      <x:c r="G145" s="25" t="str">
        <x:v>Doğum Kreatifleri</x:v>
      </x:c>
      <x:c r="H145" s="25" t="str">
        <x:v>ACTIVE</x:v>
      </x:c>
      <x:c r="I145" s="25" t="str">
        <x:v>LEAD_GENERATION</x:v>
      </x:c>
      <x:c r="J145" s="27" t="n">
        <x:v>0</x:v>
      </x:c>
      <x:c r="K145" s="27" t="n">
        <x:v>0</x:v>
      </x:c>
      <x:c r="L145" s="27" t="n">
        <x:v>3000</x:v>
      </x:c>
      <x:c r="M145" s="27" t="n">
        <x:v>0</x:v>
      </x:c>
      <x:c r="N145" s="27" t="n">
        <x:v>69158.28</x:v>
      </x:c>
      <x:c r="O145" s="27" t="n">
        <x:v>17077.27</x:v>
      </x:c>
      <x:c r="P145" s="27" t="n">
        <x:v>86235.55</x:v>
      </x:c>
      <x:c r="Q145" s="29" t="n">
        <x:f>IFERROR(P145/SUMIFS($P$5:$P$167,$F$5:$F$167,F145,$E$5:$E$167,E145),0)</x:f>
        <x:v>0.439153681114078</x:v>
      </x:c>
      <x:c r="R145" s="28" t="n">
        <x:v>251</x:v>
      </x:c>
      <x:c r="S145" s="28" t="n">
        <x:v>0</x:v>
      </x:c>
      <x:c r="T145" s="28" t="n">
        <x:v>251</x:v>
      </x:c>
      <x:c r="U145" s="28" t="n">
        <x:v>16</x:v>
      </x:c>
      <x:c r="V145" s="28" t="n">
        <x:v>0</x:v>
      </x:c>
      <x:c r="W145" s="27" t="n">
        <x:f>IFERROR(P145/T145,0)</x:f>
        <x:v>343.5679282868526</x:v>
      </x:c>
      <x:c r="X145" s="25" t="str">
        <x:v>​120242460508720399</x:v>
      </x:c>
    </x:row>
    <x:row r="146">
      <x:c r="A146" s="25" t="str">
        <x:v>Yerli</x:v>
      </x:c>
      <x:c r="B146" s="25" t="str">
        <x:v>Türkçe</x:v>
      </x:c>
      <x:c r="C146" s="25" t="str">
        <x:v>Lead</x:v>
      </x:c>
      <x:c r="D146" s="25" t="str">
        <x:v>Doğum Kampanyası</x:v>
      </x:c>
      <x:c r="E146" s="25" t="str">
        <x:v>Doruk Hastaneleri - SİNA ÖZEL Sağlık Hizmetleri A.ş</x:v>
      </x:c>
      <x:c r="F146" s="25" t="str">
        <x:v>Gebe-Doğum Form Kampanyası</x:v>
      </x:c>
      <x:c r="G146" s="25" t="str">
        <x:v>Gebe Okulu</x:v>
      </x:c>
      <x:c r="H146" s="25" t="str">
        <x:v>ACTIVE</x:v>
      </x:c>
      <x:c r="I146" s="25" t="str">
        <x:v>LEAD_GENERATION</x:v>
      </x:c>
      <x:c r="J146" s="27" t="n">
        <x:v>0</x:v>
      </x:c>
      <x:c r="K146" s="27" t="n">
        <x:v>0</x:v>
      </x:c>
      <x:c r="L146" s="27" t="n">
        <x:v>1500</x:v>
      </x:c>
      <x:c r="M146" s="27" t="n">
        <x:v>0</x:v>
      </x:c>
      <x:c r="N146" s="27" t="n">
        <x:v>35465.82</x:v>
      </x:c>
      <x:c r="O146" s="27" t="n">
        <x:v>7777.25</x:v>
      </x:c>
      <x:c r="P146" s="27" t="n">
        <x:v>43243.07</x:v>
      </x:c>
      <x:c r="Q146" s="29" t="n">
        <x:f>IFERROR(P146/SUMIFS($P$5:$P$167,$F$5:$F$167,F146,$E$5:$E$167,E146),0)</x:f>
        <x:v>0.22021490409899108</x:v>
      </x:c>
      <x:c r="R146" s="28" t="n">
        <x:v>148</x:v>
      </x:c>
      <x:c r="S146" s="28" t="n">
        <x:v>0</x:v>
      </x:c>
      <x:c r="T146" s="28" t="n">
        <x:v>148</x:v>
      </x:c>
      <x:c r="U146" s="28" t="n">
        <x:v>23</x:v>
      </x:c>
      <x:c r="V146" s="28" t="n">
        <x:v>26098</x:v>
      </x:c>
      <x:c r="W146" s="27" t="n">
        <x:f>IFERROR(P146/T146,0)</x:f>
        <x:v>292.1829054054054</x:v>
      </x:c>
      <x:c r="X146" s="25" t="str">
        <x:v>​120242415465170399</x:v>
      </x:c>
    </x:row>
    <x:row r="147">
      <x:c r="A147" s="25" t="str">
        <x:v>Yerli</x:v>
      </x:c>
      <x:c r="B147" s="25" t="str">
        <x:v>Türkçe</x:v>
      </x:c>
      <x:c r="C147" s="25" t="str">
        <x:v>Lead</x:v>
      </x:c>
      <x:c r="D147" s="25" t="str">
        <x:v>Doğum Kampanyası</x:v>
      </x:c>
      <x:c r="E147" s="25" t="str">
        <x:v>Doruk Hastaneleri - SİNA ÖZEL Sağlık Hizmetleri A.ş</x:v>
      </x:c>
      <x:c r="F147" s="25" t="str">
        <x:v>Gebe-Doğum Form Kampanyası</x:v>
      </x:c>
      <x:c r="G147" s="25" t="str">
        <x:v>Oda Süsleme</x:v>
      </x:c>
      <x:c r="H147" s="25" t="str">
        <x:v>ACTIVE</x:v>
      </x:c>
      <x:c r="I147" s="25" t="str">
        <x:v>LEAD_GENERATION</x:v>
      </x:c>
      <x:c r="J147" s="27" t="n">
        <x:v>0</x:v>
      </x:c>
      <x:c r="K147" s="27" t="n">
        <x:v>0</x:v>
      </x:c>
      <x:c r="L147" s="27" t="n">
        <x:v>2500</x:v>
      </x:c>
      <x:c r="M147" s="27" t="n">
        <x:v>0</x:v>
      </x:c>
      <x:c r="N147" s="27" t="n">
        <x:v>55506.46</x:v>
      </x:c>
      <x:c r="O147" s="27" t="n">
        <x:v>11382.51</x:v>
      </x:c>
      <x:c r="P147" s="27" t="n">
        <x:v>66888.97</x:v>
      </x:c>
      <x:c r="Q147" s="29" t="n">
        <x:f>IFERROR(P147/SUMIFS($P$5:$P$167,$F$5:$F$167,F147,$E$5:$E$167,E147),0)</x:f>
        <x:v>0.340631414786931</x:v>
      </x:c>
      <x:c r="R147" s="28" t="n">
        <x:v>214</x:v>
      </x:c>
      <x:c r="S147" s="28" t="n">
        <x:v>0</x:v>
      </x:c>
      <x:c r="T147" s="28" t="n">
        <x:v>214</x:v>
      </x:c>
      <x:c r="U147" s="28" t="n">
        <x:v>35</x:v>
      </x:c>
      <x:c r="V147" s="28" t="n">
        <x:v>65436</x:v>
      </x:c>
      <x:c r="W147" s="27" t="n">
        <x:f>IFERROR(P147/T147,0)</x:f>
        <x:v>312.5652803738318</x:v>
      </x:c>
      <x:c r="X147" s="25" t="str">
        <x:v>​120242460981670399</x:v>
      </x:c>
    </x:row>
    <x:row r="148">
      <x:c r="A148" s="25" t="str">
        <x:v>Yerli</x:v>
      </x:c>
      <x:c r="B148" s="25" t="str">
        <x:v>Türkçe</x:v>
      </x:c>
      <x:c r="C148" s="25" t="str">
        <x:v>Lead</x:v>
      </x:c>
      <x:c r="D148" s="25" t="str">
        <x:v>Fizik Tedavi / Rehabilitasyon</x:v>
      </x:c>
      <x:c r="E148" s="25" t="str">
        <x:v>Doruk Hastaneleri - SİNA ÖZEL Sağlık Hizmetleri A.ş</x:v>
      </x:c>
      <x:c r="F148" s="25" t="str">
        <x:v>FTR Yatılı - lead</x:v>
      </x:c>
      <x:c r="G148" s="25" t="str">
        <x:v>FTR Yatılı - lead - android</x:v>
      </x:c>
      <x:c r="H148" s="25" t="str">
        <x:v>ACTIVE</x:v>
      </x:c>
      <x:c r="I148" s="25" t="str">
        <x:v>LEAD_GENERATION</x:v>
      </x:c>
      <x:c r="J148" s="27" t="n">
        <x:v>0</x:v>
      </x:c>
      <x:c r="K148" s="27" t="n">
        <x:v>0</x:v>
      </x:c>
      <x:c r="L148" s="27" t="n">
        <x:v>1000</x:v>
      </x:c>
      <x:c r="M148" s="27" t="n">
        <x:v>0</x:v>
      </x:c>
      <x:c r="N148" s="27" t="n">
        <x:v>21946.67</x:v>
      </x:c>
      <x:c r="O148" s="27" t="n">
        <x:v>5253.35</x:v>
      </x:c>
      <x:c r="P148" s="27" t="n">
        <x:v>27200.019999999997</x:v>
      </x:c>
      <x:c r="Q148" s="29" t="n">
        <x:f>IFERROR(P148/SUMIFS($P$5:$P$167,$F$5:$F$167,F148,$E$5:$E$167,E148),0)</x:f>
        <x:v>0.24439711050946336</x:v>
      </x:c>
      <x:c r="R148" s="28" t="n">
        <x:v>30</x:v>
      </x:c>
      <x:c r="S148" s="28" t="n">
        <x:v>0</x:v>
      </x:c>
      <x:c r="T148" s="28" t="n">
        <x:v>30</x:v>
      </x:c>
      <x:c r="U148" s="28" t="n">
        <x:v>5</x:v>
      </x:c>
      <x:c r="V148" s="28" t="n">
        <x:v>59180</x:v>
      </x:c>
      <x:c r="W148" s="27" t="n">
        <x:f>IFERROR(P148/T148,0)</x:f>
        <x:v>906.6673333333332</x:v>
      </x:c>
      <x:c r="X148" s="25" t="str">
        <x:v>​120246527191810399</x:v>
      </x:c>
    </x:row>
    <x:row r="149">
      <x:c r="A149" s="25" t="str">
        <x:v>Yerli</x:v>
      </x:c>
      <x:c r="B149" s="25" t="str">
        <x:v>Türkçe</x:v>
      </x:c>
      <x:c r="C149" s="25" t="str">
        <x:v>Lead</x:v>
      </x:c>
      <x:c r="D149" s="25" t="str">
        <x:v>Fizik Tedavi / Rehabilitasyon</x:v>
      </x:c>
      <x:c r="E149" s="25" t="str">
        <x:v>Doruk Hastaneleri - SİNA ÖZEL Sağlık Hizmetleri A.ş</x:v>
      </x:c>
      <x:c r="F149" s="25" t="str">
        <x:v>FTR Yatılı - lead</x:v>
      </x:c>
      <x:c r="G149" s="25" t="str">
        <x:v>FTR Yatılı - lead - ios</x:v>
      </x:c>
      <x:c r="H149" s="25" t="str">
        <x:v>ACTIVE</x:v>
      </x:c>
      <x:c r="I149" s="25" t="str">
        <x:v>LEAD_GENERATION</x:v>
      </x:c>
      <x:c r="J149" s="27" t="n">
        <x:v>0</x:v>
      </x:c>
      <x:c r="K149" s="27" t="n">
        <x:v>0</x:v>
      </x:c>
      <x:c r="L149" s="27" t="n">
        <x:v>3000</x:v>
      </x:c>
      <x:c r="M149" s="27" t="n">
        <x:v>0</x:v>
      </x:c>
      <x:c r="N149" s="27" t="n">
        <x:v>68722.53</x:v>
      </x:c>
      <x:c r="O149" s="27" t="n">
        <x:v>15371.81</x:v>
      </x:c>
      <x:c r="P149" s="27" t="n">
        <x:v>84094.34</x:v>
      </x:c>
      <x:c r="Q149" s="29" t="n">
        <x:f>IFERROR(P149/SUMIFS($P$5:$P$167,$F$5:$F$167,F149,$E$5:$E$167,E149),0)</x:f>
        <x:v>0.7556028894905367</x:v>
      </x:c>
      <x:c r="R149" s="28" t="n">
        <x:v>133</x:v>
      </x:c>
      <x:c r="S149" s="28" t="n">
        <x:v>0</x:v>
      </x:c>
      <x:c r="T149" s="28" t="n">
        <x:v>133</x:v>
      </x:c>
      <x:c r="U149" s="28" t="n">
        <x:v>28</x:v>
      </x:c>
      <x:c r="V149" s="28" t="n">
        <x:v>186270</x:v>
      </x:c>
      <x:c r="W149" s="27" t="n">
        <x:f>IFERROR(P149/T149,0)</x:f>
        <x:v>632.2882706766917</x:v>
      </x:c>
      <x:c r="X149" s="25" t="str">
        <x:v>​120246527115490399</x:v>
      </x:c>
    </x:row>
    <x:row r="150">
      <x:c r="A150" s="25" t="str">
        <x:v>Yerli</x:v>
      </x:c>
      <x:c r="B150" s="25" t="str">
        <x:v>Türkçe</x:v>
      </x:c>
      <x:c r="C150" s="25" t="str">
        <x:v>Lead</x:v>
      </x:c>
      <x:c r="D150" s="25" t="str">
        <x:v>İnsan Kaynakları</x:v>
      </x:c>
      <x:c r="E150" s="25" t="str">
        <x:v>Doruk Hastaneleri - SİNA ÖZEL Sağlık Hizmetleri A.ş</x:v>
      </x:c>
      <x:c r="F150" s="25" t="str">
        <x:v>Hemşire İş Başvuru - lead</x:v>
      </x:c>
      <x:c r="G150" s="25" t="str">
        <x:v>Hemşire İş Başvuru - lead</x:v>
      </x:c>
      <x:c r="H150" s="25" t="str">
        <x:v>ACTIVE</x:v>
      </x:c>
      <x:c r="I150" s="25" t="str">
        <x:v>LEAD_GENERATION</x:v>
      </x:c>
      <x:c r="J150" s="27" t="n">
        <x:v>0</x:v>
      </x:c>
      <x:c r="K150" s="27" t="n">
        <x:v>0</x:v>
      </x:c>
      <x:c r="L150" s="27" t="n">
        <x:v>1000</x:v>
      </x:c>
      <x:c r="M150" s="27" t="n">
        <x:v>0</x:v>
      </x:c>
      <x:c r="N150" s="27" t="n">
        <x:v>22618.18</x:v>
      </x:c>
      <x:c r="O150" s="27" t="n">
        <x:v>4948.45</x:v>
      </x:c>
      <x:c r="P150" s="27" t="n">
        <x:v>27566.63</x:v>
      </x:c>
      <x:c r="Q150" s="29" t="n">
        <x:f>IFERROR(P150/SUMIFS($P$5:$P$167,$F$5:$F$167,F150,$E$5:$E$167,E150),0)</x:f>
        <x:v>1</x:v>
      </x:c>
      <x:c r="R150" s="28" t="n">
        <x:v>77</x:v>
      </x:c>
      <x:c r="S150" s="28" t="n">
        <x:v>0</x:v>
      </x:c>
      <x:c r="T150" s="28" t="n">
        <x:v>77</x:v>
      </x:c>
      <x:c r="U150" s="28" t="n">
        <x:v>73</x:v>
      </x:c>
      <x:c r="V150" s="28" t="n">
        <x:v>0</x:v>
      </x:c>
      <x:c r="W150" s="27" t="n">
        <x:f>IFERROR(P150/T150,0)</x:f>
        <x:v>358.0081818181818</x:v>
      </x:c>
      <x:c r="X150" s="25" t="str">
        <x:v>​120246691590100399</x:v>
      </x:c>
    </x:row>
    <x:row r="151">
      <x:c r="A151" s="25" t="str">
        <x:v>Yerli</x:v>
      </x:c>
      <x:c r="B151" s="25" t="str">
        <x:v>Türkçe</x:v>
      </x:c>
      <x:c r="C151" s="25" t="str">
        <x:v>Lead</x:v>
      </x:c>
      <x:c r="D151" s="25" t="str">
        <x:v>İnsan Kaynakları</x:v>
      </x:c>
      <x:c r="E151" s="25" t="str">
        <x:v>Doruk Hastaneleri - SİNA ÖZEL Sağlık Hizmetleri A.ş</x:v>
      </x:c>
      <x:c r="F151" s="25" t="str">
        <x:v>Uzman Hekim Başvuru</x:v>
      </x:c>
      <x:c r="G151" s="25" t="str">
        <x:v>Genel</x:v>
      </x:c>
      <x:c r="H151" s="25" t="str">
        <x:v>ACTIVE</x:v>
      </x:c>
      <x:c r="I151" s="25" t="str">
        <x:v>LEAD_GENERATION</x:v>
      </x:c>
      <x:c r="J151" s="27" t="n">
        <x:v>1000</x:v>
      </x:c>
      <x:c r="K151" s="27" t="n">
        <x:v>0</x:v>
      </x:c>
      <x:c r="L151" s="27" t="n">
        <x:v>0</x:v>
      </x:c>
      <x:c r="M151" s="27" t="n">
        <x:v>0</x:v>
      </x:c>
      <x:c r="N151" s="27" t="n">
        <x:v>22472.44</x:v>
      </x:c>
      <x:c r="O151" s="27" t="n">
        <x:v>4623.19</x:v>
      </x:c>
      <x:c r="P151" s="27" t="n">
        <x:v>27095.629999999997</x:v>
      </x:c>
      <x:c r="Q151" s="29" t="n">
        <x:f>IFERROR(P151/SUMIFS($P$5:$P$167,$F$5:$F$167,F151,$E$5:$E$167,E151),0)</x:f>
        <x:v>1</x:v>
      </x:c>
      <x:c r="R151" s="28" t="n">
        <x:v>140</x:v>
      </x:c>
      <x:c r="S151" s="28" t="n">
        <x:v>0</x:v>
      </x:c>
      <x:c r="T151" s="28" t="n">
        <x:v>140</x:v>
      </x:c>
      <x:c r="U151" s="28" t="n">
        <x:v>3</x:v>
      </x:c>
      <x:c r="V151" s="28" t="n">
        <x:v>0</x:v>
      </x:c>
      <x:c r="W151" s="27" t="n">
        <x:f>IFERROR(P151/T151,0)</x:f>
        <x:v>193.54021428571426</x:v>
      </x:c>
      <x:c r="X151" s="25" t="str">
        <x:v>​120244050701720399</x:v>
      </x:c>
    </x:row>
    <x:row r="152">
      <x:c r="A152" s="25" t="str">
        <x:v>Yerli</x:v>
      </x:c>
      <x:c r="B152" s="25" t="str">
        <x:v>Türkçe</x:v>
      </x:c>
      <x:c r="C152" s="25" t="str">
        <x:v>Lead</x:v>
      </x:c>
      <x:c r="D152" s="25" t="str">
        <x:v>Medikal Estetik / Plastik Cerrahi</x:v>
      </x:c>
      <x:c r="E152" s="25" t="str">
        <x:v>Doruk Hastaneleri - SİNA ÖZEL Sağlık Hizmetleri A.ş</x:v>
      </x:c>
      <x:c r="F152" s="25" t="str">
        <x:v>ABO / Göz Kapağı Estetiği / plastik cerrahi / lead</x:v>
      </x:c>
      <x:c r="G152" s="25" t="str">
        <x:v>Yeni Potansiyel Müşteriler Reklam Seti</x:v>
      </x:c>
      <x:c r="H152" s="25" t="str">
        <x:v>ACTIVE</x:v>
      </x:c>
      <x:c r="I152" s="25" t="str">
        <x:v>QUALITY_LEAD</x:v>
      </x:c>
      <x:c r="J152" s="27" t="n">
        <x:v>0</x:v>
      </x:c>
      <x:c r="K152" s="27" t="n">
        <x:v>0</x:v>
      </x:c>
      <x:c r="L152" s="27" t="n">
        <x:v>300</x:v>
      </x:c>
      <x:c r="M152" s="27" t="n">
        <x:v>0</x:v>
      </x:c>
      <x:c r="N152" s="27" t="n">
        <x:v>6070.59</x:v>
      </x:c>
      <x:c r="O152" s="27" t="n">
        <x:v>1101.94</x:v>
      </x:c>
      <x:c r="P152" s="27" t="n">
        <x:v>7172.530000000001</x:v>
      </x:c>
      <x:c r="Q152" s="29" t="n">
        <x:f>IFERROR(P152/SUMIFS($P$5:$P$167,$F$5:$F$167,F152,$E$5:$E$167,E152),0)</x:f>
        <x:v>1</x:v>
      </x:c>
      <x:c r="R152" s="28" t="n">
        <x:v>24</x:v>
      </x:c>
      <x:c r="S152" s="28" t="n">
        <x:v>0</x:v>
      </x:c>
      <x:c r="T152" s="28" t="n">
        <x:v>24</x:v>
      </x:c>
      <x:c r="U152" s="28" t="n">
        <x:v>5</x:v>
      </x:c>
      <x:c r="V152" s="28" t="n">
        <x:v>0</x:v>
      </x:c>
      <x:c r="W152" s="27" t="n">
        <x:f>IFERROR(P152/T152,0)</x:f>
        <x:v>298.8554166666667</x:v>
      </x:c>
      <x:c r="X152" s="25" t="str">
        <x:v>​120211731920850399</x:v>
      </x:c>
    </x:row>
    <x:row r="153">
      <x:c r="A153" s="25" t="str">
        <x:v>Yerli</x:v>
      </x:c>
      <x:c r="B153" s="25" t="str">
        <x:v>Türkçe</x:v>
      </x:c>
      <x:c r="C153" s="25" t="str">
        <x:v>Lead</x:v>
      </x:c>
      <x:c r="D153" s="25" t="str">
        <x:v>Medikal Estetik / Plastik Cerrahi</x:v>
      </x:c>
      <x:c r="E153" s="25" t="str">
        <x:v>Doruk Hastaneleri - SİNA ÖZEL Sağlık Hizmetleri A.ş</x:v>
      </x:c>
      <x:c r="F153" s="25" t="str">
        <x:v>ABO / Medikal Estetik lead / 16.04.2026</x:v>
      </x:c>
      <x:c r="G153" s="25" t="str">
        <x:v>botox  /  18 - 50  K</x:v>
      </x:c>
      <x:c r="H153" s="25" t="str">
        <x:v>ACTIVE</x:v>
      </x:c>
      <x:c r="I153" s="25" t="str">
        <x:v>LEAD_GENERATION</x:v>
      </x:c>
      <x:c r="J153" s="27" t="n">
        <x:v>0</x:v>
      </x:c>
      <x:c r="K153" s="27" t="n">
        <x:v>0</x:v>
      </x:c>
      <x:c r="L153" s="27" t="n">
        <x:v>300</x:v>
      </x:c>
      <x:c r="M153" s="27" t="n">
        <x:v>0</x:v>
      </x:c>
      <x:c r="N153" s="27" t="n">
        <x:v>7177</x:v>
      </x:c>
      <x:c r="O153" s="27" t="n">
        <x:v>1557.39</x:v>
      </x:c>
      <x:c r="P153" s="27" t="n">
        <x:v>8734.39</x:v>
      </x:c>
      <x:c r="Q153" s="29" t="n">
        <x:f>IFERROR(P153/SUMIFS($P$5:$P$167,$F$5:$F$167,F153,$E$5:$E$167,E153),0)</x:f>
        <x:v>0.12702257771314307</x:v>
      </x:c>
      <x:c r="R153" s="28" t="n">
        <x:v>123</x:v>
      </x:c>
      <x:c r="S153" s="28" t="n">
        <x:v>0</x:v>
      </x:c>
      <x:c r="T153" s="28" t="n">
        <x:v>123</x:v>
      </x:c>
      <x:c r="U153" s="28" t="n">
        <x:v>123</x:v>
      </x:c>
      <x:c r="V153" s="28" t="n">
        <x:v>8228</x:v>
      </x:c>
      <x:c r="W153" s="27" t="n">
        <x:f>IFERROR(P153/T153,0)</x:f>
        <x:v>71.01130081300812</x:v>
      </x:c>
      <x:c r="X153" s="25" t="str">
        <x:v>​120249236798060399</x:v>
      </x:c>
    </x:row>
    <x:row r="154">
      <x:c r="A154" s="25" t="str">
        <x:v>Yerli</x:v>
      </x:c>
      <x:c r="B154" s="25" t="str">
        <x:v>Türkçe</x:v>
      </x:c>
      <x:c r="C154" s="25" t="str">
        <x:v>Lead</x:v>
      </x:c>
      <x:c r="D154" s="25" t="str">
        <x:v>Medikal Estetik / Plastik Cerrahi</x:v>
      </x:c>
      <x:c r="E154" s="25" t="str">
        <x:v>Doruk Hastaneleri - SİNA ÖZEL Sağlık Hizmetleri A.ş</x:v>
      </x:c>
      <x:c r="F154" s="25" t="str">
        <x:v>ABO / Medikal Estetik lead / 16.04.2026</x:v>
      </x:c>
      <x:c r="G154" s="25" t="str">
        <x:v>cilt bakımı  /  18 - 50  K</x:v>
      </x:c>
      <x:c r="H154" s="25" t="str">
        <x:v>ACTIVE</x:v>
      </x:c>
      <x:c r="I154" s="25" t="str">
        <x:v>LEAD_GENERATION</x:v>
      </x:c>
      <x:c r="J154" s="27" t="n">
        <x:v>0</x:v>
      </x:c>
      <x:c r="K154" s="27" t="n">
        <x:v>0</x:v>
      </x:c>
      <x:c r="L154" s="27" t="n">
        <x:v>300</x:v>
      </x:c>
      <x:c r="M154" s="27" t="n">
        <x:v>0</x:v>
      </x:c>
      <x:c r="N154" s="27" t="n">
        <x:v>6902.93</x:v>
      </x:c>
      <x:c r="O154" s="27" t="n">
        <x:v>1440.82</x:v>
      </x:c>
      <x:c r="P154" s="27" t="n">
        <x:v>8343.75</x:v>
      </x:c>
      <x:c r="Q154" s="29" t="n">
        <x:f>IFERROR(P154/SUMIFS($P$5:$P$167,$F$5:$F$167,F154,$E$5:$E$167,E154),0)</x:f>
        <x:v>0.12134157425922559</x:v>
      </x:c>
      <x:c r="R154" s="28" t="n">
        <x:v>59</x:v>
      </x:c>
      <x:c r="S154" s="28" t="n">
        <x:v>0</x:v>
      </x:c>
      <x:c r="T154" s="28" t="n">
        <x:v>59</x:v>
      </x:c>
      <x:c r="U154" s="28" t="n">
        <x:v>64</x:v>
      </x:c>
      <x:c r="V154" s="28" t="n">
        <x:v>9391</x:v>
      </x:c>
      <x:c r="W154" s="27" t="n">
        <x:f>IFERROR(P154/T154,0)</x:f>
        <x:v>141.41949152542372</x:v>
      </x:c>
      <x:c r="X154" s="25" t="str">
        <x:v>​120249237096680399</x:v>
      </x:c>
    </x:row>
    <x:row r="155">
      <x:c r="A155" s="25" t="str">
        <x:v>Yerli</x:v>
      </x:c>
      <x:c r="B155" s="25" t="str">
        <x:v>Türkçe</x:v>
      </x:c>
      <x:c r="C155" s="25" t="str">
        <x:v>Lead</x:v>
      </x:c>
      <x:c r="D155" s="25" t="str">
        <x:v>Medikal Estetik / Plastik Cerrahi</x:v>
      </x:c>
      <x:c r="E155" s="25" t="str">
        <x:v>Doruk Hastaneleri - SİNA ÖZEL Sağlık Hizmetleri A.ş</x:v>
      </x:c>
      <x:c r="F155" s="25" t="str">
        <x:v>ABO / Medikal Estetik lead / 16.04.2026</x:v>
      </x:c>
      <x:c r="G155" s="25" t="str">
        <x:v>dolgu /  18 - 50  K</x:v>
      </x:c>
      <x:c r="H155" s="25" t="str">
        <x:v>ACTIVE</x:v>
      </x:c>
      <x:c r="I155" s="25" t="str">
        <x:v>LEAD_GENERATION</x:v>
      </x:c>
      <x:c r="J155" s="27" t="n">
        <x:v>0</x:v>
      </x:c>
      <x:c r="K155" s="27" t="n">
        <x:v>0</x:v>
      </x:c>
      <x:c r="L155" s="27" t="n">
        <x:v>300</x:v>
      </x:c>
      <x:c r="M155" s="27" t="n">
        <x:v>0</x:v>
      </x:c>
      <x:c r="N155" s="27" t="n">
        <x:v>6957.44</x:v>
      </x:c>
      <x:c r="O155" s="27" t="n">
        <x:v>1693.41</x:v>
      </x:c>
      <x:c r="P155" s="27" t="n">
        <x:v>8650.85</x:v>
      </x:c>
      <x:c r="Q155" s="29" t="n">
        <x:f>IFERROR(P155/SUMIFS($P$5:$P$167,$F$5:$F$167,F155,$E$5:$E$167,E155),0)</x:f>
        <x:v>0.12580767133248502</x:v>
      </x:c>
      <x:c r="R155" s="28" t="n">
        <x:v>51</x:v>
      </x:c>
      <x:c r="S155" s="28" t="n">
        <x:v>0</x:v>
      </x:c>
      <x:c r="T155" s="28" t="n">
        <x:v>51</x:v>
      </x:c>
      <x:c r="U155" s="28" t="n">
        <x:v>53</x:v>
      </x:c>
      <x:c r="V155" s="28" t="n">
        <x:v>9223</x:v>
      </x:c>
      <x:c r="W155" s="27" t="n">
        <x:f>IFERROR(P155/T155,0)</x:f>
        <x:v>169.62450980392157</x:v>
      </x:c>
      <x:c r="X155" s="25" t="str">
        <x:v>​120248812698110399</x:v>
      </x:c>
    </x:row>
    <x:row r="156">
      <x:c r="A156" s="25" t="str">
        <x:v>Yerli</x:v>
      </x:c>
      <x:c r="B156" s="25" t="str">
        <x:v>Türkçe</x:v>
      </x:c>
      <x:c r="C156" s="25" t="str">
        <x:v>Lead</x:v>
      </x:c>
      <x:c r="D156" s="25" t="str">
        <x:v>Medikal Estetik / Plastik Cerrahi</x:v>
      </x:c>
      <x:c r="E156" s="25" t="str">
        <x:v>Doruk Hastaneleri - SİNA ÖZEL Sağlık Hizmetleri A.ş</x:v>
      </x:c>
      <x:c r="F156" s="25" t="str">
        <x:v>ABO / Medikal Estetik lead / 16.04.2026</x:v>
      </x:c>
      <x:c r="G156" s="25" t="str">
        <x:v>genel /  18 - 50  K</x:v>
      </x:c>
      <x:c r="H156" s="25" t="str">
        <x:v>ACTIVE</x:v>
      </x:c>
      <x:c r="I156" s="25" t="str">
        <x:v>LEAD_GENERATION</x:v>
      </x:c>
      <x:c r="J156" s="27" t="n">
        <x:v>0</x:v>
      </x:c>
      <x:c r="K156" s="27" t="n">
        <x:v>0</x:v>
      </x:c>
      <x:c r="L156" s="27" t="n">
        <x:v>300</x:v>
      </x:c>
      <x:c r="M156" s="27" t="n">
        <x:v>0</x:v>
      </x:c>
      <x:c r="N156" s="27" t="n">
        <x:v>7142.26</x:v>
      </x:c>
      <x:c r="O156" s="27" t="n">
        <x:v>1528.19</x:v>
      </x:c>
      <x:c r="P156" s="27" t="n">
        <x:v>8670.45</x:v>
      </x:c>
      <x:c r="Q156" s="29" t="n">
        <x:f>IFERROR(P156/SUMIFS($P$5:$P$167,$F$5:$F$167,F156,$E$5:$E$167,E156),0)</x:f>
        <x:v>0.12609271041628795</x:v>
      </x:c>
      <x:c r="R156" s="28" t="n">
        <x:v>50</x:v>
      </x:c>
      <x:c r="S156" s="28" t="n">
        <x:v>0</x:v>
      </x:c>
      <x:c r="T156" s="28" t="n">
        <x:v>50</x:v>
      </x:c>
      <x:c r="U156" s="28" t="n">
        <x:v>64</x:v>
      </x:c>
      <x:c r="V156" s="28" t="n">
        <x:v>7351</x:v>
      </x:c>
      <x:c r="W156" s="27" t="n">
        <x:f>IFERROR(P156/T156,0)</x:f>
        <x:v>173.40900000000002</x:v>
      </x:c>
      <x:c r="X156" s="25" t="str">
        <x:v>​120249237617200399</x:v>
      </x:c>
    </x:row>
    <x:row r="157">
      <x:c r="A157" s="25" t="str">
        <x:v>Yerli</x:v>
      </x:c>
      <x:c r="B157" s="25" t="str">
        <x:v>Türkçe</x:v>
      </x:c>
      <x:c r="C157" s="25" t="str">
        <x:v>Lead</x:v>
      </x:c>
      <x:c r="D157" s="25" t="str">
        <x:v>Medikal Estetik / Plastik Cerrahi</x:v>
      </x:c>
      <x:c r="E157" s="25" t="str">
        <x:v>Doruk Hastaneleri - SİNA ÖZEL Sağlık Hizmetleri A.ş</x:v>
      </x:c>
      <x:c r="F157" s="25" t="str">
        <x:v>ABO / Medikal Estetik lead / 16.04.2026</x:v>
      </x:c>
      <x:c r="G157" s="25" t="str">
        <x:v>massater botoxu  /  18 - 50  K</x:v>
      </x:c>
      <x:c r="H157" s="25" t="str">
        <x:v>ACTIVE</x:v>
      </x:c>
      <x:c r="I157" s="25" t="str">
        <x:v>LEAD_GENERATION</x:v>
      </x:c>
      <x:c r="J157" s="27" t="n">
        <x:v>0</x:v>
      </x:c>
      <x:c r="K157" s="27" t="n">
        <x:v>0</x:v>
      </x:c>
      <x:c r="L157" s="27" t="n">
        <x:v>300</x:v>
      </x:c>
      <x:c r="M157" s="27" t="n">
        <x:v>0</x:v>
      </x:c>
      <x:c r="N157" s="27" t="n">
        <x:v>7012.81</x:v>
      </x:c>
      <x:c r="O157" s="27" t="n">
        <x:v>1481.64</x:v>
      </x:c>
      <x:c r="P157" s="27" t="n">
        <x:v>8494.45</x:v>
      </x:c>
      <x:c r="Q157" s="29" t="n">
        <x:f>IFERROR(P157/SUMIFS($P$5:$P$167,$F$5:$F$167,F157,$E$5:$E$167,E157),0)</x:f>
        <x:v>0.1235331757862207</x:v>
      </x:c>
      <x:c r="R157" s="28" t="n">
        <x:v>51</x:v>
      </x:c>
      <x:c r="S157" s="28" t="n">
        <x:v>0</x:v>
      </x:c>
      <x:c r="T157" s="28" t="n">
        <x:v>51</x:v>
      </x:c>
      <x:c r="U157" s="28" t="n">
        <x:v>53</x:v>
      </x:c>
      <x:c r="V157" s="28" t="n">
        <x:v>13154</x:v>
      </x:c>
      <x:c r="W157" s="27" t="n">
        <x:f>IFERROR(P157/T157,0)</x:f>
        <x:v>166.5578431372549</x:v>
      </x:c>
      <x:c r="X157" s="25" t="str">
        <x:v>​120249237347420399</x:v>
      </x:c>
    </x:row>
    <x:row r="158">
      <x:c r="A158" s="25" t="str">
        <x:v>Yerli</x:v>
      </x:c>
      <x:c r="B158" s="25" t="str">
        <x:v>Türkçe</x:v>
      </x:c>
      <x:c r="C158" s="25" t="str">
        <x:v>Lead</x:v>
      </x:c>
      <x:c r="D158" s="25" t="str">
        <x:v>Medikal Estetik / Plastik Cerrahi</x:v>
      </x:c>
      <x:c r="E158" s="25" t="str">
        <x:v>Doruk Hastaneleri - SİNA ÖZEL Sağlık Hizmetleri A.ş</x:v>
      </x:c>
      <x:c r="F158" s="25" t="str">
        <x:v>ABO / Medikal Estetik lead / 16.04.2026</x:v>
      </x:c>
      <x:c r="G158" s="25" t="str">
        <x:v>medikal estetik uygulamaları /  18 - 50</x:v>
      </x:c>
      <x:c r="H158" s="25" t="str">
        <x:v>ACTIVE</x:v>
      </x:c>
      <x:c r="I158" s="25" t="str">
        <x:v>LEAD_GENERATION</x:v>
      </x:c>
      <x:c r="J158" s="27" t="n">
        <x:v>0</x:v>
      </x:c>
      <x:c r="K158" s="27" t="n">
        <x:v>0</x:v>
      </x:c>
      <x:c r="L158" s="27" t="n">
        <x:v>300</x:v>
      </x:c>
      <x:c r="M158" s="27" t="n">
        <x:v>0</x:v>
      </x:c>
      <x:c r="N158" s="27" t="n">
        <x:v>6990.81</x:v>
      </x:c>
      <x:c r="O158" s="27" t="n">
        <x:v>1497.09</x:v>
      </x:c>
      <x:c r="P158" s="27" t="n">
        <x:v>8487.9</x:v>
      </x:c>
      <x:c r="Q158" s="29" t="n">
        <x:f>IFERROR(P158/SUMIFS($P$5:$P$167,$F$5:$F$167,F158,$E$5:$E$167,E158),0)</x:f>
        <x:v>0.12343792037811306</x:v>
      </x:c>
      <x:c r="R158" s="28" t="n">
        <x:v>52</x:v>
      </x:c>
      <x:c r="S158" s="28" t="n">
        <x:v>0</x:v>
      </x:c>
      <x:c r="T158" s="28" t="n">
        <x:v>52</x:v>
      </x:c>
      <x:c r="U158" s="28" t="n">
        <x:v>46</x:v>
      </x:c>
      <x:c r="V158" s="28" t="n">
        <x:v>7937</x:v>
      </x:c>
      <x:c r="W158" s="27" t="n">
        <x:f>IFERROR(P158/T158,0)</x:f>
        <x:v>163.22884615384615</x:v>
      </x:c>
      <x:c r="X158" s="25" t="str">
        <x:v>​120249764590750399</x:v>
      </x:c>
    </x:row>
    <x:row r="159">
      <x:c r="A159" s="25" t="str">
        <x:v>Yerli</x:v>
      </x:c>
      <x:c r="B159" s="25" t="str">
        <x:v>Türkçe</x:v>
      </x:c>
      <x:c r="C159" s="25" t="str">
        <x:v>Lead</x:v>
      </x:c>
      <x:c r="D159" s="25" t="str">
        <x:v>Medikal Estetik / Plastik Cerrahi</x:v>
      </x:c>
      <x:c r="E159" s="25" t="str">
        <x:v>Doruk Hastaneleri - SİNA ÖZEL Sağlık Hizmetleri A.ş</x:v>
      </x:c>
      <x:c r="F159" s="25" t="str">
        <x:v>ABO / Medikal Estetik lead / 16.04.2026</x:v>
      </x:c>
      <x:c r="G159" s="25" t="str">
        <x:v>Saç tedavileri  /  18 - 50  K - E</x:v>
      </x:c>
      <x:c r="H159" s="25" t="str">
        <x:v>ACTIVE</x:v>
      </x:c>
      <x:c r="I159" s="25" t="str">
        <x:v>LEAD_GENERATION</x:v>
      </x:c>
      <x:c r="J159" s="27" t="n">
        <x:v>0</x:v>
      </x:c>
      <x:c r="K159" s="27" t="n">
        <x:v>0</x:v>
      </x:c>
      <x:c r="L159" s="27" t="n">
        <x:v>300</x:v>
      </x:c>
      <x:c r="M159" s="27" t="n">
        <x:v>0</x:v>
      </x:c>
      <x:c r="N159" s="27" t="n">
        <x:v>7313.3</x:v>
      </x:c>
      <x:c r="O159" s="27" t="n">
        <x:v>1657.22</x:v>
      </x:c>
      <x:c r="P159" s="27" t="n">
        <x:v>8970.52</x:v>
      </x:c>
      <x:c r="Q159" s="29" t="n">
        <x:f>IFERROR(P159/SUMIFS($P$5:$P$167,$F$5:$F$167,F159,$E$5:$E$167,E159),0)</x:f>
        <x:v>0.13045657153244866</x:v>
      </x:c>
      <x:c r="R159" s="28" t="n">
        <x:v>176</x:v>
      </x:c>
      <x:c r="S159" s="28" t="n">
        <x:v>0</x:v>
      </x:c>
      <x:c r="T159" s="28" t="n">
        <x:v>176</x:v>
      </x:c>
      <x:c r="U159" s="28" t="n">
        <x:v>186</x:v>
      </x:c>
      <x:c r="V159" s="28" t="n">
        <x:v>10331</x:v>
      </x:c>
      <x:c r="W159" s="27" t="n">
        <x:f>IFERROR(P159/T159,0)</x:f>
        <x:v>50.968863636363636</x:v>
      </x:c>
      <x:c r="X159" s="25" t="str">
        <x:v>​120250026634190399</x:v>
      </x:c>
    </x:row>
    <x:row r="160">
      <x:c r="A160" s="25" t="str">
        <x:v>Yerli</x:v>
      </x:c>
      <x:c r="B160" s="25" t="str">
        <x:v>Türkçe</x:v>
      </x:c>
      <x:c r="C160" s="25" t="str">
        <x:v>Lead</x:v>
      </x:c>
      <x:c r="D160" s="25" t="str">
        <x:v>Medikal Estetik / Plastik Cerrahi</x:v>
      </x:c>
      <x:c r="E160" s="25" t="str">
        <x:v>Doruk Hastaneleri - SİNA ÖZEL Sağlık Hizmetleri A.ş</x:v>
      </x:c>
      <x:c r="F160" s="25" t="str">
        <x:v>ABO / Medikal Estetik lead / 16.04.2026</x:v>
      </x:c>
      <x:c r="G160" s="25" t="str">
        <x:v>vücut şekillendirme  /  18 - 50  K</x:v>
      </x:c>
      <x:c r="H160" s="25" t="str">
        <x:v>ACTIVE</x:v>
      </x:c>
      <x:c r="I160" s="25" t="str">
        <x:v>LEAD_GENERATION</x:v>
      </x:c>
      <x:c r="J160" s="27" t="n">
        <x:v>0</x:v>
      </x:c>
      <x:c r="K160" s="27" t="n">
        <x:v>0</x:v>
      </x:c>
      <x:c r="L160" s="27" t="n">
        <x:v>300</x:v>
      </x:c>
      <x:c r="M160" s="27" t="n">
        <x:v>0</x:v>
      </x:c>
      <x:c r="N160" s="27" t="n">
        <x:v>6912.34</x:v>
      </x:c>
      <x:c r="O160" s="27" t="n">
        <x:v>1497.85</x:v>
      </x:c>
      <x:c r="P160" s="27" t="n">
        <x:v>8410.19</x:v>
      </x:c>
      <x:c r="Q160" s="29" t="n">
        <x:f>IFERROR(P160/SUMIFS($P$5:$P$167,$F$5:$F$167,F160,$E$5:$E$167,E160),0)</x:f>
        <x:v>0.122307798582076</x:v>
      </x:c>
      <x:c r="R160" s="28" t="n">
        <x:v>51</x:v>
      </x:c>
      <x:c r="S160" s="28" t="n">
        <x:v>0</x:v>
      </x:c>
      <x:c r="T160" s="28" t="n">
        <x:v>51</x:v>
      </x:c>
      <x:c r="U160" s="28" t="n">
        <x:v>48</x:v>
      </x:c>
      <x:c r="V160" s="28" t="n">
        <x:v>5102</x:v>
      </x:c>
      <x:c r="W160" s="27" t="n">
        <x:f>IFERROR(P160/T160,0)</x:f>
        <x:v>164.9056862745098</x:v>
      </x:c>
      <x:c r="X160" s="25" t="str">
        <x:v>​120248850800470399</x:v>
      </x:c>
    </x:row>
    <x:row r="161">
      <x:c r="A161" s="25" t="str">
        <x:v>Yerli</x:v>
      </x:c>
      <x:c r="B161" s="25" t="str">
        <x:v>Türkçe</x:v>
      </x:c>
      <x:c r="C161" s="25" t="str">
        <x:v>Lead</x:v>
      </x:c>
      <x:c r="D161" s="25" t="str">
        <x:v>Medikal Estetik / Plastik Cerrahi</x:v>
      </x:c>
      <x:c r="E161" s="25" t="str">
        <x:v>Doruk Hastaneleri - SİNA ÖZEL Sağlık Hizmetleri A.ş</x:v>
      </x:c>
      <x:c r="F161" s="25" t="str">
        <x:v>ABO / Meme Estetiği / plastik cerrahi / lead</x:v>
      </x:c>
      <x:c r="G161" s="25" t="str">
        <x:v>Yeni Potansiyel Müşteriler Reklam Seti</x:v>
      </x:c>
      <x:c r="H161" s="25" t="str">
        <x:v>ACTIVE</x:v>
      </x:c>
      <x:c r="I161" s="25" t="str">
        <x:v>LEAD_GENERATION</x:v>
      </x:c>
      <x:c r="J161" s="27" t="n">
        <x:v>0</x:v>
      </x:c>
      <x:c r="K161" s="27" t="n">
        <x:v>0</x:v>
      </x:c>
      <x:c r="L161" s="27" t="n">
        <x:v>1000</x:v>
      </x:c>
      <x:c r="M161" s="27" t="n">
        <x:v>0</x:v>
      </x:c>
      <x:c r="N161" s="27" t="n">
        <x:v>19798.39</x:v>
      </x:c>
      <x:c r="O161" s="27" t="n">
        <x:v>3667.96</x:v>
      </x:c>
      <x:c r="P161" s="27" t="n">
        <x:v>23466.35</x:v>
      </x:c>
      <x:c r="Q161" s="29" t="n">
        <x:f>IFERROR(P161/SUMIFS($P$5:$P$167,$F$5:$F$167,F161,$E$5:$E$167,E161),0)</x:f>
        <x:v>1</x:v>
      </x:c>
      <x:c r="R161" s="28" t="n">
        <x:v>64</x:v>
      </x:c>
      <x:c r="S161" s="28" t="n">
        <x:v>0</x:v>
      </x:c>
      <x:c r="T161" s="28" t="n">
        <x:v>64</x:v>
      </x:c>
      <x:c r="U161" s="28" t="n">
        <x:v>7</x:v>
      </x:c>
      <x:c r="V161" s="28" t="n">
        <x:v>0</x:v>
      </x:c>
      <x:c r="W161" s="27" t="n">
        <x:f>IFERROR(P161/T161,0)</x:f>
        <x:v>366.66171875</x:v>
      </x:c>
      <x:c r="X161" s="25" t="str">
        <x:v>​120211732311200399</x:v>
      </x:c>
    </x:row>
    <x:row r="162">
      <x:c r="A162" s="25" t="str">
        <x:v>Yerli</x:v>
      </x:c>
      <x:c r="B162" s="25" t="str">
        <x:v>Türkçe</x:v>
      </x:c>
      <x:c r="C162" s="25" t="str">
        <x:v>Lead</x:v>
      </x:c>
      <x:c r="D162" s="25" t="str">
        <x:v>Medikal Estetik / Plastik Cerrahi</x:v>
      </x:c>
      <x:c r="E162" s="25" t="str">
        <x:v>Doruk Hastaneleri - SİNA ÖZEL Sağlık Hizmetleri A.ş</x:v>
      </x:c>
      <x:c r="F162" s="25" t="str">
        <x:v>ABO / Rinoplasti / plastik cerrahi / lead</x:v>
      </x:c>
      <x:c r="G162" s="25" t="str">
        <x:v>broad 23-45 K/E</x:v>
      </x:c>
      <x:c r="H162" s="25" t="str">
        <x:v>ACTIVE</x:v>
      </x:c>
      <x:c r="I162" s="25" t="str">
        <x:v>LEAD_GENERATION</x:v>
      </x:c>
      <x:c r="J162" s="27" t="n">
        <x:v>0</x:v>
      </x:c>
      <x:c r="K162" s="27" t="n">
        <x:v>0</x:v>
      </x:c>
      <x:c r="L162" s="27" t="n">
        <x:v>800</x:v>
      </x:c>
      <x:c r="M162" s="27" t="n">
        <x:v>0</x:v>
      </x:c>
      <x:c r="N162" s="27" t="n">
        <x:v>16042.89</x:v>
      </x:c>
      <x:c r="O162" s="27" t="n">
        <x:v>3131.81</x:v>
      </x:c>
      <x:c r="P162" s="27" t="n">
        <x:v>19174.7</x:v>
      </x:c>
      <x:c r="Q162" s="29" t="n">
        <x:f>IFERROR(P162/SUMIFS($P$5:$P$167,$F$5:$F$167,F162,$E$5:$E$167,E162),0)</x:f>
        <x:v>1</x:v>
      </x:c>
      <x:c r="R162" s="28" t="n">
        <x:v>27</x:v>
      </x:c>
      <x:c r="S162" s="28" t="n">
        <x:v>0</x:v>
      </x:c>
      <x:c r="T162" s="28" t="n">
        <x:v>27</x:v>
      </x:c>
      <x:c r="U162" s="28" t="n">
        <x:v>4</x:v>
      </x:c>
      <x:c r="V162" s="28" t="n">
        <x:v>0</x:v>
      </x:c>
      <x:c r="W162" s="27" t="n">
        <x:f>IFERROR(P162/T162,0)</x:f>
        <x:v>710.1740740740742</x:v>
      </x:c>
      <x:c r="X162" s="25" t="str">
        <x:v>​120211732654280399</x:v>
      </x:c>
    </x:row>
    <x:row r="163">
      <x:c r="A163" s="25" t="str">
        <x:v>Yerli</x:v>
      </x:c>
      <x:c r="B163" s="25" t="str">
        <x:v>Türkçe</x:v>
      </x:c>
      <x:c r="C163" s="25" t="str">
        <x:v>Lead</x:v>
      </x:c>
      <x:c r="D163" s="25" t="str">
        <x:v>Medikal Estetik / Plastik Cerrahi</x:v>
      </x:c>
      <x:c r="E163" s="25" t="str">
        <x:v>Doruk Hastaneleri - SİNA ÖZEL Sağlık Hizmetleri A.ş</x:v>
      </x:c>
      <x:c r="F163" s="25" t="str">
        <x:v>ABO / Vücut Şekillendirme / plastik cerrahi / lead</x:v>
      </x:c>
      <x:c r="G163" s="25" t="str">
        <x:v>broad 23 - 50 K</x:v>
      </x:c>
      <x:c r="H163" s="25" t="str">
        <x:v>ACTIVE</x:v>
      </x:c>
      <x:c r="I163" s="25" t="str">
        <x:v>LEAD_GENERATION</x:v>
      </x:c>
      <x:c r="J163" s="27" t="n">
        <x:v>0</x:v>
      </x:c>
      <x:c r="K163" s="27" t="n">
        <x:v>0</x:v>
      </x:c>
      <x:c r="L163" s="27" t="n">
        <x:v>300</x:v>
      </x:c>
      <x:c r="M163" s="27" t="n">
        <x:v>0</x:v>
      </x:c>
      <x:c r="N163" s="27" t="n">
        <x:v>6204.61</x:v>
      </x:c>
      <x:c r="O163" s="27" t="n">
        <x:v>1227.74</x:v>
      </x:c>
      <x:c r="P163" s="27" t="n">
        <x:v>7432.349999999999</x:v>
      </x:c>
      <x:c r="Q163" s="29" t="n">
        <x:f>IFERROR(P163/SUMIFS($P$5:$P$167,$F$5:$F$167,F163,$E$5:$E$167,E163),0)</x:f>
        <x:v>1</x:v>
      </x:c>
      <x:c r="R163" s="28" t="n">
        <x:v>35</x:v>
      </x:c>
      <x:c r="S163" s="28" t="n">
        <x:v>0</x:v>
      </x:c>
      <x:c r="T163" s="28" t="n">
        <x:v>35</x:v>
      </x:c>
      <x:c r="U163" s="28" t="n">
        <x:v>5</x:v>
      </x:c>
      <x:c r="V163" s="28" t="n">
        <x:v>0</x:v>
      </x:c>
      <x:c r="W163" s="27" t="n">
        <x:f>IFERROR(P163/T163,0)</x:f>
        <x:v>212.35285714285712</x:v>
      </x:c>
      <x:c r="X163" s="25" t="str">
        <x:v>​120211732712910399</x:v>
      </x:c>
    </x:row>
    <x:row r="164">
      <x:c r="A164" s="25" t="str">
        <x:v>Yerli</x:v>
      </x:c>
      <x:c r="B164" s="25" t="str">
        <x:v>Türkçe</x:v>
      </x:c>
      <x:c r="C164" s="25" t="str">
        <x:v>Lead</x:v>
      </x:c>
      <x:c r="D164" s="25" t="str">
        <x:v>Medikal Estetik / Plastik Cerrahi</x:v>
      </x:c>
      <x:c r="E164" s="25" t="str">
        <x:v>Doruk Hastaneleri - SİNA ÖZEL Sağlık Hizmetleri A.ş</x:v>
      </x:c>
      <x:c r="F164" s="25" t="str">
        <x:v>ABO / Yüz Germe (Facelift) / plastik cerrahi / lead</x:v>
      </x:c>
      <x:c r="G164" s="25" t="str">
        <x:v>broad 25-45 K</x:v>
      </x:c>
      <x:c r="H164" s="25" t="str">
        <x:v>ACTIVE</x:v>
      </x:c>
      <x:c r="I164" s="25" t="str">
        <x:v>LEAD_GENERATION</x:v>
      </x:c>
      <x:c r="J164" s="27" t="n">
        <x:v>0</x:v>
      </x:c>
      <x:c r="K164" s="27" t="n">
        <x:v>0</x:v>
      </x:c>
      <x:c r="L164" s="27" t="n">
        <x:v>300</x:v>
      </x:c>
      <x:c r="M164" s="27" t="n">
        <x:v>0</x:v>
      </x:c>
      <x:c r="N164" s="27" t="n">
        <x:v>6137.23</x:v>
      </x:c>
      <x:c r="O164" s="27" t="n">
        <x:v>1215.68</x:v>
      </x:c>
      <x:c r="P164" s="27" t="n">
        <x:v>7352.91</x:v>
      </x:c>
      <x:c r="Q164" s="29" t="n">
        <x:f>IFERROR(P164/SUMIFS($P$5:$P$167,$F$5:$F$167,F164,$E$5:$E$167,E164),0)</x:f>
        <x:v>1</x:v>
      </x:c>
      <x:c r="R164" s="28" t="n">
        <x:v>13</x:v>
      </x:c>
      <x:c r="S164" s="28" t="n">
        <x:v>0</x:v>
      </x:c>
      <x:c r="T164" s="28" t="n">
        <x:v>13</x:v>
      </x:c>
      <x:c r="U164" s="28" t="n">
        <x:v>3</x:v>
      </x:c>
      <x:c r="V164" s="28" t="n">
        <x:v>0</x:v>
      </x:c>
      <x:c r="W164" s="27" t="n">
        <x:f>IFERROR(P164/T164,0)</x:f>
        <x:v>565.6084615384615</x:v>
      </x:c>
      <x:c r="X164" s="25" t="str">
        <x:v>​120211732754070399</x:v>
      </x:c>
    </x:row>
    <x:row r="165">
      <x:c r="A165" s="25" t="str">
        <x:v>Yerli</x:v>
      </x:c>
      <x:c r="B165" s="25" t="str">
        <x:v>Türkçe</x:v>
      </x:c>
      <x:c r="C165" s="25" t="str">
        <x:v>Lead</x:v>
      </x:c>
      <x:c r="D165" s="25" t="str">
        <x:v>Medikal Estetik / Plastik Cerrahi</x:v>
      </x:c>
      <x:c r="E165" s="25" t="str">
        <x:v>Doruk Hastaneleri - SİNA ÖZEL Sağlık Hizmetleri A.ş</x:v>
      </x:c>
      <x:c r="F165" s="25" t="str">
        <x:v>ABO /Jinekomasti / plastik cerrahi / lead</x:v>
      </x:c>
      <x:c r="G165" s="25" t="str">
        <x:v>broad 25-50 E</x:v>
      </x:c>
      <x:c r="H165" s="25" t="str">
        <x:v>ACTIVE</x:v>
      </x:c>
      <x:c r="I165" s="25" t="str">
        <x:v>LEAD_GENERATION</x:v>
      </x:c>
      <x:c r="J165" s="27" t="n">
        <x:v>0</x:v>
      </x:c>
      <x:c r="K165" s="27" t="n">
        <x:v>0</x:v>
      </x:c>
      <x:c r="L165" s="27" t="n">
        <x:v>300</x:v>
      </x:c>
      <x:c r="M165" s="27" t="n">
        <x:v>0</x:v>
      </x:c>
      <x:c r="N165" s="27" t="n">
        <x:v>6006.43</x:v>
      </x:c>
      <x:c r="O165" s="27" t="n">
        <x:v>1147.2</x:v>
      </x:c>
      <x:c r="P165" s="27" t="n">
        <x:v>7153.63</x:v>
      </x:c>
      <x:c r="Q165" s="29" t="n">
        <x:f>IFERROR(P165/SUMIFS($P$5:$P$167,$F$5:$F$167,F165,$E$5:$E$167,E165),0)</x:f>
        <x:v>1</x:v>
      </x:c>
      <x:c r="R165" s="28" t="n">
        <x:v>21</x:v>
      </x:c>
      <x:c r="S165" s="28" t="n">
        <x:v>0</x:v>
      </x:c>
      <x:c r="T165" s="28" t="n">
        <x:v>21</x:v>
      </x:c>
      <x:c r="U165" s="28" t="n">
        <x:v>1</x:v>
      </x:c>
      <x:c r="V165" s="28" t="n">
        <x:v>0</x:v>
      </x:c>
      <x:c r="W165" s="27" t="n">
        <x:f>IFERROR(P165/T165,0)</x:f>
        <x:v>340.6490476190476</x:v>
      </x:c>
      <x:c r="X165" s="25" t="str">
        <x:v>​120211732618480399</x:v>
      </x:c>
    </x:row>
    <x:row r="166">
      <x:c r="A166" s="25" t="str">
        <x:v>Yerli</x:v>
      </x:c>
      <x:c r="B166" s="25" t="str">
        <x:v>Türkçe</x:v>
      </x:c>
      <x:c r="C166" s="25" t="str">
        <x:v>Lead</x:v>
      </x:c>
      <x:c r="D166" s="25" t="str">
        <x:v>Medikal Estetik / Plastik Cerrahi</x:v>
      </x:c>
      <x:c r="E166" s="25" t="str">
        <x:v>Doruk Hastaneleri - SİNA ÖZEL Sağlık Hizmetleri A.ş</x:v>
      </x:c>
      <x:c r="F166" s="25" t="str">
        <x:v>ABO /Kepçe Kulak / plastik cerrahi / lead</x:v>
      </x:c>
      <x:c r="G166" s="25" t="str">
        <x:v>Yeni Potansiyel Müşteriler Reklam Seti</x:v>
      </x:c>
      <x:c r="H166" s="25" t="str">
        <x:v>ACTIVE</x:v>
      </x:c>
      <x:c r="I166" s="25" t="str">
        <x:v>LEAD_GENERATION</x:v>
      </x:c>
      <x:c r="J166" s="27" t="n">
        <x:v>0</x:v>
      </x:c>
      <x:c r="K166" s="27" t="n">
        <x:v>0</x:v>
      </x:c>
      <x:c r="L166" s="27" t="n">
        <x:v>300</x:v>
      </x:c>
      <x:c r="M166" s="27" t="n">
        <x:v>0</x:v>
      </x:c>
      <x:c r="N166" s="27" t="n">
        <x:v>5981.94</x:v>
      </x:c>
      <x:c r="O166" s="27" t="n">
        <x:v>1112.14</x:v>
      </x:c>
      <x:c r="P166" s="27" t="n">
        <x:v>7094.08</x:v>
      </x:c>
      <x:c r="Q166" s="29" t="n">
        <x:f>IFERROR(P166/SUMIFS($P$5:$P$167,$F$5:$F$167,F166,$E$5:$E$167,E166),0)</x:f>
        <x:v>1</x:v>
      </x:c>
      <x:c r="R166" s="28" t="n">
        <x:v>29</x:v>
      </x:c>
      <x:c r="S166" s="28" t="n">
        <x:v>0</x:v>
      </x:c>
      <x:c r="T166" s="28" t="n">
        <x:v>29</x:v>
      </x:c>
      <x:c r="U166" s="28" t="n">
        <x:v>3</x:v>
      </x:c>
      <x:c r="V166" s="28" t="n">
        <x:v>0</x:v>
      </x:c>
      <x:c r="W166" s="27" t="n">
        <x:f>IFERROR(P166/T166,0)</x:f>
        <x:v>244.62344827586207</x:v>
      </x:c>
      <x:c r="X166" s="25" t="str">
        <x:v>​120211732243040399</x:v>
      </x:c>
    </x:row>
    <x:row r="167">
      <x:c r="A167" s="25" t="str">
        <x:v>Yerli</x:v>
      </x:c>
      <x:c r="B167" s="25" t="str">
        <x:v>Türkçe</x:v>
      </x:c>
      <x:c r="C167" s="25" t="str">
        <x:v>Lead</x:v>
      </x:c>
      <x:c r="D167" s="25" t="str">
        <x:v>Saç Ekimi</x:v>
      </x:c>
      <x:c r="E167" s="25" t="str">
        <x:v>Doruk Hastaneleri - SİNA ÖZEL Sağlık Hizmetleri A.ş</x:v>
      </x:c>
      <x:c r="F167" s="25" t="str">
        <x:v>CBO / Saç Ekimi - lead / soğuk</x:v>
      </x:c>
      <x:c r="G167" s="25" t="str">
        <x:v>bursa &amp; Çevresi / broad 24 - 55 / görsel test ok</x:v>
      </x:c>
      <x:c r="H167" s="25" t="str">
        <x:v>ACTIVE</x:v>
      </x:c>
      <x:c r="I167" s="25" t="str">
        <x:v>LEAD_GENERATION</x:v>
      </x:c>
      <x:c r="J167" s="27" t="n">
        <x:v>0</x:v>
      </x:c>
      <x:c r="K167" s="27" t="n">
        <x:v>0</x:v>
      </x:c>
      <x:c r="L167" s="27" t="n">
        <x:v>1000</x:v>
      </x:c>
      <x:c r="M167" s="27" t="n">
        <x:v>0</x:v>
      </x:c>
      <x:c r="N167" s="27" t="n">
        <x:v>20233.76</x:v>
      </x:c>
      <x:c r="O167" s="27" t="n">
        <x:v>4352.94</x:v>
      </x:c>
      <x:c r="P167" s="27" t="n">
        <x:v>24586.699999999997</x:v>
      </x:c>
      <x:c r="Q167" s="29" t="n">
        <x:f>IFERROR(P167/SUMIFS($P$5:$P$167,$F$5:$F$167,F167,$E$5:$E$167,E167),0)</x:f>
        <x:v>1</x:v>
      </x:c>
      <x:c r="R167" s="28" t="n">
        <x:v>48</x:v>
      </x:c>
      <x:c r="S167" s="28" t="n">
        <x:v>0</x:v>
      </x:c>
      <x:c r="T167" s="28" t="n">
        <x:v>48</x:v>
      </x:c>
      <x:c r="U167" s="28" t="n">
        <x:v>7</x:v>
      </x:c>
      <x:c r="V167" s="28" t="n">
        <x:v>0</x:v>
      </x:c>
      <x:c r="W167" s="27" t="n">
        <x:f>IFERROR(P167/T167,0)</x:f>
        <x:v>512.2229166666666</x:v>
      </x:c>
      <x:c r="X167" s="25" t="str">
        <x:v>​120207082576030399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755270a3090f43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2" hidden="0" customWidth="1"/>
    <x:col min="5" max="5" width="32" hidden="0" customWidth="1"/>
    <x:col min="6" max="6" width="28" hidden="0" customWidth="1"/>
    <x:col min="7" max="7" width="12" hidden="0" customWidth="1"/>
    <x:col min="8" max="8" width="44" hidden="0" customWidth="1"/>
    <x:col min="9" max="9" width="20" hidden="0" customWidth="1"/>
    <x:col min="10" max="10" width="18" hidden="0" customWidth="1"/>
    <x:col min="11" max="11" width="44" hidden="0" customWidth="1"/>
    <x:col min="12" max="12" width="20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4" hidden="0" customWidth="1"/>
    <x:col min="21" max="21" width="14" hidden="0" customWidth="1"/>
    <x:col min="22" max="22" width="14" hidden="0" customWidth="1"/>
    <x:col min="23" max="23" width="12" hidden="0" customWidth="1"/>
    <x:col min="24" max="24" width="16" hidden="0" customWidth="1"/>
    <x:col min="25" max="25" width="14" hidden="0" customWidth="1"/>
    <x:col min="26" max="26" width="12" hidden="0" customWidth="1"/>
    <x:col min="27" max="27" width="14" hidden="0" customWidth="1"/>
  </x:cols>
  <x:sheetData>
    <x:row r="1">
      <x:c r="A1" s="39" t="str">
        <x:v>Ham Veri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</x:row>
    <x:row r="2">
      <x:c r="A2" s="24" t="str">
        <x:v>Her satır reklam seti + dönemdir. Bu sayfa özetlerin kaynak katmanıdır; değerler canlı Meta okumasından gelir.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  <x:c r="AA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</x:row>
    <x:row r="4">
      <x:c r="A4" s="40" t="str">
        <x:v>Dönem</x:v>
      </x:c>
      <x:c r="B4" s="40" t="str">
        <x:v>Pazar</x:v>
      </x:c>
      <x:c r="C4" s="40" t="str">
        <x:v>Dil</x:v>
      </x:c>
      <x:c r="D4" s="40" t="str">
        <x:v>İş Amacı</x:v>
      </x:c>
      <x:c r="E4" s="40" t="str">
        <x:v>Ana Grup</x:v>
      </x:c>
      <x:c r="F4" s="40" t="str">
        <x:v>Reklam Hesabı</x:v>
      </x:c>
      <x:c r="G4" s="40" t="str">
        <x:v>Para Birimi</x:v>
      </x:c>
      <x:c r="H4" s="40" t="str">
        <x:v>Kampanya</x:v>
      </x:c>
      <x:c r="I4" s="40" t="str">
        <x:v>Kampanya ID</x:v>
      </x:c>
      <x:c r="J4" s="40" t="str">
        <x:v>Kampanya Durumu</x:v>
      </x:c>
      <x:c r="K4" s="40" t="str">
        <x:v>Reklam Seti</x:v>
      </x:c>
      <x:c r="L4" s="40" t="str">
        <x:v>Set ID</x:v>
      </x:c>
      <x:c r="M4" s="40" t="str">
        <x:v>Set Durumu</x:v>
      </x:c>
      <x:c r="N4" s="40" t="str">
        <x:v>Optimizasyon</x:v>
      </x:c>
      <x:c r="O4" s="40" t="str">
        <x:v>Kampanya Günlük Bütçe</x:v>
      </x:c>
      <x:c r="P4" s="40" t="str">
        <x:v>Kampanya Ömür Boyu</x:v>
      </x:c>
      <x:c r="Q4" s="40" t="str">
        <x:v>Set Günlük Bütçe</x:v>
      </x:c>
      <x:c r="R4" s="40" t="str">
        <x:v>Set Ömür Boyu</x:v>
      </x:c>
      <x:c r="S4" s="40" t="str">
        <x:v>Gerçekleşen Harcama</x:v>
      </x:c>
      <x:c r="T4" s="40" t="str">
        <x:v>Gösterim</x:v>
      </x:c>
      <x:c r="U4" s="40" t="str">
        <x:v>Erişim</x:v>
      </x:c>
      <x:c r="V4" s="40" t="str">
        <x:v>Tıklama</x:v>
      </x:c>
      <x:c r="W4" s="40" t="str">
        <x:v>Form Lead</x:v>
      </x:c>
      <x:c r="X4" s="40" t="str">
        <x:v>WhatsApp Lead</x:v>
      </x:c>
      <x:c r="Y4" s="40" t="str">
        <x:v>Toplam Lead</x:v>
      </x:c>
      <x:c r="Z4" s="40" t="str">
        <x:v>Ham Mesaj Sonucu</x:v>
      </x:c>
      <x:c r="AA4" s="40" t="str">
        <x:v>Video İzlenme</x:v>
      </x:c>
    </x:row>
    <x:row r="5">
      <x:c r="A5" s="25" t="str">
        <x:v>Temmuz 2026</x:v>
      </x:c>
      <x:c r="B5" s="25" t="str">
        <x:v>Yabancı</x:v>
      </x:c>
      <x:c r="C5" s="25" t="str">
        <x:v>Rusça</x:v>
      </x:c>
      <x:c r="D5" s="25" t="str">
        <x:v>Bilinirlik / İzlenme / Trafik</x:v>
      </x:c>
      <x:c r="E5" s="25" t="str">
        <x:v>Onkoloji</x:v>
      </x:c>
      <x:c r="F5" s="25" t="str">
        <x:v>Doruk Hospital</x:v>
      </x:c>
      <x:c r="G5" s="25" t="str">
        <x:v>TRY</x:v>
      </x:c>
      <x:c r="H5" s="25" t="str">
        <x:v>Instagram gönderisi: Аппарат TrueBeam — одна из...</x:v>
      </x:c>
      <x:c r="I5" s="25" t="str">
        <x:v>​120242709752170080</x:v>
      </x:c>
      <x:c r="J5" s="25" t="str">
        <x:v>ACTIVE</x:v>
      </x:c>
      <x:c r="K5" s="25" t="str">
        <x:v>Instagram gönderisi: Аппарат TrueBeam — одна из...</x:v>
      </x:c>
      <x:c r="L5" s="25" t="str">
        <x:v>​120242709752580080</x:v>
      </x:c>
      <x:c r="M5" s="25" t="str">
        <x:v>ACTIVE</x:v>
      </x:c>
      <x:c r="N5" s="25" t="str">
        <x:v>VISIT_INSTAGRAM_PROFILE</x:v>
      </x:c>
      <x:c r="O5" s="27" t="n">
        <x:v>4000</x:v>
      </x:c>
      <x:c r="P5" s="27" t="n">
        <x:v>0</x:v>
      </x:c>
      <x:c r="Q5" s="27" t="n">
        <x:v>0</x:v>
      </x:c>
      <x:c r="R5" s="27" t="n">
        <x:v>0</x:v>
      </x:c>
      <x:c r="S5" s="27" t="n">
        <x:v>75159.75</x:v>
      </x:c>
      <x:c r="T5" s="28" t="n">
        <x:v>1605488</x:v>
      </x:c>
      <x:c r="U5" s="28" t="n">
        <x:v>904980</x:v>
      </x:c>
      <x:c r="V5" s="28" t="n">
        <x:v>29996</x:v>
      </x:c>
      <x:c r="W5" s="28" t="n">
        <x:v>0</x:v>
      </x:c>
      <x:c r="X5" s="28" t="n">
        <x:v>0</x:v>
      </x:c>
      <x:c r="Y5" s="28" t="n">
        <x:v>0</x:v>
      </x:c>
      <x:c r="Z5" s="28" t="n">
        <x:v>49</x:v>
      </x:c>
      <x:c r="AA5" s="28" t="n">
        <x:v>357355</x:v>
      </x:c>
    </x:row>
    <x:row r="6">
      <x:c r="A6" s="25" t="str">
        <x:v>Ağustos 2026</x:v>
      </x:c>
      <x:c r="B6" s="25" t="str">
        <x:v>Yabancı</x:v>
      </x:c>
      <x:c r="C6" s="25" t="str">
        <x:v>Rusça</x:v>
      </x:c>
      <x:c r="D6" s="25" t="str">
        <x:v>Bilinirlik / İzlenme / Trafik</x:v>
      </x:c>
      <x:c r="E6" s="25" t="str">
        <x:v>Onkoloji</x:v>
      </x:c>
      <x:c r="F6" s="25" t="str">
        <x:v>Doruk Hospital</x:v>
      </x:c>
      <x:c r="G6" s="25" t="str">
        <x:v>TRY</x:v>
      </x:c>
      <x:c r="H6" s="25" t="str">
        <x:v>Instagram gönderisi: Аппарат TrueBeam — одна из...</x:v>
      </x:c>
      <x:c r="I6" s="25" t="str">
        <x:v>​120242709752170080</x:v>
      </x:c>
      <x:c r="J6" s="25" t="str">
        <x:v>ACTIVE</x:v>
      </x:c>
      <x:c r="K6" s="25" t="str">
        <x:v>Instagram gönderisi: Аппарат TrueBeam — одна из...</x:v>
      </x:c>
      <x:c r="L6" s="25" t="str">
        <x:v>​120242709752580080</x:v>
      </x:c>
      <x:c r="M6" s="25" t="str">
        <x:v>ACTIVE</x:v>
      </x:c>
      <x:c r="N6" s="25" t="str">
        <x:v>VISIT_INSTAGRAM_PROFILE</x:v>
      </x:c>
      <x:c r="O6" s="27" t="n">
        <x:v>4000</x:v>
      </x:c>
      <x:c r="P6" s="27" t="n">
        <x:v>0</x:v>
      </x:c>
      <x:c r="Q6" s="27" t="n">
        <x:v>0</x:v>
      </x:c>
      <x:c r="R6" s="27" t="n">
        <x:v>0</x:v>
      </x:c>
      <x:c r="S6" s="27" t="n">
        <x:v>16694.04</x:v>
      </x:c>
      <x:c r="T6" s="28" t="n">
        <x:v>307281</x:v>
      </x:c>
      <x:c r="U6" s="28" t="n">
        <x:v>261345</x:v>
      </x:c>
      <x:c r="V6" s="28" t="n">
        <x:v>7427</x:v>
      </x:c>
      <x:c r="W6" s="28" t="n">
        <x:v>0</x:v>
      </x:c>
      <x:c r="X6" s="28" t="n">
        <x:v>0</x:v>
      </x:c>
      <x:c r="Y6" s="28" t="n">
        <x:v>0</x:v>
      </x:c>
      <x:c r="Z6" s="28" t="n">
        <x:v>7</x:v>
      </x:c>
      <x:c r="AA6" s="28" t="n">
        <x:v>80129</x:v>
      </x:c>
    </x:row>
    <x:row r="7">
      <x:c r="A7" s="25" t="str">
        <x:v>Temmuz 2026</x:v>
      </x:c>
      <x:c r="B7" s="25" t="str">
        <x:v>Yabancı</x:v>
      </x:c>
      <x:c r="C7" s="25" t="str">
        <x:v>Rusça</x:v>
      </x:c>
      <x:c r="D7" s="25" t="str">
        <x:v>Lead</x:v>
      </x:c>
      <x:c r="E7" s="25" t="str">
        <x:v>Fizik Tedavi / Rehabilitasyon</x:v>
      </x:c>
      <x:c r="F7" s="25" t="str">
        <x:v>Doruk Hospital</x:v>
      </x:c>
      <x:c r="G7" s="25" t="str">
        <x:v>TRY</x:v>
      </x:c>
      <x:c r="H7" s="25" t="str">
        <x:v>Fizik Tedavi - Intensive FTR - Türki Cumhuriyetler - Tümü - RU - Lechenie v Turtsii - lead</x:v>
      </x:c>
      <x:c r="I7" s="25" t="str">
        <x:v>​120232382033210080</x:v>
      </x:c>
      <x:c r="J7" s="25" t="str">
        <x:v>ACTIVE</x:v>
      </x:c>
      <x:c r="K7" s="25" t="str">
        <x:v>FTR - genel - lead - cold - kazakistan - kombine2</x:v>
      </x:c>
      <x:c r="L7" s="25" t="str">
        <x:v>​120238630159690080</x:v>
      </x:c>
      <x:c r="M7" s="25" t="str">
        <x:v>ACTIVE</x:v>
      </x:c>
      <x:c r="N7" s="25" t="str">
        <x:v>LEAD_GENERATION</x:v>
      </x:c>
      <x:c r="O7" s="27" t="n">
        <x:v>0</x:v>
      </x:c>
      <x:c r="P7" s="27" t="n">
        <x:v>0</x:v>
      </x:c>
      <x:c r="Q7" s="27" t="n">
        <x:v>9000</x:v>
      </x:c>
      <x:c r="R7" s="27" t="n">
        <x:v>0</x:v>
      </x:c>
      <x:c r="S7" s="27" t="n">
        <x:v>186491.28</x:v>
      </x:c>
      <x:c r="T7" s="28" t="n">
        <x:v>583668</x:v>
      </x:c>
      <x:c r="U7" s="28" t="n">
        <x:v>299811</x:v>
      </x:c>
      <x:c r="V7" s="28" t="n">
        <x:v>4970</x:v>
      </x:c>
      <x:c r="W7" s="28" t="n">
        <x:v>152</x:v>
      </x:c>
      <x:c r="X7" s="28" t="n">
        <x:v>0</x:v>
      </x:c>
      <x:c r="Y7" s="28" t="n">
        <x:v>152</x:v>
      </x:c>
      <x:c r="Z7" s="28" t="n">
        <x:v>52</x:v>
      </x:c>
      <x:c r="AA7" s="28" t="n">
        <x:v>92090</x:v>
      </x:c>
    </x:row>
    <x:row r="8">
      <x:c r="A8" s="25" t="str">
        <x:v>Ağustos 2026</x:v>
      </x:c>
      <x:c r="B8" s="25" t="str">
        <x:v>Yabancı</x:v>
      </x:c>
      <x:c r="C8" s="25" t="str">
        <x:v>Rusça</x:v>
      </x:c>
      <x:c r="D8" s="25" t="str">
        <x:v>Lead</x:v>
      </x:c>
      <x:c r="E8" s="25" t="str">
        <x:v>Fizik Tedavi / Rehabilitasyon</x:v>
      </x:c>
      <x:c r="F8" s="25" t="str">
        <x:v>Doruk Hospital</x:v>
      </x:c>
      <x:c r="G8" s="25" t="str">
        <x:v>TRY</x:v>
      </x:c>
      <x:c r="H8" s="25" t="str">
        <x:v>Fizik Tedavi - Intensive FTR - Türki Cumhuriyetler - Tümü - RU - Lechenie v Turtsii - lead</x:v>
      </x:c>
      <x:c r="I8" s="25" t="str">
        <x:v>​120232382033210080</x:v>
      </x:c>
      <x:c r="J8" s="25" t="str">
        <x:v>ACTIVE</x:v>
      </x:c>
      <x:c r="K8" s="25" t="str">
        <x:v>FTR - genel - lead - cold - kazakistan - kombine2</x:v>
      </x:c>
      <x:c r="L8" s="25" t="str">
        <x:v>​120238630159690080</x:v>
      </x:c>
      <x:c r="M8" s="25" t="str">
        <x:v>ACTIVE</x:v>
      </x:c>
      <x:c r="N8" s="25" t="str">
        <x:v>LEAD_GENERATION</x:v>
      </x:c>
      <x:c r="O8" s="27" t="n">
        <x:v>0</x:v>
      </x:c>
      <x:c r="P8" s="27" t="n">
        <x:v>0</x:v>
      </x:c>
      <x:c r="Q8" s="27" t="n">
        <x:v>9000</x:v>
      </x:c>
      <x:c r="R8" s="27" t="n">
        <x:v>0</x:v>
      </x:c>
      <x:c r="S8" s="27" t="n">
        <x:v>39338.17</x:v>
      </x:c>
      <x:c r="T8" s="28" t="n">
        <x:v>147024</x:v>
      </x:c>
      <x:c r="U8" s="28" t="n">
        <x:v>114541</x:v>
      </x:c>
      <x:c r="V8" s="28" t="n">
        <x:v>1105</x:v>
      </x:c>
      <x:c r="W8" s="28" t="n">
        <x:v>20</x:v>
      </x:c>
      <x:c r="X8" s="28" t="n">
        <x:v>0</x:v>
      </x:c>
      <x:c r="Y8" s="28" t="n">
        <x:v>20</x:v>
      </x:c>
      <x:c r="Z8" s="28" t="n">
        <x:v>3</x:v>
      </x:c>
      <x:c r="AA8" s="28" t="n">
        <x:v>21658</x:v>
      </x:c>
    </x:row>
    <x:row r="9">
      <x:c r="A9" s="25" t="str">
        <x:v>Temmuz 2026</x:v>
      </x:c>
      <x:c r="B9" s="25" t="str">
        <x:v>Yabancı</x:v>
      </x:c>
      <x:c r="C9" s="25" t="str">
        <x:v>Rusça</x:v>
      </x:c>
      <x:c r="D9" s="25" t="str">
        <x:v>Lead</x:v>
      </x:c>
      <x:c r="E9" s="25" t="str">
        <x:v>Fizik Tedavi / Rehabilitasyon</x:v>
      </x:c>
      <x:c r="F9" s="25" t="str">
        <x:v>Doruk Hospital</x:v>
      </x:c>
      <x:c r="G9" s="25" t="str">
        <x:v>TRY</x:v>
      </x:c>
      <x:c r="H9" s="25" t="str">
        <x:v>Fizik Tedavi - Intensive FTR - Türki Cumhuriyetler - Tümü - RU - Lechenie v Turtsii - lead</x:v>
      </x:c>
      <x:c r="I9" s="25" t="str">
        <x:v>​120232382033210080</x:v>
      </x:c>
      <x:c r="J9" s="25" t="str">
        <x:v>ACTIVE</x:v>
      </x:c>
      <x:c r="K9" s="25" t="str">
        <x:v>FTR - genel - lead - cold - Kırgızistan,Tacikistan- kombine2 - iOS hedefli - Kopya</x:v>
      </x:c>
      <x:c r="L9" s="25" t="str">
        <x:v>​120241183408140080</x:v>
      </x:c>
      <x:c r="M9" s="25" t="str">
        <x:v>ACTIVE</x:v>
      </x:c>
      <x:c r="N9" s="25" t="str">
        <x:v>LEAD_GENERATION</x:v>
      </x:c>
      <x:c r="O9" s="27" t="n">
        <x:v>0</x:v>
      </x:c>
      <x:c r="P9" s="27" t="n">
        <x:v>0</x:v>
      </x:c>
      <x:c r="Q9" s="27" t="n">
        <x:v>3000</x:v>
      </x:c>
      <x:c r="R9" s="27" t="n">
        <x:v>0</x:v>
      </x:c>
      <x:c r="S9" s="27" t="n">
        <x:v>58285.29</x:v>
      </x:c>
      <x:c r="T9" s="28" t="n">
        <x:v>855370</x:v>
      </x:c>
      <x:c r="U9" s="28" t="n">
        <x:v>276489</x:v>
      </x:c>
      <x:c r="V9" s="28" t="n">
        <x:v>6153</x:v>
      </x:c>
      <x:c r="W9" s="28" t="n">
        <x:v>41</x:v>
      </x:c>
      <x:c r="X9" s="28" t="n">
        <x:v>0</x:v>
      </x:c>
      <x:c r="Y9" s="28" t="n">
        <x:v>41</x:v>
      </x:c>
      <x:c r="Z9" s="28" t="n">
        <x:v>20</x:v>
      </x:c>
      <x:c r="AA9" s="28" t="n">
        <x:v>101111</x:v>
      </x:c>
    </x:row>
    <x:row r="10">
      <x:c r="A10" s="25" t="str">
        <x:v>Ağustos 2026</x:v>
      </x:c>
      <x:c r="B10" s="25" t="str">
        <x:v>Yabancı</x:v>
      </x:c>
      <x:c r="C10" s="25" t="str">
        <x:v>Rusça</x:v>
      </x:c>
      <x:c r="D10" s="25" t="str">
        <x:v>Lead</x:v>
      </x:c>
      <x:c r="E10" s="25" t="str">
        <x:v>Fizik Tedavi / Rehabilitasyon</x:v>
      </x:c>
      <x:c r="F10" s="25" t="str">
        <x:v>Doruk Hospital</x:v>
      </x:c>
      <x:c r="G10" s="25" t="str">
        <x:v>TRY</x:v>
      </x:c>
      <x:c r="H10" s="25" t="str">
        <x:v>Fizik Tedavi - Intensive FTR - Türki Cumhuriyetler - Tümü - RU - Lechenie v Turtsii - lead</x:v>
      </x:c>
      <x:c r="I10" s="25" t="str">
        <x:v>​120232382033210080</x:v>
      </x:c>
      <x:c r="J10" s="25" t="str">
        <x:v>ACTIVE</x:v>
      </x:c>
      <x:c r="K10" s="25" t="str">
        <x:v>FTR - genel - lead - cold - Kırgızistan,Tacikistan- kombine2 - iOS hedefli - Kopya</x:v>
      </x:c>
      <x:c r="L10" s="25" t="str">
        <x:v>​120241183408140080</x:v>
      </x:c>
      <x:c r="M10" s="25" t="str">
        <x:v>ACTIVE</x:v>
      </x:c>
      <x:c r="N10" s="25" t="str">
        <x:v>LEAD_GENERATION</x:v>
      </x:c>
      <x:c r="O10" s="27" t="n">
        <x:v>0</x:v>
      </x:c>
      <x:c r="P10" s="27" t="n">
        <x:v>0</x:v>
      </x:c>
      <x:c r="Q10" s="27" t="n">
        <x:v>3000</x:v>
      </x:c>
      <x:c r="R10" s="27" t="n">
        <x:v>0</x:v>
      </x:c>
      <x:c r="S10" s="27" t="n">
        <x:v>13001.13</x:v>
      </x:c>
      <x:c r="T10" s="28" t="n">
        <x:v>232155</x:v>
      </x:c>
      <x:c r="U10" s="28" t="n">
        <x:v>150891</x:v>
      </x:c>
      <x:c r="V10" s="28" t="n">
        <x:v>1515</x:v>
      </x:c>
      <x:c r="W10" s="28" t="n">
        <x:v>6</x:v>
      </x:c>
      <x:c r="X10" s="28" t="n">
        <x:v>0</x:v>
      </x:c>
      <x:c r="Y10" s="28" t="n">
        <x:v>6</x:v>
      </x:c>
      <x:c r="Z10" s="28" t="n">
        <x:v>3</x:v>
      </x:c>
      <x:c r="AA10" s="28" t="n">
        <x:v>22797</x:v>
      </x:c>
    </x:row>
    <x:row r="11">
      <x:c r="A11" s="25" t="str">
        <x:v>Temmuz 2026</x:v>
      </x:c>
      <x:c r="B11" s="25" t="str">
        <x:v>Yabancı</x:v>
      </x:c>
      <x:c r="C11" s="25" t="str">
        <x:v>Rusça</x:v>
      </x:c>
      <x:c r="D11" s="25" t="str">
        <x:v>Lead</x:v>
      </x:c>
      <x:c r="E11" s="25" t="str">
        <x:v>Fizik Tedavi / Rehabilitasyon</x:v>
      </x:c>
      <x:c r="F11" s="25" t="str">
        <x:v>Doruk Hospital</x:v>
      </x:c>
      <x:c r="G11" s="25" t="str">
        <x:v>TRY</x:v>
      </x:c>
      <x:c r="H11" s="25" t="str">
        <x:v>Fizik Tedavi - Intensive FTR - Türki Cumhuriyetler - Tümü - RU - Lechenie v Turtsii - lead</x:v>
      </x:c>
      <x:c r="I11" s="25" t="str">
        <x:v>​120232382033210080</x:v>
      </x:c>
      <x:c r="J11" s="25" t="str">
        <x:v>ACTIVE</x:v>
      </x:c>
      <x:c r="K11" s="25" t="str">
        <x:v>FTR - genel - lead - cold - Kırgızistan,Tacikistan,Belarus,Gürcistan - kombine2 - Android hedefli - Kopya - Kopya</x:v>
      </x:c>
      <x:c r="L11" s="25" t="str">
        <x:v>​120241183620740080</x:v>
      </x:c>
      <x:c r="M11" s="25" t="str">
        <x:v>ACTIVE</x:v>
      </x:c>
      <x:c r="N11" s="25" t="str">
        <x:v>LEAD_GENERATION</x:v>
      </x:c>
      <x:c r="O11" s="27" t="n">
        <x:v>0</x:v>
      </x:c>
      <x:c r="P11" s="27" t="n">
        <x:v>0</x:v>
      </x:c>
      <x:c r="Q11" s="27" t="n">
        <x:v>3000</x:v>
      </x:c>
      <x:c r="R11" s="27" t="n">
        <x:v>0</x:v>
      </x:c>
      <x:c r="S11" s="27" t="n">
        <x:v>58033.3</x:v>
      </x:c>
      <x:c r="T11" s="28" t="n">
        <x:v>624731</x:v>
      </x:c>
      <x:c r="U11" s="28" t="n">
        <x:v>151202</x:v>
      </x:c>
      <x:c r="V11" s="28" t="n">
        <x:v>4219</x:v>
      </x:c>
      <x:c r="W11" s="28" t="n">
        <x:v>16</x:v>
      </x:c>
      <x:c r="X11" s="28" t="n">
        <x:v>0</x:v>
      </x:c>
      <x:c r="Y11" s="28" t="n">
        <x:v>16</x:v>
      </x:c>
      <x:c r="Z11" s="28" t="n">
        <x:v>11</x:v>
      </x:c>
      <x:c r="AA11" s="28" t="n">
        <x:v>84882</x:v>
      </x:c>
    </x:row>
    <x:row r="12">
      <x:c r="A12" s="25" t="str">
        <x:v>Ağustos 2026</x:v>
      </x:c>
      <x:c r="B12" s="25" t="str">
        <x:v>Yabancı</x:v>
      </x:c>
      <x:c r="C12" s="25" t="str">
        <x:v>Rusça</x:v>
      </x:c>
      <x:c r="D12" s="25" t="str">
        <x:v>Lead</x:v>
      </x:c>
      <x:c r="E12" s="25" t="str">
        <x:v>Fizik Tedavi / Rehabilitasyon</x:v>
      </x:c>
      <x:c r="F12" s="25" t="str">
        <x:v>Doruk Hospital</x:v>
      </x:c>
      <x:c r="G12" s="25" t="str">
        <x:v>TRY</x:v>
      </x:c>
      <x:c r="H12" s="25" t="str">
        <x:v>Fizik Tedavi - Intensive FTR - Türki Cumhuriyetler - Tümü - RU - Lechenie v Turtsii - lead</x:v>
      </x:c>
      <x:c r="I12" s="25" t="str">
        <x:v>​120232382033210080</x:v>
      </x:c>
      <x:c r="J12" s="25" t="str">
        <x:v>ACTIVE</x:v>
      </x:c>
      <x:c r="K12" s="25" t="str">
        <x:v>FTR - genel - lead - cold - Kırgızistan,Tacikistan,Belarus,Gürcistan - kombine2 - Android hedefli - Kopya - Kopya</x:v>
      </x:c>
      <x:c r="L12" s="25" t="str">
        <x:v>​120241183620740080</x:v>
      </x:c>
      <x:c r="M12" s="25" t="str">
        <x:v>ACTIVE</x:v>
      </x:c>
      <x:c r="N12" s="25" t="str">
        <x:v>LEAD_GENERATION</x:v>
      </x:c>
      <x:c r="O12" s="27" t="n">
        <x:v>0</x:v>
      </x:c>
      <x:c r="P12" s="27" t="n">
        <x:v>0</x:v>
      </x:c>
      <x:c r="Q12" s="27" t="n">
        <x:v>3000</x:v>
      </x:c>
      <x:c r="R12" s="27" t="n">
        <x:v>0</x:v>
      </x:c>
      <x:c r="S12" s="27" t="n">
        <x:v>13133.61</x:v>
      </x:c>
      <x:c r="T12" s="28" t="n">
        <x:v>154098</x:v>
      </x:c>
      <x:c r="U12" s="28" t="n">
        <x:v>79320</x:v>
      </x:c>
      <x:c r="V12" s="28" t="n">
        <x:v>1118</x:v>
      </x:c>
      <x:c r="W12" s="28" t="n">
        <x:v>4</x:v>
      </x:c>
      <x:c r="X12" s="28" t="n">
        <x:v>0</x:v>
      </x:c>
      <x:c r="Y12" s="28" t="n">
        <x:v>4</x:v>
      </x:c>
      <x:c r="Z12" s="28" t="n">
        <x:v>3</x:v>
      </x:c>
      <x:c r="AA12" s="28" t="n">
        <x:v>20752</x:v>
      </x:c>
    </x:row>
    <x:row r="13">
      <x:c r="A13" s="25" t="str">
        <x:v>Temmuz 2026</x:v>
      </x:c>
      <x:c r="B13" s="25" t="str">
        <x:v>Yabancı</x:v>
      </x:c>
      <x:c r="C13" s="25" t="str">
        <x:v>Rusça</x:v>
      </x:c>
      <x:c r="D13" s="25" t="str">
        <x:v>Lead</x:v>
      </x:c>
      <x:c r="E13" s="25" t="str">
        <x:v>Fizik Tedavi / Rehabilitasyon</x:v>
      </x:c>
      <x:c r="F13" s="25" t="str">
        <x:v>Doruk Hospital</x:v>
      </x:c>
      <x:c r="G13" s="25" t="str">
        <x:v>TRY</x:v>
      </x:c>
      <x:c r="H13" s="25" t="str">
        <x:v>Fizik Tedavi - Intensive FTR - Türki Cumhuriyetler - Tümü - RU - Lechenie v Turtsii - lead</x:v>
      </x:c>
      <x:c r="I13" s="25" t="str">
        <x:v>​120232382033210080</x:v>
      </x:c>
      <x:c r="J13" s="25" t="str">
        <x:v>ACTIVE</x:v>
      </x:c>
      <x:c r="K13" s="25" t="str">
        <x:v>FTR - genel - lead - cold - özbekistan - kombine2 - Android hedefli - Kopya</x:v>
      </x:c>
      <x:c r="L13" s="25" t="str">
        <x:v>​120241183245540080</x:v>
      </x:c>
      <x:c r="M13" s="25" t="str">
        <x:v>ACTIVE</x:v>
      </x:c>
      <x:c r="N13" s="25" t="str">
        <x:v>LEAD_GENERATION</x:v>
      </x:c>
      <x:c r="O13" s="27" t="n">
        <x:v>0</x:v>
      </x:c>
      <x:c r="P13" s="27" t="n">
        <x:v>0</x:v>
      </x:c>
      <x:c r="Q13" s="27" t="n">
        <x:v>2500</x:v>
      </x:c>
      <x:c r="R13" s="27" t="n">
        <x:v>0</x:v>
      </x:c>
      <x:c r="S13" s="27" t="n">
        <x:v>52245.49</x:v>
      </x:c>
      <x:c r="T13" s="28" t="n">
        <x:v>443643</x:v>
      </x:c>
      <x:c r="U13" s="28" t="n">
        <x:v>145388</x:v>
      </x:c>
      <x:c r="V13" s="28" t="n">
        <x:v>2784</x:v>
      </x:c>
      <x:c r="W13" s="28" t="n">
        <x:v>35</x:v>
      </x:c>
      <x:c r="X13" s="28" t="n">
        <x:v>0</x:v>
      </x:c>
      <x:c r="Y13" s="28" t="n">
        <x:v>35</x:v>
      </x:c>
      <x:c r="Z13" s="28" t="n">
        <x:v>6</x:v>
      </x:c>
      <x:c r="AA13" s="28" t="n">
        <x:v>54953</x:v>
      </x:c>
    </x:row>
    <x:row r="14">
      <x:c r="A14" s="25" t="str">
        <x:v>Ağustos 2026</x:v>
      </x:c>
      <x:c r="B14" s="25" t="str">
        <x:v>Yabancı</x:v>
      </x:c>
      <x:c r="C14" s="25" t="str">
        <x:v>Rusça</x:v>
      </x:c>
      <x:c r="D14" s="25" t="str">
        <x:v>Lead</x:v>
      </x:c>
      <x:c r="E14" s="25" t="str">
        <x:v>Fizik Tedavi / Rehabilitasyon</x:v>
      </x:c>
      <x:c r="F14" s="25" t="str">
        <x:v>Doruk Hospital</x:v>
      </x:c>
      <x:c r="G14" s="25" t="str">
        <x:v>TRY</x:v>
      </x:c>
      <x:c r="H14" s="25" t="str">
        <x:v>Fizik Tedavi - Intensive FTR - Türki Cumhuriyetler - Tümü - RU - Lechenie v Turtsii - lead</x:v>
      </x:c>
      <x:c r="I14" s="25" t="str">
        <x:v>​120232382033210080</x:v>
      </x:c>
      <x:c r="J14" s="25" t="str">
        <x:v>ACTIVE</x:v>
      </x:c>
      <x:c r="K14" s="25" t="str">
        <x:v>FTR - genel - lead - cold - özbekistan - kombine2 - Android hedefli - Kopya</x:v>
      </x:c>
      <x:c r="L14" s="25" t="str">
        <x:v>​120241183245540080</x:v>
      </x:c>
      <x:c r="M14" s="25" t="str">
        <x:v>ACTIVE</x:v>
      </x:c>
      <x:c r="N14" s="25" t="str">
        <x:v>LEAD_GENERATION</x:v>
      </x:c>
      <x:c r="O14" s="27" t="n">
        <x:v>0</x:v>
      </x:c>
      <x:c r="P14" s="27" t="n">
        <x:v>0</x:v>
      </x:c>
      <x:c r="Q14" s="27" t="n">
        <x:v>2500</x:v>
      </x:c>
      <x:c r="R14" s="27" t="n">
        <x:v>0</x:v>
      </x:c>
      <x:c r="S14" s="27" t="n">
        <x:v>12907.94</x:v>
      </x:c>
      <x:c r="T14" s="28" t="n">
        <x:v>134090</x:v>
      </x:c>
      <x:c r="U14" s="28" t="n">
        <x:v>80156</x:v>
      </x:c>
      <x:c r="V14" s="28" t="n">
        <x:v>789</x:v>
      </x:c>
      <x:c r="W14" s="28" t="n">
        <x:v>4</x:v>
      </x:c>
      <x:c r="X14" s="28" t="n">
        <x:v>0</x:v>
      </x:c>
      <x:c r="Y14" s="28" t="n">
        <x:v>4</x:v>
      </x:c>
      <x:c r="Z14" s="28" t="n">
        <x:v>0</x:v>
      </x:c>
      <x:c r="AA14" s="28" t="n">
        <x:v>15415</x:v>
      </x:c>
    </x:row>
    <x:row r="15">
      <x:c r="A15" s="25" t="str">
        <x:v>Temmuz 2026</x:v>
      </x:c>
      <x:c r="B15" s="25" t="str">
        <x:v>Yabancı</x:v>
      </x:c>
      <x:c r="C15" s="25" t="str">
        <x:v>Rusça</x:v>
      </x:c>
      <x:c r="D15" s="25" t="str">
        <x:v>Lead</x:v>
      </x:c>
      <x:c r="E15" s="25" t="str">
        <x:v>Fizik Tedavi / Rehabilitasyon</x:v>
      </x:c>
      <x:c r="F15" s="25" t="str">
        <x:v>Doruk Hospital</x:v>
      </x:c>
      <x:c r="G15" s="25" t="str">
        <x:v>TRY</x:v>
      </x:c>
      <x:c r="H15" s="25" t="str">
        <x:v>Fizik Tedavi - Intensive FTR - Türki Cumhuriyetler - Tümü - RU - Lechenie v Turtsii - lead</x:v>
      </x:c>
      <x:c r="I15" s="25" t="str">
        <x:v>​120232382033210080</x:v>
      </x:c>
      <x:c r="J15" s="25" t="str">
        <x:v>ACTIVE</x:v>
      </x:c>
      <x:c r="K15" s="25" t="str">
        <x:v>FTR - genel - lead - cold - özbekistan- kombine2 - iOS hedefli</x:v>
      </x:c>
      <x:c r="L15" s="25" t="str">
        <x:v>​120238972513950080</x:v>
      </x:c>
      <x:c r="M15" s="25" t="str">
        <x:v>ACTIVE</x:v>
      </x:c>
      <x:c r="N15" s="25" t="str">
        <x:v>LEAD_GENERATION</x:v>
      </x:c>
      <x:c r="O15" s="27" t="n">
        <x:v>0</x:v>
      </x:c>
      <x:c r="P15" s="27" t="n">
        <x:v>0</x:v>
      </x:c>
      <x:c r="Q15" s="27" t="n">
        <x:v>2500</x:v>
      </x:c>
      <x:c r="R15" s="27" t="n">
        <x:v>0</x:v>
      </x:c>
      <x:c r="S15" s="27" t="n">
        <x:v>54902</x:v>
      </x:c>
      <x:c r="T15" s="28" t="n">
        <x:v>251038</x:v>
      </x:c>
      <x:c r="U15" s="28" t="n">
        <x:v>107474</x:v>
      </x:c>
      <x:c r="V15" s="28" t="n">
        <x:v>1398</x:v>
      </x:c>
      <x:c r="W15" s="28" t="n">
        <x:v>67</x:v>
      </x:c>
      <x:c r="X15" s="28" t="n">
        <x:v>0</x:v>
      </x:c>
      <x:c r="Y15" s="28" t="n">
        <x:v>67</x:v>
      </x:c>
      <x:c r="Z15" s="28" t="n">
        <x:v>6</x:v>
      </x:c>
      <x:c r="AA15" s="28" t="n">
        <x:v>25853</x:v>
      </x:c>
    </x:row>
    <x:row r="16">
      <x:c r="A16" s="25" t="str">
        <x:v>Ağustos 2026</x:v>
      </x:c>
      <x:c r="B16" s="25" t="str">
        <x:v>Yabancı</x:v>
      </x:c>
      <x:c r="C16" s="25" t="str">
        <x:v>Rusça</x:v>
      </x:c>
      <x:c r="D16" s="25" t="str">
        <x:v>Lead</x:v>
      </x:c>
      <x:c r="E16" s="25" t="str">
        <x:v>Fizik Tedavi / Rehabilitasyon</x:v>
      </x:c>
      <x:c r="F16" s="25" t="str">
        <x:v>Doruk Hospital</x:v>
      </x:c>
      <x:c r="G16" s="25" t="str">
        <x:v>TRY</x:v>
      </x:c>
      <x:c r="H16" s="25" t="str">
        <x:v>Fizik Tedavi - Intensive FTR - Türki Cumhuriyetler - Tümü - RU - Lechenie v Turtsii - lead</x:v>
      </x:c>
      <x:c r="I16" s="25" t="str">
        <x:v>​120232382033210080</x:v>
      </x:c>
      <x:c r="J16" s="25" t="str">
        <x:v>ACTIVE</x:v>
      </x:c>
      <x:c r="K16" s="25" t="str">
        <x:v>FTR - genel - lead - cold - özbekistan- kombine2 - iOS hedefli</x:v>
      </x:c>
      <x:c r="L16" s="25" t="str">
        <x:v>​120238972513950080</x:v>
      </x:c>
      <x:c r="M16" s="25" t="str">
        <x:v>ACTIVE</x:v>
      </x:c>
      <x:c r="N16" s="25" t="str">
        <x:v>LEAD_GENERATION</x:v>
      </x:c>
      <x:c r="O16" s="27" t="n">
        <x:v>0</x:v>
      </x:c>
      <x:c r="P16" s="27" t="n">
        <x:v>0</x:v>
      </x:c>
      <x:c r="Q16" s="27" t="n">
        <x:v>2500</x:v>
      </x:c>
      <x:c r="R16" s="27" t="n">
        <x:v>0</x:v>
      </x:c>
      <x:c r="S16" s="27" t="n">
        <x:v>12203.6</x:v>
      </x:c>
      <x:c r="T16" s="28" t="n">
        <x:v>77239</x:v>
      </x:c>
      <x:c r="U16" s="28" t="n">
        <x:v>57960</x:v>
      </x:c>
      <x:c r="V16" s="28" t="n">
        <x:v>404</x:v>
      </x:c>
      <x:c r="W16" s="28" t="n">
        <x:v>18</x:v>
      </x:c>
      <x:c r="X16" s="28" t="n">
        <x:v>0</x:v>
      </x:c>
      <x:c r="Y16" s="28" t="n">
        <x:v>18</x:v>
      </x:c>
      <x:c r="Z16" s="28" t="n">
        <x:v>2</x:v>
      </x:c>
      <x:c r="AA16" s="28" t="n">
        <x:v>8074</x:v>
      </x:c>
    </x:row>
    <x:row r="17">
      <x:c r="A17" s="25" t="str">
        <x:v>Temmuz 2026</x:v>
      </x:c>
      <x:c r="B17" s="25" t="str">
        <x:v>Yabancı</x:v>
      </x:c>
      <x:c r="C17" s="25" t="str">
        <x:v>Rusça</x:v>
      </x:c>
      <x:c r="D17" s="25" t="str">
        <x:v>Lead</x:v>
      </x:c>
      <x:c r="E17" s="25" t="str">
        <x:v>Fizik Tedavi / Rehabilitasyon</x:v>
      </x:c>
      <x:c r="F17" s="25" t="str">
        <x:v>Doruk Hospital</x:v>
      </x:c>
      <x:c r="G17" s="25" t="str">
        <x:v>TRY</x:v>
      </x:c>
      <x:c r="H17" s="25" t="str">
        <x:v>Fizik Tedavi - Intensive FTR - Türki Cumhuriyetler - Tümü - RU - Lechenie v Turtsii - lead</x:v>
      </x:c>
      <x:c r="I17" s="25" t="str">
        <x:v>​120232382033210080</x:v>
      </x:c>
      <x:c r="J17" s="25" t="str">
        <x:v>ACTIVE</x:v>
      </x:c>
      <x:c r="K17" s="25" t="str">
        <x:v>FTR - genel - lead - cold -belarus,gürcistan - kombine2 - iOS hedefli</x:v>
      </x:c>
      <x:c r="L17" s="25" t="str">
        <x:v>​120240027593170080</x:v>
      </x:c>
      <x:c r="M17" s="25" t="str">
        <x:v>ACTIVE</x:v>
      </x:c>
      <x:c r="N17" s="25" t="str">
        <x:v>LEAD_GENERATION</x:v>
      </x:c>
      <x:c r="O17" s="27" t="n">
        <x:v>0</x:v>
      </x:c>
      <x:c r="P17" s="27" t="n">
        <x:v>0</x:v>
      </x:c>
      <x:c r="Q17" s="27" t="n">
        <x:v>3000</x:v>
      </x:c>
      <x:c r="R17" s="27" t="n">
        <x:v>0</x:v>
      </x:c>
      <x:c r="S17" s="27" t="n">
        <x:v>60535.44</x:v>
      </x:c>
      <x:c r="T17" s="28" t="n">
        <x:v>380462</x:v>
      </x:c>
      <x:c r="U17" s="28" t="n">
        <x:v>161877</x:v>
      </x:c>
      <x:c r="V17" s="28" t="n">
        <x:v>2849</x:v>
      </x:c>
      <x:c r="W17" s="28" t="n">
        <x:v>25</x:v>
      </x:c>
      <x:c r="X17" s="28" t="n">
        <x:v>0</x:v>
      </x:c>
      <x:c r="Y17" s="28" t="n">
        <x:v>25</x:v>
      </x:c>
      <x:c r="Z17" s="28" t="n">
        <x:v>8</x:v>
      </x:c>
      <x:c r="AA17" s="28" t="n">
        <x:v>53093</x:v>
      </x:c>
    </x:row>
    <x:row r="18">
      <x:c r="A18" s="25" t="str">
        <x:v>Ağustos 2026</x:v>
      </x:c>
      <x:c r="B18" s="25" t="str">
        <x:v>Yabancı</x:v>
      </x:c>
      <x:c r="C18" s="25" t="str">
        <x:v>Rusça</x:v>
      </x:c>
      <x:c r="D18" s="25" t="str">
        <x:v>Lead</x:v>
      </x:c>
      <x:c r="E18" s="25" t="str">
        <x:v>Fizik Tedavi / Rehabilitasyon</x:v>
      </x:c>
      <x:c r="F18" s="25" t="str">
        <x:v>Doruk Hospital</x:v>
      </x:c>
      <x:c r="G18" s="25" t="str">
        <x:v>TRY</x:v>
      </x:c>
      <x:c r="H18" s="25" t="str">
        <x:v>Fizik Tedavi - Intensive FTR - Türki Cumhuriyetler - Tümü - RU - Lechenie v Turtsii - lead</x:v>
      </x:c>
      <x:c r="I18" s="25" t="str">
        <x:v>​120232382033210080</x:v>
      </x:c>
      <x:c r="J18" s="25" t="str">
        <x:v>ACTIVE</x:v>
      </x:c>
      <x:c r="K18" s="25" t="str">
        <x:v>FTR - genel - lead - cold -belarus,gürcistan - kombine2 - iOS hedefli</x:v>
      </x:c>
      <x:c r="L18" s="25" t="str">
        <x:v>​120240027593170080</x:v>
      </x:c>
      <x:c r="M18" s="25" t="str">
        <x:v>ACTIVE</x:v>
      </x:c>
      <x:c r="N18" s="25" t="str">
        <x:v>LEAD_GENERATION</x:v>
      </x:c>
      <x:c r="O18" s="27" t="n">
        <x:v>0</x:v>
      </x:c>
      <x:c r="P18" s="27" t="n">
        <x:v>0</x:v>
      </x:c>
      <x:c r="Q18" s="27" t="n">
        <x:v>3000</x:v>
      </x:c>
      <x:c r="R18" s="27" t="n">
        <x:v>0</x:v>
      </x:c>
      <x:c r="S18" s="27" t="n">
        <x:v>13788.8</x:v>
      </x:c>
      <x:c r="T18" s="28" t="n">
        <x:v>93841</x:v>
      </x:c>
      <x:c r="U18" s="28" t="n">
        <x:v>68984</x:v>
      </x:c>
      <x:c r="V18" s="28" t="n">
        <x:v>747</x:v>
      </x:c>
      <x:c r="W18" s="28" t="n">
        <x:v>4</x:v>
      </x:c>
      <x:c r="X18" s="28" t="n">
        <x:v>0</x:v>
      </x:c>
      <x:c r="Y18" s="28" t="n">
        <x:v>4</x:v>
      </x:c>
      <x:c r="Z18" s="28" t="n">
        <x:v>3</x:v>
      </x:c>
      <x:c r="AA18" s="28" t="n">
        <x:v>12230</x:v>
      </x:c>
    </x:row>
    <x:row r="19">
      <x:c r="A19" s="25" t="str">
        <x:v>Temmuz 2026</x:v>
      </x:c>
      <x:c r="B19" s="25" t="str">
        <x:v>Yabancı</x:v>
      </x:c>
      <x:c r="C19" s="25" t="str">
        <x:v>Arapça</x:v>
      </x:c>
      <x:c r="D19" s="25" t="str">
        <x:v>Lead</x:v>
      </x:c>
      <x:c r="E19" s="25" t="str">
        <x:v>Fizik Tedavi / Rehabilitasyon</x:v>
      </x:c>
      <x:c r="F19" s="25" t="str">
        <x:v>Doruk Hospital</x:v>
      </x:c>
      <x:c r="G19" s="25" t="str">
        <x:v>TRY</x:v>
      </x:c>
      <x:c r="H19" s="25" t="str">
        <x:v>Whatsapp - Fizik Tedavi - Intensive FTR - Arap Bölgesi - Tümü - AR - Doruk İlaj Turkia</x:v>
      </x:c>
      <x:c r="I19" s="25" t="str">
        <x:v>​120238651325780080</x:v>
      </x:c>
      <x:c r="J19" s="25" t="str">
        <x:v>ACTIVE</x:v>
      </x:c>
      <x:c r="K19" s="25" t="str">
        <x:v>BAE Whatsapp IOS luks</x:v>
      </x:c>
      <x:c r="L19" s="25" t="str">
        <x:v>​120238816549140080</x:v>
      </x:c>
      <x:c r="M19" s="25" t="str">
        <x:v>ACTIVE</x:v>
      </x:c>
      <x:c r="N19" s="25" t="str">
        <x:v>CONVERSATIONS</x:v>
      </x:c>
      <x:c r="O19" s="27" t="n">
        <x:v>0</x:v>
      </x:c>
      <x:c r="P19" s="27" t="n">
        <x:v>0</x:v>
      </x:c>
      <x:c r="Q19" s="27" t="n">
        <x:v>4500</x:v>
      </x:c>
      <x:c r="R19" s="27" t="n">
        <x:v>0</x:v>
      </x:c>
      <x:c r="S19" s="27" t="n">
        <x:v>109953.15</x:v>
      </x:c>
      <x:c r="T19" s="28" t="n">
        <x:v>364788</x:v>
      </x:c>
      <x:c r="U19" s="28" t="n">
        <x:v>138822</x:v>
      </x:c>
      <x:c r="V19" s="28" t="n">
        <x:v>2918</x:v>
      </x:c>
      <x:c r="W19" s="28" t="n">
        <x:v>0</x:v>
      </x:c>
      <x:c r="X19" s="28" t="n">
        <x:v>114</x:v>
      </x:c>
      <x:c r="Y19" s="28" t="n">
        <x:v>114</x:v>
      </x:c>
      <x:c r="Z19" s="28" t="n">
        <x:v>114</x:v>
      </x:c>
      <x:c r="AA19" s="28" t="n">
        <x:v>71259</x:v>
      </x:c>
    </x:row>
    <x:row r="20">
      <x:c r="A20" s="25" t="str">
        <x:v>Ağustos 2026</x:v>
      </x:c>
      <x:c r="B20" s="25" t="str">
        <x:v>Yabancı</x:v>
      </x:c>
      <x:c r="C20" s="25" t="str">
        <x:v>Arapça</x:v>
      </x:c>
      <x:c r="D20" s="25" t="str">
        <x:v>Lead</x:v>
      </x:c>
      <x:c r="E20" s="25" t="str">
        <x:v>Fizik Tedavi / Rehabilitasyon</x:v>
      </x:c>
      <x:c r="F20" s="25" t="str">
        <x:v>Doruk Hospital</x:v>
      </x:c>
      <x:c r="G20" s="25" t="str">
        <x:v>TRY</x:v>
      </x:c>
      <x:c r="H20" s="25" t="str">
        <x:v>Whatsapp - Fizik Tedavi - Intensive FTR - Arap Bölgesi - Tümü - AR - Doruk İlaj Turkia</x:v>
      </x:c>
      <x:c r="I20" s="25" t="str">
        <x:v>​120238651325780080</x:v>
      </x:c>
      <x:c r="J20" s="25" t="str">
        <x:v>ACTIVE</x:v>
      </x:c>
      <x:c r="K20" s="25" t="str">
        <x:v>BAE Whatsapp IOS luks</x:v>
      </x:c>
      <x:c r="L20" s="25" t="str">
        <x:v>​120238816549140080</x:v>
      </x:c>
      <x:c r="M20" s="25" t="str">
        <x:v>ACTIVE</x:v>
      </x:c>
      <x:c r="N20" s="25" t="str">
        <x:v>CONVERSATIONS</x:v>
      </x:c>
      <x:c r="O20" s="27" t="n">
        <x:v>0</x:v>
      </x:c>
      <x:c r="P20" s="27" t="n">
        <x:v>0</x:v>
      </x:c>
      <x:c r="Q20" s="27" t="n">
        <x:v>4500</x:v>
      </x:c>
      <x:c r="R20" s="27" t="n">
        <x:v>0</x:v>
      </x:c>
      <x:c r="S20" s="27" t="n">
        <x:v>25981.51</x:v>
      </x:c>
      <x:c r="T20" s="28" t="n">
        <x:v>54186</x:v>
      </x:c>
      <x:c r="U20" s="28" t="n">
        <x:v>40413</x:v>
      </x:c>
      <x:c r="V20" s="28" t="n">
        <x:v>419</x:v>
      </x:c>
      <x:c r="W20" s="28" t="n">
        <x:v>0</x:v>
      </x:c>
      <x:c r="X20" s="28" t="n">
        <x:v>20</x:v>
      </x:c>
      <x:c r="Y20" s="28" t="n">
        <x:v>20</x:v>
      </x:c>
      <x:c r="Z20" s="28" t="n">
        <x:v>20</x:v>
      </x:c>
      <x:c r="AA20" s="28" t="n">
        <x:v>11181</x:v>
      </x:c>
    </x:row>
    <x:row r="21">
      <x:c r="A21" s="25" t="str">
        <x:v>Temmuz 2026</x:v>
      </x:c>
      <x:c r="B21" s="25" t="str">
        <x:v>Yabancı</x:v>
      </x:c>
      <x:c r="C21" s="25" t="str">
        <x:v>Arapça</x:v>
      </x:c>
      <x:c r="D21" s="25" t="str">
        <x:v>Lead</x:v>
      </x:c>
      <x:c r="E21" s="25" t="str">
        <x:v>Fizik Tedavi / Rehabilitasyon</x:v>
      </x:c>
      <x:c r="F21" s="25" t="str">
        <x:v>Doruk Hospital</x:v>
      </x:c>
      <x:c r="G21" s="25" t="str">
        <x:v>TRY</x:v>
      </x:c>
      <x:c r="H21" s="25" t="str">
        <x:v>Whatsapp - Fizik Tedavi - Intensive FTR - Arap Bölgesi - Tümü - AR - Doruk İlaj Turkia</x:v>
      </x:c>
      <x:c r="I21" s="25" t="str">
        <x:v>​120238651325780080</x:v>
      </x:c>
      <x:c r="J21" s="25" t="str">
        <x:v>ACTIVE</x:v>
      </x:c>
      <x:c r="K21" s="25" t="str">
        <x:v>Bahreyn - Umman Whatsapp IOS luks - Kopya</x:v>
      </x:c>
      <x:c r="L21" s="25" t="str">
        <x:v>​120238888789550080</x:v>
      </x:c>
      <x:c r="M21" s="25" t="str">
        <x:v>ACTIVE</x:v>
      </x:c>
      <x:c r="N21" s="25" t="str">
        <x:v>CONVERSATIONS</x:v>
      </x:c>
      <x:c r="O21" s="27" t="n">
        <x:v>0</x:v>
      </x:c>
      <x:c r="P21" s="27" t="n">
        <x:v>0</x:v>
      </x:c>
      <x:c r="Q21" s="27" t="n">
        <x:v>3500</x:v>
      </x:c>
      <x:c r="R21" s="27" t="n">
        <x:v>0</x:v>
      </x:c>
      <x:c r="S21" s="27" t="n">
        <x:v>89964.73</x:v>
      </x:c>
      <x:c r="T21" s="28" t="n">
        <x:v>756474</x:v>
      </x:c>
      <x:c r="U21" s="28" t="n">
        <x:v>244156</x:v>
      </x:c>
      <x:c r="V21" s="28" t="n">
        <x:v>4898</x:v>
      </x:c>
      <x:c r="W21" s="28" t="n">
        <x:v>0</x:v>
      </x:c>
      <x:c r="X21" s="28" t="n">
        <x:v>149</x:v>
      </x:c>
      <x:c r="Y21" s="28" t="n">
        <x:v>149</x:v>
      </x:c>
      <x:c r="Z21" s="28" t="n">
        <x:v>149</x:v>
      </x:c>
      <x:c r="AA21" s="28" t="n">
        <x:v>108526</x:v>
      </x:c>
    </x:row>
    <x:row r="22">
      <x:c r="A22" s="25" t="str">
        <x:v>Ağustos 2026</x:v>
      </x:c>
      <x:c r="B22" s="25" t="str">
        <x:v>Yabancı</x:v>
      </x:c>
      <x:c r="C22" s="25" t="str">
        <x:v>Arapça</x:v>
      </x:c>
      <x:c r="D22" s="25" t="str">
        <x:v>Lead</x:v>
      </x:c>
      <x:c r="E22" s="25" t="str">
        <x:v>Fizik Tedavi / Rehabilitasyon</x:v>
      </x:c>
      <x:c r="F22" s="25" t="str">
        <x:v>Doruk Hospital</x:v>
      </x:c>
      <x:c r="G22" s="25" t="str">
        <x:v>TRY</x:v>
      </x:c>
      <x:c r="H22" s="25" t="str">
        <x:v>Whatsapp - Fizik Tedavi - Intensive FTR - Arap Bölgesi - Tümü - AR - Doruk İlaj Turkia</x:v>
      </x:c>
      <x:c r="I22" s="25" t="str">
        <x:v>​120238651325780080</x:v>
      </x:c>
      <x:c r="J22" s="25" t="str">
        <x:v>ACTIVE</x:v>
      </x:c>
      <x:c r="K22" s="25" t="str">
        <x:v>Bahreyn - Umman Whatsapp IOS luks - Kopya</x:v>
      </x:c>
      <x:c r="L22" s="25" t="str">
        <x:v>​120238888789550080</x:v>
      </x:c>
      <x:c r="M22" s="25" t="str">
        <x:v>ACTIVE</x:v>
      </x:c>
      <x:c r="N22" s="25" t="str">
        <x:v>CONVERSATIONS</x:v>
      </x:c>
      <x:c r="O22" s="27" t="n">
        <x:v>0</x:v>
      </x:c>
      <x:c r="P22" s="27" t="n">
        <x:v>0</x:v>
      </x:c>
      <x:c r="Q22" s="27" t="n">
        <x:v>3500</x:v>
      </x:c>
      <x:c r="R22" s="27" t="n">
        <x:v>0</x:v>
      </x:c>
      <x:c r="S22" s="27" t="n">
        <x:v>21878.99</x:v>
      </x:c>
      <x:c r="T22" s="28" t="n">
        <x:v>143998</x:v>
      </x:c>
      <x:c r="U22" s="28" t="n">
        <x:v>97769</x:v>
      </x:c>
      <x:c r="V22" s="28" t="n">
        <x:v>907</x:v>
      </x:c>
      <x:c r="W22" s="28" t="n">
        <x:v>0</x:v>
      </x:c>
      <x:c r="X22" s="28" t="n">
        <x:v>25</x:v>
      </x:c>
      <x:c r="Y22" s="28" t="n">
        <x:v>25</x:v>
      </x:c>
      <x:c r="Z22" s="28" t="n">
        <x:v>25</x:v>
      </x:c>
      <x:c r="AA22" s="28" t="n">
        <x:v>20941</x:v>
      </x:c>
    </x:row>
    <x:row r="23">
      <x:c r="A23" s="25" t="str">
        <x:v>Temmuz 2026</x:v>
      </x:c>
      <x:c r="B23" s="25" t="str">
        <x:v>Yabancı</x:v>
      </x:c>
      <x:c r="C23" s="25" t="str">
        <x:v>Arapça</x:v>
      </x:c>
      <x:c r="D23" s="25" t="str">
        <x:v>Lead</x:v>
      </x:c>
      <x:c r="E23" s="25" t="str">
        <x:v>Fizik Tedavi / Rehabilitasyon</x:v>
      </x:c>
      <x:c r="F23" s="25" t="str">
        <x:v>Doruk Hospital</x:v>
      </x:c>
      <x:c r="G23" s="25" t="str">
        <x:v>TRY</x:v>
      </x:c>
      <x:c r="H23" s="25" t="str">
        <x:v>Whatsapp - Fizik Tedavi - Intensive FTR - Arap Bölgesi - Tümü - AR - Doruk İlaj Turkia</x:v>
      </x:c>
      <x:c r="I23" s="25" t="str">
        <x:v>​120238651325780080</x:v>
      </x:c>
      <x:c r="J23" s="25" t="str">
        <x:v>ACTIVE</x:v>
      </x:c>
      <x:c r="K23" s="25" t="str">
        <x:v>Katar Whatsapp IOS luks</x:v>
      </x:c>
      <x:c r="L23" s="25" t="str">
        <x:v>​120238816571390080</x:v>
      </x:c>
      <x:c r="M23" s="25" t="str">
        <x:v>ACTIVE</x:v>
      </x:c>
      <x:c r="N23" s="25" t="str">
        <x:v>CONVERSATIONS</x:v>
      </x:c>
      <x:c r="O23" s="27" t="n">
        <x:v>0</x:v>
      </x:c>
      <x:c r="P23" s="27" t="n">
        <x:v>0</x:v>
      </x:c>
      <x:c r="Q23" s="27" t="n">
        <x:v>3000</x:v>
      </x:c>
      <x:c r="R23" s="27" t="n">
        <x:v>0</x:v>
      </x:c>
      <x:c r="S23" s="27" t="n">
        <x:v>72559.42</x:v>
      </x:c>
      <x:c r="T23" s="28" t="n">
        <x:v>411932</x:v>
      </x:c>
      <x:c r="U23" s="28" t="n">
        <x:v>115467</x:v>
      </x:c>
      <x:c r="V23" s="28" t="n">
        <x:v>3396</x:v>
      </x:c>
      <x:c r="W23" s="28" t="n">
        <x:v>0</x:v>
      </x:c>
      <x:c r="X23" s="28" t="n">
        <x:v>98</x:v>
      </x:c>
      <x:c r="Y23" s="28" t="n">
        <x:v>98</x:v>
      </x:c>
      <x:c r="Z23" s="28" t="n">
        <x:v>98</x:v>
      </x:c>
      <x:c r="AA23" s="28" t="n">
        <x:v>71383</x:v>
      </x:c>
    </x:row>
    <x:row r="24">
      <x:c r="A24" s="25" t="str">
        <x:v>Ağustos 2026</x:v>
      </x:c>
      <x:c r="B24" s="25" t="str">
        <x:v>Yabancı</x:v>
      </x:c>
      <x:c r="C24" s="25" t="str">
        <x:v>Arapça</x:v>
      </x:c>
      <x:c r="D24" s="25" t="str">
        <x:v>Lead</x:v>
      </x:c>
      <x:c r="E24" s="25" t="str">
        <x:v>Fizik Tedavi / Rehabilitasyon</x:v>
      </x:c>
      <x:c r="F24" s="25" t="str">
        <x:v>Doruk Hospital</x:v>
      </x:c>
      <x:c r="G24" s="25" t="str">
        <x:v>TRY</x:v>
      </x:c>
      <x:c r="H24" s="25" t="str">
        <x:v>Whatsapp - Fizik Tedavi - Intensive FTR - Arap Bölgesi - Tümü - AR - Doruk İlaj Turkia</x:v>
      </x:c>
      <x:c r="I24" s="25" t="str">
        <x:v>​120238651325780080</x:v>
      </x:c>
      <x:c r="J24" s="25" t="str">
        <x:v>ACTIVE</x:v>
      </x:c>
      <x:c r="K24" s="25" t="str">
        <x:v>Katar Whatsapp IOS luks</x:v>
      </x:c>
      <x:c r="L24" s="25" t="str">
        <x:v>​120238816571390080</x:v>
      </x:c>
      <x:c r="M24" s="25" t="str">
        <x:v>ACTIVE</x:v>
      </x:c>
      <x:c r="N24" s="25" t="str">
        <x:v>CONVERSATIONS</x:v>
      </x:c>
      <x:c r="O24" s="27" t="n">
        <x:v>0</x:v>
      </x:c>
      <x:c r="P24" s="27" t="n">
        <x:v>0</x:v>
      </x:c>
      <x:c r="Q24" s="27" t="n">
        <x:v>3000</x:v>
      </x:c>
      <x:c r="R24" s="27" t="n">
        <x:v>0</x:v>
      </x:c>
      <x:c r="S24" s="27" t="n">
        <x:v>15677.89</x:v>
      </x:c>
      <x:c r="T24" s="28" t="n">
        <x:v>47712</x:v>
      </x:c>
      <x:c r="U24" s="28" t="n">
        <x:v>34497</x:v>
      </x:c>
      <x:c r="V24" s="28" t="n">
        <x:v>481</x:v>
      </x:c>
      <x:c r="W24" s="28" t="n">
        <x:v>0</x:v>
      </x:c>
      <x:c r="X24" s="28" t="n">
        <x:v>19</x:v>
      </x:c>
      <x:c r="Y24" s="28" t="n">
        <x:v>19</x:v>
      </x:c>
      <x:c r="Z24" s="28" t="n">
        <x:v>19</x:v>
      </x:c>
      <x:c r="AA24" s="28" t="n">
        <x:v>9244</x:v>
      </x:c>
    </x:row>
    <x:row r="25">
      <x:c r="A25" s="25" t="str">
        <x:v>Temmuz 2026</x:v>
      </x:c>
      <x:c r="B25" s="25" t="str">
        <x:v>Yabancı</x:v>
      </x:c>
      <x:c r="C25" s="25" t="str">
        <x:v>Arapça</x:v>
      </x:c>
      <x:c r="D25" s="25" t="str">
        <x:v>Lead</x:v>
      </x:c>
      <x:c r="E25" s="25" t="str">
        <x:v>Fizik Tedavi / Rehabilitasyon</x:v>
      </x:c>
      <x:c r="F25" s="25" t="str">
        <x:v>Doruk Hospital</x:v>
      </x:c>
      <x:c r="G25" s="25" t="str">
        <x:v>TRY</x:v>
      </x:c>
      <x:c r="H25" s="25" t="str">
        <x:v>Whatsapp - Fizik Tedavi - Intensive FTR - Arap Bölgesi - Tümü - AR - Doruk İlaj Turkia</x:v>
      </x:c>
      <x:c r="I25" s="25" t="str">
        <x:v>​120238651325780080</x:v>
      </x:c>
      <x:c r="J25" s="25" t="str">
        <x:v>ACTIVE</x:v>
      </x:c>
      <x:c r="K25" s="25" t="str">
        <x:v>Kuveyt Whatsapp IOS luks</x:v>
      </x:c>
      <x:c r="L25" s="25" t="str">
        <x:v>​120238816571400080</x:v>
      </x:c>
      <x:c r="M25" s="25" t="str">
        <x:v>ACTIVE</x:v>
      </x:c>
      <x:c r="N25" s="25" t="str">
        <x:v>CONVERSATIONS</x:v>
      </x:c>
      <x:c r="O25" s="27" t="n">
        <x:v>0</x:v>
      </x:c>
      <x:c r="P25" s="27" t="n">
        <x:v>0</x:v>
      </x:c>
      <x:c r="Q25" s="27" t="n">
        <x:v>11000</x:v>
      </x:c>
      <x:c r="R25" s="27" t="n">
        <x:v>0</x:v>
      </x:c>
      <x:c r="S25" s="27" t="n">
        <x:v>177021.58</x:v>
      </x:c>
      <x:c r="T25" s="28" t="n">
        <x:v>668361</x:v>
      </x:c>
      <x:c r="U25" s="28" t="n">
        <x:v>151218</x:v>
      </x:c>
      <x:c r="V25" s="28" t="n">
        <x:v>6071</x:v>
      </x:c>
      <x:c r="W25" s="28" t="n">
        <x:v>0</x:v>
      </x:c>
      <x:c r="X25" s="28" t="n">
        <x:v>213</x:v>
      </x:c>
      <x:c r="Y25" s="28" t="n">
        <x:v>213</x:v>
      </x:c>
      <x:c r="Z25" s="28" t="n">
        <x:v>213</x:v>
      </x:c>
      <x:c r="AA25" s="28" t="n">
        <x:v>121136</x:v>
      </x:c>
    </x:row>
    <x:row r="26">
      <x:c r="A26" s="25" t="str">
        <x:v>Ağustos 2026</x:v>
      </x:c>
      <x:c r="B26" s="25" t="str">
        <x:v>Yabancı</x:v>
      </x:c>
      <x:c r="C26" s="25" t="str">
        <x:v>Arapça</x:v>
      </x:c>
      <x:c r="D26" s="25" t="str">
        <x:v>Lead</x:v>
      </x:c>
      <x:c r="E26" s="25" t="str">
        <x:v>Fizik Tedavi / Rehabilitasyon</x:v>
      </x:c>
      <x:c r="F26" s="25" t="str">
        <x:v>Doruk Hospital</x:v>
      </x:c>
      <x:c r="G26" s="25" t="str">
        <x:v>TRY</x:v>
      </x:c>
      <x:c r="H26" s="25" t="str">
        <x:v>Whatsapp - Fizik Tedavi - Intensive FTR - Arap Bölgesi - Tümü - AR - Doruk İlaj Turkia</x:v>
      </x:c>
      <x:c r="I26" s="25" t="str">
        <x:v>​120238651325780080</x:v>
      </x:c>
      <x:c r="J26" s="25" t="str">
        <x:v>ACTIVE</x:v>
      </x:c>
      <x:c r="K26" s="25" t="str">
        <x:v>Kuveyt Whatsapp IOS luks</x:v>
      </x:c>
      <x:c r="L26" s="25" t="str">
        <x:v>​120238816571400080</x:v>
      </x:c>
      <x:c r="M26" s="25" t="str">
        <x:v>ACTIVE</x:v>
      </x:c>
      <x:c r="N26" s="25" t="str">
        <x:v>CONVERSATIONS</x:v>
      </x:c>
      <x:c r="O26" s="27" t="n">
        <x:v>0</x:v>
      </x:c>
      <x:c r="P26" s="27" t="n">
        <x:v>0</x:v>
      </x:c>
      <x:c r="Q26" s="27" t="n">
        <x:v>11000</x:v>
      </x:c>
      <x:c r="R26" s="27" t="n">
        <x:v>0</x:v>
      </x:c>
      <x:c r="S26" s="27" t="n">
        <x:v>38400.71</x:v>
      </x:c>
      <x:c r="T26" s="28" t="n">
        <x:v>75185</x:v>
      </x:c>
      <x:c r="U26" s="28" t="n">
        <x:v>52501</x:v>
      </x:c>
      <x:c r="V26" s="28" t="n">
        <x:v>831</x:v>
      </x:c>
      <x:c r="W26" s="28" t="n">
        <x:v>0</x:v>
      </x:c>
      <x:c r="X26" s="28" t="n">
        <x:v>37</x:v>
      </x:c>
      <x:c r="Y26" s="28" t="n">
        <x:v>37</x:v>
      </x:c>
      <x:c r="Z26" s="28" t="n">
        <x:v>37</x:v>
      </x:c>
      <x:c r="AA26" s="28" t="n">
        <x:v>15673</x:v>
      </x:c>
    </x:row>
    <x:row r="27">
      <x:c r="A27" s="25" t="str">
        <x:v>Temmuz 2026</x:v>
      </x:c>
      <x:c r="B27" s="25" t="str">
        <x:v>Yabancı</x:v>
      </x:c>
      <x:c r="C27" s="25" t="str">
        <x:v>Arapça</x:v>
      </x:c>
      <x:c r="D27" s="25" t="str">
        <x:v>Lead</x:v>
      </x:c>
      <x:c r="E27" s="25" t="str">
        <x:v>Fizik Tedavi / Rehabilitasyon</x:v>
      </x:c>
      <x:c r="F27" s="25" t="str">
        <x:v>Doruk Hospital</x:v>
      </x:c>
      <x:c r="G27" s="25" t="str">
        <x:v>TRY</x:v>
      </x:c>
      <x:c r="H27" s="25" t="str">
        <x:v>Whatsapp - Fizik Tedavi - Intensive FTR - Arap Bölgesi - Tümü - AR - Doruk İlaj Turkia</x:v>
      </x:c>
      <x:c r="I27" s="25" t="str">
        <x:v>​120238651325780080</x:v>
      </x:c>
      <x:c r="J27" s="25" t="str">
        <x:v>ACTIVE</x:v>
      </x:c>
      <x:c r="K27" s="25" t="str">
        <x:v>Kuveyt,Katar Whatsapp android luks</x:v>
      </x:c>
      <x:c r="L27" s="25" t="str">
        <x:v>​120238816571650080</x:v>
      </x:c>
      <x:c r="M27" s="25" t="str">
        <x:v>ACTIVE</x:v>
      </x:c>
      <x:c r="N27" s="25" t="str">
        <x:v>CONVERSATIONS</x:v>
      </x:c>
      <x:c r="O27" s="27" t="n">
        <x:v>0</x:v>
      </x:c>
      <x:c r="P27" s="27" t="n">
        <x:v>0</x:v>
      </x:c>
      <x:c r="Q27" s="27" t="n">
        <x:v>3000</x:v>
      </x:c>
      <x:c r="R27" s="27" t="n">
        <x:v>0</x:v>
      </x:c>
      <x:c r="S27" s="27" t="n">
        <x:v>50633.67</x:v>
      </x:c>
      <x:c r="T27" s="28" t="n">
        <x:v>395952</x:v>
      </x:c>
      <x:c r="U27" s="28" t="n">
        <x:v>91822</x:v>
      </x:c>
      <x:c r="V27" s="28" t="n">
        <x:v>2533</x:v>
      </x:c>
      <x:c r="W27" s="28" t="n">
        <x:v>0</x:v>
      </x:c>
      <x:c r="X27" s="28" t="n">
        <x:v>38</x:v>
      </x:c>
      <x:c r="Y27" s="28" t="n">
        <x:v>38</x:v>
      </x:c>
      <x:c r="Z27" s="28" t="n">
        <x:v>38</x:v>
      </x:c>
      <x:c r="AA27" s="28" t="n">
        <x:v>55553</x:v>
      </x:c>
    </x:row>
    <x:row r="28">
      <x:c r="A28" s="25" t="str">
        <x:v>Ağustos 2026</x:v>
      </x:c>
      <x:c r="B28" s="25" t="str">
        <x:v>Yabancı</x:v>
      </x:c>
      <x:c r="C28" s="25" t="str">
        <x:v>Arapça</x:v>
      </x:c>
      <x:c r="D28" s="25" t="str">
        <x:v>Lead</x:v>
      </x:c>
      <x:c r="E28" s="25" t="str">
        <x:v>Fizik Tedavi / Rehabilitasyon</x:v>
      </x:c>
      <x:c r="F28" s="25" t="str">
        <x:v>Doruk Hospital</x:v>
      </x:c>
      <x:c r="G28" s="25" t="str">
        <x:v>TRY</x:v>
      </x:c>
      <x:c r="H28" s="25" t="str">
        <x:v>Whatsapp - Fizik Tedavi - Intensive FTR - Arap Bölgesi - Tümü - AR - Doruk İlaj Turkia</x:v>
      </x:c>
      <x:c r="I28" s="25" t="str">
        <x:v>​120238651325780080</x:v>
      </x:c>
      <x:c r="J28" s="25" t="str">
        <x:v>ACTIVE</x:v>
      </x:c>
      <x:c r="K28" s="25" t="str">
        <x:v>Kuveyt,Katar Whatsapp android luks</x:v>
      </x:c>
      <x:c r="L28" s="25" t="str">
        <x:v>​120238816571650080</x:v>
      </x:c>
      <x:c r="M28" s="25" t="str">
        <x:v>ACTIVE</x:v>
      </x:c>
      <x:c r="N28" s="25" t="str">
        <x:v>CONVERSATIONS</x:v>
      </x:c>
      <x:c r="O28" s="27" t="n">
        <x:v>0</x:v>
      </x:c>
      <x:c r="P28" s="27" t="n">
        <x:v>0</x:v>
      </x:c>
      <x:c r="Q28" s="27" t="n">
        <x:v>3000</x:v>
      </x:c>
      <x:c r="R28" s="27" t="n">
        <x:v>0</x:v>
      </x:c>
      <x:c r="S28" s="27" t="n">
        <x:v>9175.09</x:v>
      </x:c>
      <x:c r="T28" s="28" t="n">
        <x:v>35605</x:v>
      </x:c>
      <x:c r="U28" s="28" t="n">
        <x:v>23670</x:v>
      </x:c>
      <x:c r="V28" s="28" t="n">
        <x:v>250</x:v>
      </x:c>
      <x:c r="W28" s="28" t="n">
        <x:v>0</x:v>
      </x:c>
      <x:c r="X28" s="28" t="n">
        <x:v>4</x:v>
      </x:c>
      <x:c r="Y28" s="28" t="n">
        <x:v>4</x:v>
      </x:c>
      <x:c r="Z28" s="28" t="n">
        <x:v>4</x:v>
      </x:c>
      <x:c r="AA28" s="28" t="n">
        <x:v>6463</x:v>
      </x:c>
    </x:row>
    <x:row r="29">
      <x:c r="A29" s="25" t="str">
        <x:v>Temmuz 2026</x:v>
      </x:c>
      <x:c r="B29" s="25" t="str">
        <x:v>Yabancı</x:v>
      </x:c>
      <x:c r="C29" s="25" t="str">
        <x:v>Arapça</x:v>
      </x:c>
      <x:c r="D29" s="25" t="str">
        <x:v>Lead</x:v>
      </x:c>
      <x:c r="E29" s="25" t="str">
        <x:v>Medikal Estetik / Plastik Cerrahi</x:v>
      </x:c>
      <x:c r="F29" s="25" t="str">
        <x:v>Doruk Hospital</x:v>
      </x:c>
      <x:c r="G29" s="25" t="str">
        <x:v>TRY</x:v>
      </x:c>
      <x:c r="H29" s="25" t="str">
        <x:v>Meme Estetiği - Jinekomasti - Arap Bölgesi - Tümü - AR - Doruk Jinekomasti</x:v>
      </x:c>
      <x:c r="I29" s="25" t="str">
        <x:v>​120247623884690080</x:v>
      </x:c>
      <x:c r="J29" s="25" t="str">
        <x:v>PAUSED</x:v>
      </x:c>
      <x:c r="K29" s="25" t="str">
        <x:v>Jinekomasti - Arap Bölgesi</x:v>
      </x:c>
      <x:c r="L29" s="25" t="str">
        <x:v>​120247623884680080</x:v>
      </x:c>
      <x:c r="M29" s="25" t="str">
        <x:v>CAMPAIGN_PAUSED</x:v>
      </x:c>
      <x:c r="N29" s="25" t="str">
        <x:v>LEAD_GENERATION</x:v>
      </x:c>
      <x:c r="O29" s="27" t="n">
        <x:v>0</x:v>
      </x:c>
      <x:c r="P29" s="27" t="n">
        <x:v>0</x:v>
      </x:c>
      <x:c r="Q29" s="27" t="n">
        <x:v>4000</x:v>
      </x:c>
      <x:c r="R29" s="27" t="n">
        <x:v>0</x:v>
      </x:c>
      <x:c r="S29" s="27" t="n">
        <x:v>3902.07</x:v>
      </x:c>
      <x:c r="T29" s="28" t="n">
        <x:v>28841</x:v>
      </x:c>
      <x:c r="U29" s="28" t="n">
        <x:v>15139</x:v>
      </x:c>
      <x:c r="V29" s="28" t="n">
        <x:v>542</x:v>
      </x:c>
      <x:c r="W29" s="28" t="n">
        <x:v>22</x:v>
      </x:c>
      <x:c r="X29" s="28" t="n">
        <x:v>23</x:v>
      </x:c>
      <x:c r="Y29" s="28" t="n">
        <x:v>45</x:v>
      </x:c>
      <x:c r="Z29" s="28" t="n">
        <x:v>23</x:v>
      </x:c>
      <x:c r="AA29" s="28" t="n">
        <x:v>5365</x:v>
      </x:c>
    </x:row>
    <x:row r="30">
      <x:c r="A30" s="25" t="str">
        <x:v>Ağustos 2026</x:v>
      </x:c>
      <x:c r="B30" s="25" t="str">
        <x:v>Yabancı</x:v>
      </x:c>
      <x:c r="C30" s="25" t="str">
        <x:v>Arapça</x:v>
      </x:c>
      <x:c r="D30" s="25" t="str">
        <x:v>Lead</x:v>
      </x:c>
      <x:c r="E30" s="25" t="str">
        <x:v>Medikal Estetik / Plastik Cerrahi</x:v>
      </x:c>
      <x:c r="F30" s="25" t="str">
        <x:v>Doruk Hospital</x:v>
      </x:c>
      <x:c r="G30" s="25" t="str">
        <x:v>TRY</x:v>
      </x:c>
      <x:c r="H30" s="25" t="str">
        <x:v>Meme Estetiği - Jinekomasti - Arap Bölgesi - Tümü - AR - Doruk Jinekomasti</x:v>
      </x:c>
      <x:c r="I30" s="25" t="str">
        <x:v>​120247623884690080</x:v>
      </x:c>
      <x:c r="J30" s="25" t="str">
        <x:v>PAUSED</x:v>
      </x:c>
      <x:c r="K30" s="25" t="str">
        <x:v>Jinekomasti - Arap Bölgesi</x:v>
      </x:c>
      <x:c r="L30" s="25" t="str">
        <x:v>​120247623884680080</x:v>
      </x:c>
      <x:c r="M30" s="25" t="str">
        <x:v>CAMPAIGN_PAUSED</x:v>
      </x:c>
      <x:c r="N30" s="25" t="str">
        <x:v>LEAD_GENERATION</x:v>
      </x:c>
      <x:c r="O30" s="27" t="n">
        <x:v>0</x:v>
      </x:c>
      <x:c r="P30" s="27" t="n">
        <x:v>0</x:v>
      </x:c>
      <x:c r="Q30" s="27" t="n">
        <x:v>4000</x:v>
      </x:c>
      <x:c r="R30" s="27" t="n">
        <x:v>0</x:v>
      </x:c>
      <x:c r="S30" s="27" t="n">
        <x:v>11740.74</x:v>
      </x:c>
      <x:c r="T30" s="28" t="n">
        <x:v>85365</x:v>
      </x:c>
      <x:c r="U30" s="28" t="n">
        <x:v>47213</x:v>
      </x:c>
      <x:c r="V30" s="28" t="n">
        <x:v>1178</x:v>
      </x:c>
      <x:c r="W30" s="28" t="n">
        <x:v>40</x:v>
      </x:c>
      <x:c r="X30" s="28" t="n">
        <x:v>41</x:v>
      </x:c>
      <x:c r="Y30" s="28" t="n">
        <x:v>81</x:v>
      </x:c>
      <x:c r="Z30" s="28" t="n">
        <x:v>41</x:v>
      </x:c>
      <x:c r="AA30" s="28" t="n">
        <x:v>14812</x:v>
      </x:c>
    </x:row>
    <x:row r="31">
      <x:c r="A31" s="25" t="str">
        <x:v>Temmuz 2026</x:v>
      </x:c>
      <x:c r="B31" s="25" t="str">
        <x:v>Yabancı</x:v>
      </x:c>
      <x:c r="C31" s="25" t="str">
        <x:v>İngilizce</x:v>
      </x:c>
      <x:c r="D31" s="25" t="str">
        <x:v>Lead</x:v>
      </x:c>
      <x:c r="E31" s="25" t="str">
        <x:v>Medikal Estetik / Plastik Cerrahi</x:v>
      </x:c>
      <x:c r="F31" s="25" t="str">
        <x:v>Doruk Hospital</x:v>
      </x:c>
      <x:c r="G31" s="25" t="str">
        <x:v>TRY</x:v>
      </x:c>
      <x:c r="H31" s="25" t="str">
        <x:v>Meme Estetiği - Jinekomasti - Birleşik Krallık - Tümü - EN - Doruk Jinekomasti</x:v>
      </x:c>
      <x:c r="I31" s="25" t="str">
        <x:v>​120247571768010080</x:v>
      </x:c>
      <x:c r="J31" s="25" t="str">
        <x:v>PAUSED</x:v>
      </x:c>
      <x:c r="K31" s="25" t="str">
        <x:v>Jinekomasti - UK</x:v>
      </x:c>
      <x:c r="L31" s="25" t="str">
        <x:v>​120247576936700080</x:v>
      </x:c>
      <x:c r="M31" s="25" t="str">
        <x:v>CAMPAIGN_PAUSED</x:v>
      </x:c>
      <x:c r="N31" s="25" t="str">
        <x:v>LEAD_GENERATION</x:v>
      </x:c>
      <x:c r="O31" s="27" t="n">
        <x:v>0</x:v>
      </x:c>
      <x:c r="P31" s="27" t="n">
        <x:v>0</x:v>
      </x:c>
      <x:c r="Q31" s="27" t="n">
        <x:v>3000</x:v>
      </x:c>
      <x:c r="R31" s="27" t="n">
        <x:v>0</x:v>
      </x:c>
      <x:c r="S31" s="27" t="n">
        <x:v>7124.92</x:v>
      </x:c>
      <x:c r="T31" s="28" t="n">
        <x:v>15999</x:v>
      </x:c>
      <x:c r="U31" s="28" t="n">
        <x:v>7801</x:v>
      </x:c>
      <x:c r="V31" s="28" t="n">
        <x:v>372</x:v>
      </x:c>
      <x:c r="W31" s="28" t="n">
        <x:v>29</x:v>
      </x:c>
      <x:c r="X31" s="28" t="n">
        <x:v>0</x:v>
      </x:c>
      <x:c r="Y31" s="28" t="n">
        <x:v>29</x:v>
      </x:c>
      <x:c r="Z31" s="28" t="n">
        <x:v>0</x:v>
      </x:c>
      <x:c r="AA31" s="28" t="n">
        <x:v>2957</x:v>
      </x:c>
    </x:row>
    <x:row r="32">
      <x:c r="A32" s="25" t="str">
        <x:v>Ağustos 2026</x:v>
      </x:c>
      <x:c r="B32" s="25" t="str">
        <x:v>Yabancı</x:v>
      </x:c>
      <x:c r="C32" s="25" t="str">
        <x:v>İngilizce</x:v>
      </x:c>
      <x:c r="D32" s="25" t="str">
        <x:v>Lead</x:v>
      </x:c>
      <x:c r="E32" s="25" t="str">
        <x:v>Medikal Estetik / Plastik Cerrahi</x:v>
      </x:c>
      <x:c r="F32" s="25" t="str">
        <x:v>Doruk Hospital</x:v>
      </x:c>
      <x:c r="G32" s="25" t="str">
        <x:v>TRY</x:v>
      </x:c>
      <x:c r="H32" s="25" t="str">
        <x:v>Meme Estetiği - Jinekomasti - Birleşik Krallık - Tümü - EN - Doruk Jinekomasti</x:v>
      </x:c>
      <x:c r="I32" s="25" t="str">
        <x:v>​120247571768010080</x:v>
      </x:c>
      <x:c r="J32" s="25" t="str">
        <x:v>PAUSED</x:v>
      </x:c>
      <x:c r="K32" s="25" t="str">
        <x:v>Jinekomasti - UK</x:v>
      </x:c>
      <x:c r="L32" s="25" t="str">
        <x:v>​120247576936700080</x:v>
      </x:c>
      <x:c r="M32" s="25" t="str">
        <x:v>CAMPAIGN_PAUSED</x:v>
      </x:c>
      <x:c r="N32" s="25" t="str">
        <x:v>LEAD_GENERATION</x:v>
      </x:c>
      <x:c r="O32" s="27" t="n">
        <x:v>0</x:v>
      </x:c>
      <x:c r="P32" s="27" t="n">
        <x:v>0</x:v>
      </x:c>
      <x:c r="Q32" s="27" t="n">
        <x:v>3000</x:v>
      </x:c>
      <x:c r="R32" s="27" t="n">
        <x:v>0</x:v>
      </x:c>
      <x:c r="S32" s="27" t="n">
        <x:v>8098.5</x:v>
      </x:c>
      <x:c r="T32" s="28" t="n">
        <x:v>17618</x:v>
      </x:c>
      <x:c r="U32" s="28" t="n">
        <x:v>10411</x:v>
      </x:c>
      <x:c r="V32" s="28" t="n">
        <x:v>344</x:v>
      </x:c>
      <x:c r="W32" s="28" t="n">
        <x:v>18</x:v>
      </x:c>
      <x:c r="X32" s="28" t="n">
        <x:v>0</x:v>
      </x:c>
      <x:c r="Y32" s="28" t="n">
        <x:v>18</x:v>
      </x:c>
      <x:c r="Z32" s="28" t="n">
        <x:v>0</x:v>
      </x:c>
      <x:c r="AA32" s="28" t="n">
        <x:v>3159</x:v>
      </x:c>
    </x:row>
    <x:row r="33">
      <x:c r="A33" s="25" t="str">
        <x:v>Temmuz 2026</x:v>
      </x:c>
      <x:c r="B33" s="25" t="str">
        <x:v>Yerli</x:v>
      </x:c>
      <x:c r="C33" s="25" t="str">
        <x:v>Türkçe</x:v>
      </x:c>
      <x:c r="D33" s="25" t="str">
        <x:v>Bilinirlik / İzlenme / Trafik</x:v>
      </x:c>
      <x:c r="E33" s="25" t="str">
        <x:v>Diğer / Sınıflandırılacak</x:v>
      </x:c>
      <x:c r="F33" s="25" t="str">
        <x:v>Doruk Hastaneleri - SİNA ÖZEL Sağlık Hizmetleri A.ş</x:v>
      </x:c>
      <x:c r="G33" s="25" t="str">
        <x:v>TRY</x:v>
      </x:c>
      <x:c r="H33" s="25" t="str">
        <x:v>Instagram gönderisi: 🎗️ Kemoterapi Alan Her...</x:v>
      </x:c>
      <x:c r="I33" s="25" t="str">
        <x:v>​120255739290470399</x:v>
      </x:c>
      <x:c r="J33" s="25" t="str">
        <x:v>ACTIVE</x:v>
      </x:c>
      <x:c r="K33" s="25" t="str">
        <x:v>Instagram gönderisi: 🎗️ Kemoterapi Alan Her...</x:v>
      </x:c>
      <x:c r="L33" s="25" t="str">
        <x:v>​120255739290740399</x:v>
      </x:c>
      <x:c r="M33" s="25" t="str">
        <x:v>ACTIVE</x:v>
      </x:c>
      <x:c r="N33" s="25" t="str">
        <x:v>VISIT_INSTAGRAM_PROFILE</x:v>
      </x:c>
      <x:c r="O33" s="27" t="n">
        <x:v>1000</x:v>
      </x:c>
      <x:c r="P33" s="27" t="n">
        <x:v>0</x:v>
      </x:c>
      <x:c r="Q33" s="27" t="n">
        <x:v>0</x:v>
      </x:c>
      <x:c r="R33" s="27" t="n">
        <x:v>0</x:v>
      </x:c>
      <x:c r="S33" s="27" t="n">
        <x:v>4861.85</x:v>
      </x:c>
      <x:c r="T33" s="28" t="n">
        <x:v>65021</x:v>
      </x:c>
      <x:c r="U33" s="28" t="n">
        <x:v>51307</x:v>
      </x:c>
      <x:c r="V33" s="28" t="n">
        <x:v>1470</x:v>
      </x:c>
      <x:c r="W33" s="28" t="n">
        <x:v>0</x:v>
      </x:c>
      <x:c r="X33" s="28" t="n">
        <x:v>0</x:v>
      </x:c>
      <x:c r="Y33" s="28" t="n">
        <x:v>0</x:v>
      </x:c>
      <x:c r="Z33" s="28" t="n">
        <x:v>7</x:v>
      </x:c>
      <x:c r="AA33" s="28" t="n">
        <x:v>20669</x:v>
      </x:c>
    </x:row>
    <x:row r="34">
      <x:c r="A34" s="25" t="str">
        <x:v>Ağustos 2026</x:v>
      </x:c>
      <x:c r="B34" s="25" t="str">
        <x:v>Yerli</x:v>
      </x:c>
      <x:c r="C34" s="25" t="str">
        <x:v>Türkçe</x:v>
      </x:c>
      <x:c r="D34" s="25" t="str">
        <x:v>Bilinirlik / İzlenme / Trafik</x:v>
      </x:c>
      <x:c r="E34" s="25" t="str">
        <x:v>Diğer / Sınıflandırılacak</x:v>
      </x:c>
      <x:c r="F34" s="25" t="str">
        <x:v>Doruk Hastaneleri - SİNA ÖZEL Sağlık Hizmetleri A.ş</x:v>
      </x:c>
      <x:c r="G34" s="25" t="str">
        <x:v>TRY</x:v>
      </x:c>
      <x:c r="H34" s="25" t="str">
        <x:v>Instagram gönderisi: 🎗️ Kemoterapi Alan Her...</x:v>
      </x:c>
      <x:c r="I34" s="25" t="str">
        <x:v>​120255739290470399</x:v>
      </x:c>
      <x:c r="J34" s="25" t="str">
        <x:v>ACTIVE</x:v>
      </x:c>
      <x:c r="K34" s="25" t="str">
        <x:v>Instagram gönderisi: 🎗️ Kemoterapi Alan Her...</x:v>
      </x:c>
      <x:c r="L34" s="25" t="str">
        <x:v>​120255739290740399</x:v>
      </x:c>
      <x:c r="M34" s="25" t="str">
        <x:v>ACTIVE</x:v>
      </x:c>
      <x:c r="N34" s="25" t="str">
        <x:v>VISIT_INSTAGRAM_PROFILE</x:v>
      </x:c>
      <x:c r="O34" s="27" t="n">
        <x:v>1000</x:v>
      </x:c>
      <x:c r="P34" s="27" t="n">
        <x:v>0</x:v>
      </x:c>
      <x:c r="Q34" s="27" t="n">
        <x:v>0</x:v>
      </x:c>
      <x:c r="R34" s="27" t="n">
        <x:v>0</x:v>
      </x:c>
      <x:c r="S34" s="27" t="n">
        <x:v>0</x:v>
      </x:c>
      <x:c r="T34" s="28" t="n">
        <x:v>0</x:v>
      </x:c>
      <x:c r="U34" s="28" t="n">
        <x:v>0</x:v>
      </x:c>
      <x:c r="V34" s="28" t="n">
        <x:v>0</x:v>
      </x:c>
      <x:c r="W34" s="28" t="n">
        <x:v>0</x:v>
      </x:c>
      <x:c r="X34" s="28" t="n">
        <x:v>0</x:v>
      </x:c>
      <x:c r="Y34" s="28" t="n">
        <x:v>0</x:v>
      </x:c>
      <x:c r="Z34" s="28" t="n">
        <x:v>0</x:v>
      </x:c>
      <x:c r="AA34" s="28" t="n">
        <x:v>0</x:v>
      </x:c>
    </x:row>
    <x:row r="35">
      <x:c r="A35" s="25" t="str">
        <x:v>Temmuz 2026</x:v>
      </x:c>
      <x:c r="B35" s="25" t="str">
        <x:v>Yerli</x:v>
      </x:c>
      <x:c r="C35" s="25" t="str">
        <x:v>Türkçe</x:v>
      </x:c>
      <x:c r="D35" s="25" t="str">
        <x:v>Bilinirlik / İzlenme / Trafik</x:v>
      </x:c>
      <x:c r="E35" s="25" t="str">
        <x:v>Diğer / Sınıflandırılacak</x:v>
      </x:c>
      <x:c r="F35" s="25" t="str">
        <x:v>Doruk Hastaneleri - SİNA ÖZEL Sağlık Hizmetleri A.ş</x:v>
      </x:c>
      <x:c r="G35" s="25" t="str">
        <x:v>TRY</x:v>
      </x:c>
      <x:c r="H35" s="25" t="str">
        <x:v>Instagram gönderisi: 🏅 BURSA'DA BİR İLK
Özel...</x:v>
      </x:c>
      <x:c r="I35" s="25" t="str">
        <x:v>​120255738303970399</x:v>
      </x:c>
      <x:c r="J35" s="25" t="str">
        <x:v>ACTIVE</x:v>
      </x:c>
      <x:c r="K35" s="25" t="str">
        <x:v>Instagram gönderisi: 🏅 BURSA'DA BİR İLK
Özel...</x:v>
      </x:c>
      <x:c r="L35" s="25" t="str">
        <x:v>​120255738304110399</x:v>
      </x:c>
      <x:c r="M35" s="25" t="str">
        <x:v>ACTIVE</x:v>
      </x:c>
      <x:c r="N35" s="25" t="str">
        <x:v>VISIT_INSTAGRAM_PROFILE</x:v>
      </x:c>
      <x:c r="O35" s="27" t="n">
        <x:v>1000</x:v>
      </x:c>
      <x:c r="P35" s="27" t="n">
        <x:v>0</x:v>
      </x:c>
      <x:c r="Q35" s="27" t="n">
        <x:v>0</x:v>
      </x:c>
      <x:c r="R35" s="27" t="n">
        <x:v>0</x:v>
      </x:c>
      <x:c r="S35" s="27" t="n">
        <x:v>5950.62</x:v>
      </x:c>
      <x:c r="T35" s="28" t="n">
        <x:v>74827</x:v>
      </x:c>
      <x:c r="U35" s="28" t="n">
        <x:v>57785</x:v>
      </x:c>
      <x:c r="V35" s="28" t="n">
        <x:v>1859</x:v>
      </x:c>
      <x:c r="W35" s="28" t="n">
        <x:v>0</x:v>
      </x:c>
      <x:c r="X35" s="28" t="n">
        <x:v>0</x:v>
      </x:c>
      <x:c r="Y35" s="28" t="n">
        <x:v>0</x:v>
      </x:c>
      <x:c r="Z35" s="28" t="n">
        <x:v>1</x:v>
      </x:c>
      <x:c r="AA35" s="28" t="n">
        <x:v>34374</x:v>
      </x:c>
    </x:row>
    <x:row r="36">
      <x:c r="A36" s="25" t="str">
        <x:v>Ağustos 2026</x:v>
      </x:c>
      <x:c r="B36" s="25" t="str">
        <x:v>Yerli</x:v>
      </x:c>
      <x:c r="C36" s="25" t="str">
        <x:v>Türkçe</x:v>
      </x:c>
      <x:c r="D36" s="25" t="str">
        <x:v>Bilinirlik / İzlenme / Trafik</x:v>
      </x:c>
      <x:c r="E36" s="25" t="str">
        <x:v>Diğer / Sınıflandırılacak</x:v>
      </x:c>
      <x:c r="F36" s="25" t="str">
        <x:v>Doruk Hastaneleri - SİNA ÖZEL Sağlık Hizmetleri A.ş</x:v>
      </x:c>
      <x:c r="G36" s="25" t="str">
        <x:v>TRY</x:v>
      </x:c>
      <x:c r="H36" s="25" t="str">
        <x:v>Instagram gönderisi: 🏅 BURSA'DA BİR İLK
Özel...</x:v>
      </x:c>
      <x:c r="I36" s="25" t="str">
        <x:v>​120255738303970399</x:v>
      </x:c>
      <x:c r="J36" s="25" t="str">
        <x:v>ACTIVE</x:v>
      </x:c>
      <x:c r="K36" s="25" t="str">
        <x:v>Instagram gönderisi: 🏅 BURSA'DA BİR İLK
Özel...</x:v>
      </x:c>
      <x:c r="L36" s="25" t="str">
        <x:v>​120255738304110399</x:v>
      </x:c>
      <x:c r="M36" s="25" t="str">
        <x:v>ACTIVE</x:v>
      </x:c>
      <x:c r="N36" s="25" t="str">
        <x:v>VISIT_INSTAGRAM_PROFILE</x:v>
      </x:c>
      <x:c r="O36" s="27" t="n">
        <x:v>1000</x:v>
      </x:c>
      <x:c r="P36" s="27" t="n">
        <x:v>0</x:v>
      </x:c>
      <x:c r="Q36" s="27" t="n">
        <x:v>0</x:v>
      </x:c>
      <x:c r="R36" s="27" t="n">
        <x:v>0</x:v>
      </x:c>
      <x:c r="S36" s="27" t="n">
        <x:v>4410.15</x:v>
      </x:c>
      <x:c r="T36" s="28" t="n">
        <x:v>76550</x:v>
      </x:c>
      <x:c r="U36" s="28" t="n">
        <x:v>63299</x:v>
      </x:c>
      <x:c r="V36" s="28" t="n">
        <x:v>1337</x:v>
      </x:c>
      <x:c r="W36" s="28" t="n">
        <x:v>0</x:v>
      </x:c>
      <x:c r="X36" s="28" t="n">
        <x:v>0</x:v>
      </x:c>
      <x:c r="Y36" s="28" t="n">
        <x:v>0</x:v>
      </x:c>
      <x:c r="Z36" s="28" t="n">
        <x:v>0</x:v>
      </x:c>
      <x:c r="AA36" s="28" t="n">
        <x:v>30612</x:v>
      </x:c>
    </x:row>
    <x:row r="37">
      <x:c r="A37" s="25" t="str">
        <x:v>Temmuz 2026</x:v>
      </x:c>
      <x:c r="B37" s="25" t="str">
        <x:v>Yerli</x:v>
      </x:c>
      <x:c r="C37" s="25" t="str">
        <x:v>Türkçe</x:v>
      </x:c>
      <x:c r="D37" s="25" t="str">
        <x:v>Bilinirlik / İzlenme / Trafik</x:v>
      </x:c>
      <x:c r="E37" s="25" t="str">
        <x:v>Diğer / Sınıflandırılacak</x:v>
      </x:c>
      <x:c r="F37" s="25" t="str">
        <x:v>Doruk Hastaneleri - SİNA ÖZEL Sağlık Hizmetleri A.ş</x:v>
      </x:c>
      <x:c r="G37" s="25" t="str">
        <x:v>TRY</x:v>
      </x:c>
      <x:c r="H37" s="25" t="str">
        <x:v>Instagram gönderisi: 🖐️ Parmak Ucu Defekti Nasıl...</x:v>
      </x:c>
      <x:c r="I37" s="25" t="str">
        <x:v>​120255739194330399</x:v>
      </x:c>
      <x:c r="J37" s="25" t="str">
        <x:v>ACTIVE</x:v>
      </x:c>
      <x:c r="K37" s="25" t="str">
        <x:v>Instagram gönderisi: 🖐️ Parmak Ucu Defekti Nasıl...</x:v>
      </x:c>
      <x:c r="L37" s="25" t="str">
        <x:v>​120255739195110399</x:v>
      </x:c>
      <x:c r="M37" s="25" t="str">
        <x:v>ACTIVE</x:v>
      </x:c>
      <x:c r="N37" s="25" t="str">
        <x:v>VISIT_INSTAGRAM_PROFILE</x:v>
      </x:c>
      <x:c r="O37" s="27" t="n">
        <x:v>1000</x:v>
      </x:c>
      <x:c r="P37" s="27" t="n">
        <x:v>0</x:v>
      </x:c>
      <x:c r="Q37" s="27" t="n">
        <x:v>0</x:v>
      </x:c>
      <x:c r="R37" s="27" t="n">
        <x:v>0</x:v>
      </x:c>
      <x:c r="S37" s="27" t="n">
        <x:v>5857.14</x:v>
      </x:c>
      <x:c r="T37" s="28" t="n">
        <x:v>70669</x:v>
      </x:c>
      <x:c r="U37" s="28" t="n">
        <x:v>53590</x:v>
      </x:c>
      <x:c r="V37" s="28" t="n">
        <x:v>1981</x:v>
      </x:c>
      <x:c r="W37" s="28" t="n">
        <x:v>0</x:v>
      </x:c>
      <x:c r="X37" s="28" t="n">
        <x:v>0</x:v>
      </x:c>
      <x:c r="Y37" s="28" t="n">
        <x:v>0</x:v>
      </x:c>
      <x:c r="Z37" s="28" t="n">
        <x:v>0</x:v>
      </x:c>
      <x:c r="AA37" s="28" t="n">
        <x:v>24294</x:v>
      </x:c>
    </x:row>
    <x:row r="38">
      <x:c r="A38" s="25" t="str">
        <x:v>Ağustos 2026</x:v>
      </x:c>
      <x:c r="B38" s="25" t="str">
        <x:v>Yerli</x:v>
      </x:c>
      <x:c r="C38" s="25" t="str">
        <x:v>Türkçe</x:v>
      </x:c>
      <x:c r="D38" s="25" t="str">
        <x:v>Bilinirlik / İzlenme / Trafik</x:v>
      </x:c>
      <x:c r="E38" s="25" t="str">
        <x:v>Diğer / Sınıflandırılacak</x:v>
      </x:c>
      <x:c r="F38" s="25" t="str">
        <x:v>Doruk Hastaneleri - SİNA ÖZEL Sağlık Hizmetleri A.ş</x:v>
      </x:c>
      <x:c r="G38" s="25" t="str">
        <x:v>TRY</x:v>
      </x:c>
      <x:c r="H38" s="25" t="str">
        <x:v>Instagram gönderisi: 🖐️ Parmak Ucu Defekti Nasıl...</x:v>
      </x:c>
      <x:c r="I38" s="25" t="str">
        <x:v>​120255739194330399</x:v>
      </x:c>
      <x:c r="J38" s="25" t="str">
        <x:v>ACTIVE</x:v>
      </x:c>
      <x:c r="K38" s="25" t="str">
        <x:v>Instagram gönderisi: 🖐️ Parmak Ucu Defekti Nasıl...</x:v>
      </x:c>
      <x:c r="L38" s="25" t="str">
        <x:v>​120255739195110399</x:v>
      </x:c>
      <x:c r="M38" s="25" t="str">
        <x:v>ACTIVE</x:v>
      </x:c>
      <x:c r="N38" s="25" t="str">
        <x:v>VISIT_INSTAGRAM_PROFILE</x:v>
      </x:c>
      <x:c r="O38" s="27" t="n">
        <x:v>1000</x:v>
      </x:c>
      <x:c r="P38" s="27" t="n">
        <x:v>0</x:v>
      </x:c>
      <x:c r="Q38" s="27" t="n">
        <x:v>0</x:v>
      </x:c>
      <x:c r="R38" s="27" t="n">
        <x:v>0</x:v>
      </x:c>
      <x:c r="S38" s="27" t="n">
        <x:v>3895.68</x:v>
      </x:c>
      <x:c r="T38" s="28" t="n">
        <x:v>57492</x:v>
      </x:c>
      <x:c r="U38" s="28" t="n">
        <x:v>49035</x:v>
      </x:c>
      <x:c r="V38" s="28" t="n">
        <x:v>1241</x:v>
      </x:c>
      <x:c r="W38" s="28" t="n">
        <x:v>0</x:v>
      </x:c>
      <x:c r="X38" s="28" t="n">
        <x:v>0</x:v>
      </x:c>
      <x:c r="Y38" s="28" t="n">
        <x:v>0</x:v>
      </x:c>
      <x:c r="Z38" s="28" t="n">
        <x:v>1</x:v>
      </x:c>
      <x:c r="AA38" s="28" t="n">
        <x:v>20919</x:v>
      </x:c>
    </x:row>
    <x:row r="39">
      <x:c r="A39" s="25" t="str">
        <x:v>Temmuz 2026</x:v>
      </x:c>
      <x:c r="B39" s="25" t="str">
        <x:v>Yerli</x:v>
      </x:c>
      <x:c r="C39" s="25" t="str">
        <x:v>Türkçe</x:v>
      </x:c>
      <x:c r="D39" s="25" t="str">
        <x:v>Bilinirlik / İzlenme / Trafik</x:v>
      </x:c>
      <x:c r="E39" s="25" t="str">
        <x:v>Diğer / Sınıflandırılacak</x:v>
      </x:c>
      <x:c r="F39" s="25" t="str">
        <x:v>Doruk Hastaneleri - SİNA ÖZEL Sağlık Hizmetleri A.ş</x:v>
      </x:c>
      <x:c r="G39" s="25" t="str">
        <x:v>TRY</x:v>
      </x:c>
      <x:c r="H39" s="25" t="str">
        <x:v>Instagram gönderisi: 🦴 Bel Fıtığında Doğru Zaman...</x:v>
      </x:c>
      <x:c r="I39" s="25" t="str">
        <x:v>​120255739485660399</x:v>
      </x:c>
      <x:c r="J39" s="25" t="str">
        <x:v>ACTIVE</x:v>
      </x:c>
      <x:c r="K39" s="25" t="str">
        <x:v>Instagram gönderisi: 🦴 Bel Fıtığında Doğru Zaman...</x:v>
      </x:c>
      <x:c r="L39" s="25" t="str">
        <x:v>​120255739486480399</x:v>
      </x:c>
      <x:c r="M39" s="25" t="str">
        <x:v>ACTIVE</x:v>
      </x:c>
      <x:c r="N39" s="25" t="str">
        <x:v>VISIT_INSTAGRAM_PROFILE</x:v>
      </x:c>
      <x:c r="O39" s="27" t="n">
        <x:v>1000</x:v>
      </x:c>
      <x:c r="P39" s="27" t="n">
        <x:v>0</x:v>
      </x:c>
      <x:c r="Q39" s="27" t="n">
        <x:v>0</x:v>
      </x:c>
      <x:c r="R39" s="27" t="n">
        <x:v>0</x:v>
      </x:c>
      <x:c r="S39" s="27" t="n">
        <x:v>4602.73</x:v>
      </x:c>
      <x:c r="T39" s="28" t="n">
        <x:v>82304</x:v>
      </x:c>
      <x:c r="U39" s="28" t="n">
        <x:v>62131</x:v>
      </x:c>
      <x:c r="V39" s="28" t="n">
        <x:v>1429</x:v>
      </x:c>
      <x:c r="W39" s="28" t="n">
        <x:v>0</x:v>
      </x:c>
      <x:c r="X39" s="28" t="n">
        <x:v>0</x:v>
      </x:c>
      <x:c r="Y39" s="28" t="n">
        <x:v>0</x:v>
      </x:c>
      <x:c r="Z39" s="28" t="n">
        <x:v>4</x:v>
      </x:c>
      <x:c r="AA39" s="28" t="n">
        <x:v>21243</x:v>
      </x:c>
    </x:row>
    <x:row r="40">
      <x:c r="A40" s="25" t="str">
        <x:v>Ağustos 2026</x:v>
      </x:c>
      <x:c r="B40" s="25" t="str">
        <x:v>Yerli</x:v>
      </x:c>
      <x:c r="C40" s="25" t="str">
        <x:v>Türkçe</x:v>
      </x:c>
      <x:c r="D40" s="25" t="str">
        <x:v>Bilinirlik / İzlenme / Trafik</x:v>
      </x:c>
      <x:c r="E40" s="25" t="str">
        <x:v>Diğer / Sınıflandırılacak</x:v>
      </x:c>
      <x:c r="F40" s="25" t="str">
        <x:v>Doruk Hastaneleri - SİNA ÖZEL Sağlık Hizmetleri A.ş</x:v>
      </x:c>
      <x:c r="G40" s="25" t="str">
        <x:v>TRY</x:v>
      </x:c>
      <x:c r="H40" s="25" t="str">
        <x:v>Instagram gönderisi: 🦴 Bel Fıtığında Doğru Zaman...</x:v>
      </x:c>
      <x:c r="I40" s="25" t="str">
        <x:v>​120255739485660399</x:v>
      </x:c>
      <x:c r="J40" s="25" t="str">
        <x:v>ACTIVE</x:v>
      </x:c>
      <x:c r="K40" s="25" t="str">
        <x:v>Instagram gönderisi: 🦴 Bel Fıtığında Doğru Zaman...</x:v>
      </x:c>
      <x:c r="L40" s="25" t="str">
        <x:v>​120255739486480399</x:v>
      </x:c>
      <x:c r="M40" s="25" t="str">
        <x:v>ACTIVE</x:v>
      </x:c>
      <x:c r="N40" s="25" t="str">
        <x:v>VISIT_INSTAGRAM_PROFILE</x:v>
      </x:c>
      <x:c r="O40" s="27" t="n">
        <x:v>1000</x:v>
      </x:c>
      <x:c r="P40" s="27" t="n">
        <x:v>0</x:v>
      </x:c>
      <x:c r="Q40" s="27" t="n">
        <x:v>0</x:v>
      </x:c>
      <x:c r="R40" s="27" t="n">
        <x:v>0</x:v>
      </x:c>
      <x:c r="S40" s="27" t="n">
        <x:v>0</x:v>
      </x:c>
      <x:c r="T40" s="28" t="n">
        <x:v>0</x:v>
      </x:c>
      <x:c r="U40" s="28" t="n">
        <x:v>0</x:v>
      </x:c>
      <x:c r="V40" s="28" t="n">
        <x:v>0</x:v>
      </x:c>
      <x:c r="W40" s="28" t="n">
        <x:v>0</x:v>
      </x:c>
      <x:c r="X40" s="28" t="n">
        <x:v>0</x:v>
      </x:c>
      <x:c r="Y40" s="28" t="n">
        <x:v>0</x:v>
      </x:c>
      <x:c r="Z40" s="28" t="n">
        <x:v>0</x:v>
      </x:c>
      <x:c r="AA40" s="28" t="n">
        <x:v>0</x:v>
      </x:c>
    </x:row>
    <x:row r="41">
      <x:c r="A41" s="25" t="str">
        <x:v>Temmuz 2026</x:v>
      </x:c>
      <x:c r="B41" s="25" t="str">
        <x:v>Yerli</x:v>
      </x:c>
      <x:c r="C41" s="25" t="str">
        <x:v>Türkçe</x:v>
      </x:c>
      <x:c r="D41" s="25" t="str">
        <x:v>Bilinirlik / İzlenme / Trafik</x:v>
      </x:c>
      <x:c r="E41" s="25" t="str">
        <x:v>Diğer / Sınıflandırılacak</x:v>
      </x:c>
      <x:c r="F41" s="25" t="str">
        <x:v>Doruk Hastaneleri - SİNA ÖZEL Sağlık Hizmetleri A.ş</x:v>
      </x:c>
      <x:c r="G41" s="25" t="str">
        <x:v>TRY</x:v>
      </x:c>
      <x:c r="H41" s="25" t="str">
        <x:v>Instagram gönderisi: 🦴 Omurga Kırıklarında Asıl...</x:v>
      </x:c>
      <x:c r="I41" s="25" t="str">
        <x:v>​120255739460510399</x:v>
      </x:c>
      <x:c r="J41" s="25" t="str">
        <x:v>ACTIVE</x:v>
      </x:c>
      <x:c r="K41" s="25" t="str">
        <x:v>Instagram gönderisi: 🦴 Omurga Kırıklarında Asıl...</x:v>
      </x:c>
      <x:c r="L41" s="25" t="str">
        <x:v>​120255739460790399</x:v>
      </x:c>
      <x:c r="M41" s="25" t="str">
        <x:v>ACTIVE</x:v>
      </x:c>
      <x:c r="N41" s="25" t="str">
        <x:v>VISIT_INSTAGRAM_PROFILE</x:v>
      </x:c>
      <x:c r="O41" s="27" t="n">
        <x:v>1000</x:v>
      </x:c>
      <x:c r="P41" s="27" t="n">
        <x:v>0</x:v>
      </x:c>
      <x:c r="Q41" s="27" t="n">
        <x:v>0</x:v>
      </x:c>
      <x:c r="R41" s="27" t="n">
        <x:v>0</x:v>
      </x:c>
      <x:c r="S41" s="27" t="n">
        <x:v>4690.69</x:v>
      </x:c>
      <x:c r="T41" s="28" t="n">
        <x:v>73544</x:v>
      </x:c>
      <x:c r="U41" s="28" t="n">
        <x:v>59754</x:v>
      </x:c>
      <x:c r="V41" s="28" t="n">
        <x:v>975</x:v>
      </x:c>
      <x:c r="W41" s="28" t="n">
        <x:v>0</x:v>
      </x:c>
      <x:c r="X41" s="28" t="n">
        <x:v>0</x:v>
      </x:c>
      <x:c r="Y41" s="28" t="n">
        <x:v>0</x:v>
      </x:c>
      <x:c r="Z41" s="28" t="n">
        <x:v>6</x:v>
      </x:c>
      <x:c r="AA41" s="28" t="n">
        <x:v>20700</x:v>
      </x:c>
    </x:row>
    <x:row r="42">
      <x:c r="A42" s="25" t="str">
        <x:v>Ağustos 2026</x:v>
      </x:c>
      <x:c r="B42" s="25" t="str">
        <x:v>Yerli</x:v>
      </x:c>
      <x:c r="C42" s="25" t="str">
        <x:v>Türkçe</x:v>
      </x:c>
      <x:c r="D42" s="25" t="str">
        <x:v>Bilinirlik / İzlenme / Trafik</x:v>
      </x:c>
      <x:c r="E42" s="25" t="str">
        <x:v>Diğer / Sınıflandırılacak</x:v>
      </x:c>
      <x:c r="F42" s="25" t="str">
        <x:v>Doruk Hastaneleri - SİNA ÖZEL Sağlık Hizmetleri A.ş</x:v>
      </x:c>
      <x:c r="G42" s="25" t="str">
        <x:v>TRY</x:v>
      </x:c>
      <x:c r="H42" s="25" t="str">
        <x:v>Instagram gönderisi: 🦴 Omurga Kırıklarında Asıl...</x:v>
      </x:c>
      <x:c r="I42" s="25" t="str">
        <x:v>​120255739460510399</x:v>
      </x:c>
      <x:c r="J42" s="25" t="str">
        <x:v>ACTIVE</x:v>
      </x:c>
      <x:c r="K42" s="25" t="str">
        <x:v>Instagram gönderisi: 🦴 Omurga Kırıklarında Asıl...</x:v>
      </x:c>
      <x:c r="L42" s="25" t="str">
        <x:v>​120255739460790399</x:v>
      </x:c>
      <x:c r="M42" s="25" t="str">
        <x:v>ACTIVE</x:v>
      </x:c>
      <x:c r="N42" s="25" t="str">
        <x:v>VISIT_INSTAGRAM_PROFILE</x:v>
      </x:c>
      <x:c r="O42" s="27" t="n">
        <x:v>1000</x:v>
      </x:c>
      <x:c r="P42" s="27" t="n">
        <x:v>0</x:v>
      </x:c>
      <x:c r="Q42" s="27" t="n">
        <x:v>0</x:v>
      </x:c>
      <x:c r="R42" s="27" t="n">
        <x:v>0</x:v>
      </x:c>
      <x:c r="S42" s="27" t="n">
        <x:v>0</x:v>
      </x:c>
      <x:c r="T42" s="28" t="n">
        <x:v>0</x:v>
      </x:c>
      <x:c r="U42" s="28" t="n">
        <x:v>0</x:v>
      </x:c>
      <x:c r="V42" s="28" t="n">
        <x:v>0</x:v>
      </x:c>
      <x:c r="W42" s="28" t="n">
        <x:v>0</x:v>
      </x:c>
      <x:c r="X42" s="28" t="n">
        <x:v>0</x:v>
      </x:c>
      <x:c r="Y42" s="28" t="n">
        <x:v>0</x:v>
      </x:c>
      <x:c r="Z42" s="28" t="n">
        <x:v>0</x:v>
      </x:c>
      <x:c r="AA42" s="28" t="n">
        <x:v>0</x:v>
      </x:c>
    </x:row>
    <x:row r="43">
      <x:c r="A43" s="25" t="str">
        <x:v>Temmuz 2026</x:v>
      </x:c>
      <x:c r="B43" s="25" t="str">
        <x:v>Yerli</x:v>
      </x:c>
      <x:c r="C43" s="25" t="str">
        <x:v>Türkçe</x:v>
      </x:c>
      <x:c r="D43" s="25" t="str">
        <x:v>Bilinirlik / İzlenme / Trafik</x:v>
      </x:c>
      <x:c r="E43" s="25" t="str">
        <x:v>Diğer / Sınıflandırılacak</x:v>
      </x:c>
      <x:c r="F43" s="25" t="str">
        <x:v>Doruk Hastaneleri - SİNA ÖZEL Sağlık Hizmetleri A.ş</x:v>
      </x:c>
      <x:c r="G43" s="25" t="str">
        <x:v>TRY</x:v>
      </x:c>
      <x:c r="H43" s="25" t="str">
        <x:v>Instagram gönderisi: Ablasyon tedavisi, vücutta...</x:v>
      </x:c>
      <x:c r="I43" s="25" t="str">
        <x:v>​120255738376560399</x:v>
      </x:c>
      <x:c r="J43" s="25" t="str">
        <x:v>ACTIVE</x:v>
      </x:c>
      <x:c r="K43" s="25" t="str">
        <x:v>Instagram gönderisi: Ablasyon tedavisi, vücutta...</x:v>
      </x:c>
      <x:c r="L43" s="25" t="str">
        <x:v>​120255738376950399</x:v>
      </x:c>
      <x:c r="M43" s="25" t="str">
        <x:v>ACTIVE</x:v>
      </x:c>
      <x:c r="N43" s="25" t="str">
        <x:v>VISIT_INSTAGRAM_PROFILE</x:v>
      </x:c>
      <x:c r="O43" s="27" t="n">
        <x:v>1000</x:v>
      </x:c>
      <x:c r="P43" s="27" t="n">
        <x:v>0</x:v>
      </x:c>
      <x:c r="Q43" s="27" t="n">
        <x:v>0</x:v>
      </x:c>
      <x:c r="R43" s="27" t="n">
        <x:v>0</x:v>
      </x:c>
      <x:c r="S43" s="27" t="n">
        <x:v>4881.75</x:v>
      </x:c>
      <x:c r="T43" s="28" t="n">
        <x:v>39529</x:v>
      </x:c>
      <x:c r="U43" s="28" t="n">
        <x:v>31076</x:v>
      </x:c>
      <x:c r="V43" s="28" t="n">
        <x:v>666</x:v>
      </x:c>
      <x:c r="W43" s="28" t="n">
        <x:v>0</x:v>
      </x:c>
      <x:c r="X43" s="28" t="n">
        <x:v>0</x:v>
      </x:c>
      <x:c r="Y43" s="28" t="n">
        <x:v>0</x:v>
      </x:c>
      <x:c r="Z43" s="28" t="n">
        <x:v>0</x:v>
      </x:c>
      <x:c r="AA43" s="28" t="n">
        <x:v>11781</x:v>
      </x:c>
    </x:row>
    <x:row r="44">
      <x:c r="A44" s="25" t="str">
        <x:v>Ağustos 2026</x:v>
      </x:c>
      <x:c r="B44" s="25" t="str">
        <x:v>Yerli</x:v>
      </x:c>
      <x:c r="C44" s="25" t="str">
        <x:v>Türkçe</x:v>
      </x:c>
      <x:c r="D44" s="25" t="str">
        <x:v>Bilinirlik / İzlenme / Trafik</x:v>
      </x:c>
      <x:c r="E44" s="25" t="str">
        <x:v>Diğer / Sınıflandırılacak</x:v>
      </x:c>
      <x:c r="F44" s="25" t="str">
        <x:v>Doruk Hastaneleri - SİNA ÖZEL Sağlık Hizmetleri A.ş</x:v>
      </x:c>
      <x:c r="G44" s="25" t="str">
        <x:v>TRY</x:v>
      </x:c>
      <x:c r="H44" s="25" t="str">
        <x:v>Instagram gönderisi: Ablasyon tedavisi, vücutta...</x:v>
      </x:c>
      <x:c r="I44" s="25" t="str">
        <x:v>​120255738376560399</x:v>
      </x:c>
      <x:c r="J44" s="25" t="str">
        <x:v>ACTIVE</x:v>
      </x:c>
      <x:c r="K44" s="25" t="str">
        <x:v>Instagram gönderisi: Ablasyon tedavisi, vücutta...</x:v>
      </x:c>
      <x:c r="L44" s="25" t="str">
        <x:v>​120255738376950399</x:v>
      </x:c>
      <x:c r="M44" s="25" t="str">
        <x:v>ACTIVE</x:v>
      </x:c>
      <x:c r="N44" s="25" t="str">
        <x:v>VISIT_INSTAGRAM_PROFILE</x:v>
      </x:c>
      <x:c r="O44" s="27" t="n">
        <x:v>1000</x:v>
      </x:c>
      <x:c r="P44" s="27" t="n">
        <x:v>0</x:v>
      </x:c>
      <x:c r="Q44" s="27" t="n">
        <x:v>0</x:v>
      </x:c>
      <x:c r="R44" s="27" t="n">
        <x:v>0</x:v>
      </x:c>
      <x:c r="S44" s="27" t="n">
        <x:v>0</x:v>
      </x:c>
      <x:c r="T44" s="28" t="n">
        <x:v>0</x:v>
      </x:c>
      <x:c r="U44" s="28" t="n">
        <x:v>0</x:v>
      </x:c>
      <x:c r="V44" s="28" t="n">
        <x:v>0</x:v>
      </x:c>
      <x:c r="W44" s="28" t="n">
        <x:v>0</x:v>
      </x:c>
      <x:c r="X44" s="28" t="n">
        <x:v>0</x:v>
      </x:c>
      <x:c r="Y44" s="28" t="n">
        <x:v>0</x:v>
      </x:c>
      <x:c r="Z44" s="28" t="n">
        <x:v>0</x:v>
      </x:c>
      <x:c r="AA44" s="28" t="n">
        <x:v>0</x:v>
      </x:c>
    </x:row>
    <x:row r="45">
      <x:c r="A45" s="25" t="str">
        <x:v>Temmuz 2026</x:v>
      </x:c>
      <x:c r="B45" s="25" t="str">
        <x:v>Yerli</x:v>
      </x:c>
      <x:c r="C45" s="25" t="str">
        <x:v>Türkçe</x:v>
      </x:c>
      <x:c r="D45" s="25" t="str">
        <x:v>Bilinirlik / İzlenme / Trafik</x:v>
      </x:c>
      <x:c r="E45" s="25" t="str">
        <x:v>Diğer / Sınıflandırılacak</x:v>
      </x:c>
      <x:c r="F45" s="25" t="str">
        <x:v>Doruk Hastaneleri - SİNA ÖZEL Sağlık Hizmetleri A.ş</x:v>
      </x:c>
      <x:c r="G45" s="25" t="str">
        <x:v>TRY</x:v>
      </x:c>
      <x:c r="H45" s="25" t="str">
        <x:v>Instagram gönderisi: Bir sezon boyunca ortaya...</x:v>
      </x:c>
      <x:c r="I45" s="25" t="str">
        <x:v>​120249614228610399</x:v>
      </x:c>
      <x:c r="J45" s="25" t="str">
        <x:v>ACTIVE</x:v>
      </x:c>
      <x:c r="K45" s="25" t="str">
        <x:v>Instagram gönderisi: Bir sezon boyunca ortaya...</x:v>
      </x:c>
      <x:c r="L45" s="25" t="str">
        <x:v>​120249614229100399</x:v>
      </x:c>
      <x:c r="M45" s="25" t="str">
        <x:v>ACTIVE</x:v>
      </x:c>
      <x:c r="N45" s="25" t="str">
        <x:v>VISIT_INSTAGRAM_PROFILE</x:v>
      </x:c>
      <x:c r="O45" s="27" t="n">
        <x:v>0</x:v>
      </x:c>
      <x:c r="P45" s="27" t="n">
        <x:v>0</x:v>
      </x:c>
      <x:c r="Q45" s="27" t="n">
        <x:v>4000</x:v>
      </x:c>
      <x:c r="R45" s="27" t="n">
        <x:v>0</x:v>
      </x:c>
      <x:c r="S45" s="27" t="n">
        <x:v>89061.13</x:v>
      </x:c>
      <x:c r="T45" s="28" t="n">
        <x:v>1548600</x:v>
      </x:c>
      <x:c r="U45" s="28" t="n">
        <x:v>590493</x:v>
      </x:c>
      <x:c r="V45" s="28" t="n">
        <x:v>19030</x:v>
      </x:c>
      <x:c r="W45" s="28" t="n">
        <x:v>0</x:v>
      </x:c>
      <x:c r="X45" s="28" t="n">
        <x:v>0</x:v>
      </x:c>
      <x:c r="Y45" s="28" t="n">
        <x:v>0</x:v>
      </x:c>
      <x:c r="Z45" s="28" t="n">
        <x:v>2</x:v>
      </x:c>
      <x:c r="AA45" s="28" t="n">
        <x:v>338000</x:v>
      </x:c>
    </x:row>
    <x:row r="46">
      <x:c r="A46" s="25" t="str">
        <x:v>Ağustos 2026</x:v>
      </x:c>
      <x:c r="B46" s="25" t="str">
        <x:v>Yerli</x:v>
      </x:c>
      <x:c r="C46" s="25" t="str">
        <x:v>Türkçe</x:v>
      </x:c>
      <x:c r="D46" s="25" t="str">
        <x:v>Bilinirlik / İzlenme / Trafik</x:v>
      </x:c>
      <x:c r="E46" s="25" t="str">
        <x:v>Diğer / Sınıflandırılacak</x:v>
      </x:c>
      <x:c r="F46" s="25" t="str">
        <x:v>Doruk Hastaneleri - SİNA ÖZEL Sağlık Hizmetleri A.ş</x:v>
      </x:c>
      <x:c r="G46" s="25" t="str">
        <x:v>TRY</x:v>
      </x:c>
      <x:c r="H46" s="25" t="str">
        <x:v>Instagram gönderisi: Bir sezon boyunca ortaya...</x:v>
      </x:c>
      <x:c r="I46" s="25" t="str">
        <x:v>​120249614228610399</x:v>
      </x:c>
      <x:c r="J46" s="25" t="str">
        <x:v>ACTIVE</x:v>
      </x:c>
      <x:c r="K46" s="25" t="str">
        <x:v>Instagram gönderisi: Bir sezon boyunca ortaya...</x:v>
      </x:c>
      <x:c r="L46" s="25" t="str">
        <x:v>​120249614229100399</x:v>
      </x:c>
      <x:c r="M46" s="25" t="str">
        <x:v>ACTIVE</x:v>
      </x:c>
      <x:c r="N46" s="25" t="str">
        <x:v>VISIT_INSTAGRAM_PROFILE</x:v>
      </x:c>
      <x:c r="O46" s="27" t="n">
        <x:v>0</x:v>
      </x:c>
      <x:c r="P46" s="27" t="n">
        <x:v>0</x:v>
      </x:c>
      <x:c r="Q46" s="27" t="n">
        <x:v>4000</x:v>
      </x:c>
      <x:c r="R46" s="27" t="n">
        <x:v>0</x:v>
      </x:c>
      <x:c r="S46" s="27" t="n">
        <x:v>19306.66</x:v>
      </x:c>
      <x:c r="T46" s="28" t="n">
        <x:v>354564</x:v>
      </x:c>
      <x:c r="U46" s="28" t="n">
        <x:v>255858</x:v>
      </x:c>
      <x:c r="V46" s="28" t="n">
        <x:v>4315</x:v>
      </x:c>
      <x:c r="W46" s="28" t="n">
        <x:v>0</x:v>
      </x:c>
      <x:c r="X46" s="28" t="n">
        <x:v>0</x:v>
      </x:c>
      <x:c r="Y46" s="28" t="n">
        <x:v>0</x:v>
      </x:c>
      <x:c r="Z46" s="28" t="n">
        <x:v>1</x:v>
      </x:c>
      <x:c r="AA46" s="28" t="n">
        <x:v>74332</x:v>
      </x:c>
    </x:row>
    <x:row r="47">
      <x:c r="A47" s="25" t="str">
        <x:v>Temmuz 2026</x:v>
      </x:c>
      <x:c r="B47" s="25" t="str">
        <x:v>Yerli</x:v>
      </x:c>
      <x:c r="C47" s="25" t="str">
        <x:v>Türkçe</x:v>
      </x:c>
      <x:c r="D47" s="25" t="str">
        <x:v>Bilinirlik / İzlenme / Trafik</x:v>
      </x:c>
      <x:c r="E47" s="25" t="str">
        <x:v>Diğer / Sınıflandırılacak</x:v>
      </x:c>
      <x:c r="F47" s="25" t="str">
        <x:v>Doruk Hastaneleri - SİNA ÖZEL Sağlık Hizmetleri A.ş</x:v>
      </x:c>
      <x:c r="G47" s="25" t="str">
        <x:v>TRY</x:v>
      </x:c>
      <x:c r="H47" s="25" t="str">
        <x:v>Instagram gönderisi: Doruk Sağlık Grubu olarak,...</x:v>
      </x:c>
      <x:c r="I47" s="25" t="str">
        <x:v>​120255099624540399</x:v>
      </x:c>
      <x:c r="J47" s="25" t="str">
        <x:v>ACTIVE</x:v>
      </x:c>
      <x:c r="K47" s="25" t="str">
        <x:v>Instagram gönderisi: Doruk Sağlık Grubu olarak,...</x:v>
      </x:c>
      <x:c r="L47" s="25" t="str">
        <x:v>​120255099624880399</x:v>
      </x:c>
      <x:c r="M47" s="25" t="str">
        <x:v>ACTIVE</x:v>
      </x:c>
      <x:c r="N47" s="25" t="str">
        <x:v>VISIT_INSTAGRAM_PROFILE</x:v>
      </x:c>
      <x:c r="O47" s="27" t="n">
        <x:v>3000</x:v>
      </x:c>
      <x:c r="P47" s="27" t="n">
        <x:v>0</x:v>
      </x:c>
      <x:c r="Q47" s="27" t="n">
        <x:v>0</x:v>
      </x:c>
      <x:c r="R47" s="27" t="n">
        <x:v>0</x:v>
      </x:c>
      <x:c r="S47" s="27" t="n">
        <x:v>66937.6</x:v>
      </x:c>
      <x:c r="T47" s="28" t="n">
        <x:v>1006398</x:v>
      </x:c>
      <x:c r="U47" s="28" t="n">
        <x:v>596895</x:v>
      </x:c>
      <x:c r="V47" s="28" t="n">
        <x:v>15513</x:v>
      </x:c>
      <x:c r="W47" s="28" t="n">
        <x:v>0</x:v>
      </x:c>
      <x:c r="X47" s="28" t="n">
        <x:v>0</x:v>
      </x:c>
      <x:c r="Y47" s="28" t="n">
        <x:v>0</x:v>
      </x:c>
      <x:c r="Z47" s="28" t="n">
        <x:v>0</x:v>
      </x:c>
      <x:c r="AA47" s="28" t="n">
        <x:v>261431</x:v>
      </x:c>
    </x:row>
    <x:row r="48">
      <x:c r="A48" s="25" t="str">
        <x:v>Ağustos 2026</x:v>
      </x:c>
      <x:c r="B48" s="25" t="str">
        <x:v>Yerli</x:v>
      </x:c>
      <x:c r="C48" s="25" t="str">
        <x:v>Türkçe</x:v>
      </x:c>
      <x:c r="D48" s="25" t="str">
        <x:v>Bilinirlik / İzlenme / Trafik</x:v>
      </x:c>
      <x:c r="E48" s="25" t="str">
        <x:v>Diğer / Sınıflandırılacak</x:v>
      </x:c>
      <x:c r="F48" s="25" t="str">
        <x:v>Doruk Hastaneleri - SİNA ÖZEL Sağlık Hizmetleri A.ş</x:v>
      </x:c>
      <x:c r="G48" s="25" t="str">
        <x:v>TRY</x:v>
      </x:c>
      <x:c r="H48" s="25" t="str">
        <x:v>Instagram gönderisi: Doruk Sağlık Grubu olarak,...</x:v>
      </x:c>
      <x:c r="I48" s="25" t="str">
        <x:v>​120255099624540399</x:v>
      </x:c>
      <x:c r="J48" s="25" t="str">
        <x:v>ACTIVE</x:v>
      </x:c>
      <x:c r="K48" s="25" t="str">
        <x:v>Instagram gönderisi: Doruk Sağlık Grubu olarak,...</x:v>
      </x:c>
      <x:c r="L48" s="25" t="str">
        <x:v>​120255099624880399</x:v>
      </x:c>
      <x:c r="M48" s="25" t="str">
        <x:v>ACTIVE</x:v>
      </x:c>
      <x:c r="N48" s="25" t="str">
        <x:v>VISIT_INSTAGRAM_PROFILE</x:v>
      </x:c>
      <x:c r="O48" s="27" t="n">
        <x:v>3000</x:v>
      </x:c>
      <x:c r="P48" s="27" t="n">
        <x:v>0</x:v>
      </x:c>
      <x:c r="Q48" s="27" t="n">
        <x:v>0</x:v>
      </x:c>
      <x:c r="R48" s="27" t="n">
        <x:v>0</x:v>
      </x:c>
      <x:c r="S48" s="27" t="n">
        <x:v>0</x:v>
      </x:c>
      <x:c r="T48" s="28" t="n">
        <x:v>0</x:v>
      </x:c>
      <x:c r="U48" s="28" t="n">
        <x:v>0</x:v>
      </x:c>
      <x:c r="V48" s="28" t="n">
        <x:v>0</x:v>
      </x:c>
      <x:c r="W48" s="28" t="n">
        <x:v>0</x:v>
      </x:c>
      <x:c r="X48" s="28" t="n">
        <x:v>0</x:v>
      </x:c>
      <x:c r="Y48" s="28" t="n">
        <x:v>0</x:v>
      </x:c>
      <x:c r="Z48" s="28" t="n">
        <x:v>0</x:v>
      </x:c>
      <x:c r="AA48" s="28" t="n">
        <x:v>0</x:v>
      </x:c>
    </x:row>
    <x:row r="49">
      <x:c r="A49" s="25" t="str">
        <x:v>Temmuz 2026</x:v>
      </x:c>
      <x:c r="B49" s="25" t="str">
        <x:v>Yerli</x:v>
      </x:c>
      <x:c r="C49" s="25" t="str">
        <x:v>Türkçe</x:v>
      </x:c>
      <x:c r="D49" s="25" t="str">
        <x:v>Bilinirlik / İzlenme / Trafik</x:v>
      </x:c>
      <x:c r="E49" s="25" t="str">
        <x:v>Diğer / Sınıflandırılacak</x:v>
      </x:c>
      <x:c r="F49" s="25" t="str">
        <x:v>Doruk Hastaneleri - SİNA ÖZEL Sağlık Hizmetleri A.ş</x:v>
      </x:c>
      <x:c r="G49" s="25" t="str">
        <x:v>TRY</x:v>
      </x:c>
      <x:c r="H49" s="25" t="str">
        <x:v>Instagram gönderisi: İlişki sonrasında idrar...</x:v>
      </x:c>
      <x:c r="I49" s="25" t="str">
        <x:v>​120255738351260399</x:v>
      </x:c>
      <x:c r="J49" s="25" t="str">
        <x:v>ACTIVE</x:v>
      </x:c>
      <x:c r="K49" s="25" t="str">
        <x:v>Instagram gönderisi: İlişki sonrasında idrar...</x:v>
      </x:c>
      <x:c r="L49" s="25" t="str">
        <x:v>​120255738351550399</x:v>
      </x:c>
      <x:c r="M49" s="25" t="str">
        <x:v>ACTIVE</x:v>
      </x:c>
      <x:c r="N49" s="25" t="str">
        <x:v>VISIT_INSTAGRAM_PROFILE</x:v>
      </x:c>
      <x:c r="O49" s="27" t="n">
        <x:v>1000</x:v>
      </x:c>
      <x:c r="P49" s="27" t="n">
        <x:v>0</x:v>
      </x:c>
      <x:c r="Q49" s="27" t="n">
        <x:v>0</x:v>
      </x:c>
      <x:c r="R49" s="27" t="n">
        <x:v>0</x:v>
      </x:c>
      <x:c r="S49" s="27" t="n">
        <x:v>4710.19</x:v>
      </x:c>
      <x:c r="T49" s="28" t="n">
        <x:v>48385</x:v>
      </x:c>
      <x:c r="U49" s="28" t="n">
        <x:v>38385</x:v>
      </x:c>
      <x:c r="V49" s="28" t="n">
        <x:v>906</x:v>
      </x:c>
      <x:c r="W49" s="28" t="n">
        <x:v>0</x:v>
      </x:c>
      <x:c r="X49" s="28" t="n">
        <x:v>0</x:v>
      </x:c>
      <x:c r="Y49" s="28" t="n">
        <x:v>0</x:v>
      </x:c>
      <x:c r="Z49" s="28" t="n">
        <x:v>1</x:v>
      </x:c>
      <x:c r="AA49" s="28" t="n">
        <x:v>16097</x:v>
      </x:c>
    </x:row>
    <x:row r="50">
      <x:c r="A50" s="25" t="str">
        <x:v>Ağustos 2026</x:v>
      </x:c>
      <x:c r="B50" s="25" t="str">
        <x:v>Yerli</x:v>
      </x:c>
      <x:c r="C50" s="25" t="str">
        <x:v>Türkçe</x:v>
      </x:c>
      <x:c r="D50" s="25" t="str">
        <x:v>Bilinirlik / İzlenme / Trafik</x:v>
      </x:c>
      <x:c r="E50" s="25" t="str">
        <x:v>Diğer / Sınıflandırılacak</x:v>
      </x:c>
      <x:c r="F50" s="25" t="str">
        <x:v>Doruk Hastaneleri - SİNA ÖZEL Sağlık Hizmetleri A.ş</x:v>
      </x:c>
      <x:c r="G50" s="25" t="str">
        <x:v>TRY</x:v>
      </x:c>
      <x:c r="H50" s="25" t="str">
        <x:v>Instagram gönderisi: İlişki sonrasında idrar...</x:v>
      </x:c>
      <x:c r="I50" s="25" t="str">
        <x:v>​120255738351260399</x:v>
      </x:c>
      <x:c r="J50" s="25" t="str">
        <x:v>ACTIVE</x:v>
      </x:c>
      <x:c r="K50" s="25" t="str">
        <x:v>Instagram gönderisi: İlişki sonrasında idrar...</x:v>
      </x:c>
      <x:c r="L50" s="25" t="str">
        <x:v>​120255738351550399</x:v>
      </x:c>
      <x:c r="M50" s="25" t="str">
        <x:v>ACTIVE</x:v>
      </x:c>
      <x:c r="N50" s="25" t="str">
        <x:v>VISIT_INSTAGRAM_PROFILE</x:v>
      </x:c>
      <x:c r="O50" s="27" t="n">
        <x:v>1000</x:v>
      </x:c>
      <x:c r="P50" s="27" t="n">
        <x:v>0</x:v>
      </x:c>
      <x:c r="Q50" s="27" t="n">
        <x:v>0</x:v>
      </x:c>
      <x:c r="R50" s="27" t="n">
        <x:v>0</x:v>
      </x:c>
      <x:c r="S50" s="27" t="n">
        <x:v>0</x:v>
      </x:c>
      <x:c r="T50" s="28" t="n">
        <x:v>0</x:v>
      </x:c>
      <x:c r="U50" s="28" t="n">
        <x:v>0</x:v>
      </x:c>
      <x:c r="V50" s="28" t="n">
        <x:v>0</x:v>
      </x:c>
      <x:c r="W50" s="28" t="n">
        <x:v>0</x:v>
      </x:c>
      <x:c r="X50" s="28" t="n">
        <x:v>0</x:v>
      </x:c>
      <x:c r="Y50" s="28" t="n">
        <x:v>0</x:v>
      </x:c>
      <x:c r="Z50" s="28" t="n">
        <x:v>0</x:v>
      </x:c>
      <x:c r="AA50" s="28" t="n">
        <x:v>0</x:v>
      </x:c>
    </x:row>
    <x:row r="51">
      <x:c r="A51" s="25" t="str">
        <x:v>Temmuz 2026</x:v>
      </x:c>
      <x:c r="B51" s="25" t="str">
        <x:v>Yerli</x:v>
      </x:c>
      <x:c r="C51" s="25" t="str">
        <x:v>Türkçe</x:v>
      </x:c>
      <x:c r="D51" s="25" t="str">
        <x:v>Bilinirlik / İzlenme / Trafik</x:v>
      </x:c>
      <x:c r="E51" s="25" t="str">
        <x:v>Doğum Kampanyası</x:v>
      </x:c>
      <x:c r="F51" s="25" t="str">
        <x:v>Doruk Hastaneleri - SİNA ÖZEL Sağlık Hizmetleri A.ş</x:v>
      </x:c>
      <x:c r="G51" s="25" t="str">
        <x:v>TRY</x:v>
      </x:c>
      <x:c r="H51" s="25" t="str">
        <x:v>Gebe-Doğum Bilinirlik</x:v>
      </x:c>
      <x:c r="I51" s="25" t="str">
        <x:v>​120247034876600399</x:v>
      </x:c>
      <x:c r="J51" s="25" t="str">
        <x:v>ACTIVE</x:v>
      </x:c>
      <x:c r="K51" s="25" t="str">
        <x:v>Gebe Okulu Erişim</x:v>
      </x:c>
      <x:c r="L51" s="25" t="str">
        <x:v>​120247034876630399</x:v>
      </x:c>
      <x:c r="M51" s="25" t="str">
        <x:v>ACTIVE</x:v>
      </x:c>
      <x:c r="N51" s="25" t="str">
        <x:v>REACH</x:v>
      </x:c>
      <x:c r="O51" s="27" t="n">
        <x:v>0</x:v>
      </x:c>
      <x:c r="P51" s="27" t="n">
        <x:v>0</x:v>
      </x:c>
      <x:c r="Q51" s="27" t="n">
        <x:v>1000</x:v>
      </x:c>
      <x:c r="R51" s="27" t="n">
        <x:v>0</x:v>
      </x:c>
      <x:c r="S51" s="27" t="n">
        <x:v>22253.08</x:v>
      </x:c>
      <x:c r="T51" s="28" t="n">
        <x:v>2274787</x:v>
      </x:c>
      <x:c r="U51" s="28" t="n">
        <x:v>970594</x:v>
      </x:c>
      <x:c r="V51" s="28" t="n">
        <x:v>1621</x:v>
      </x:c>
      <x:c r="W51" s="28" t="n">
        <x:v>0</x:v>
      </x:c>
      <x:c r="X51" s="28" t="n">
        <x:v>0</x:v>
      </x:c>
      <x:c r="Y51" s="28" t="n">
        <x:v>0</x:v>
      </x:c>
      <x:c r="Z51" s="28" t="n">
        <x:v>0</x:v>
      </x:c>
      <x:c r="AA51" s="28" t="n">
        <x:v>156558</x:v>
      </x:c>
    </x:row>
    <x:row r="52">
      <x:c r="A52" s="25" t="str">
        <x:v>Ağustos 2026</x:v>
      </x:c>
      <x:c r="B52" s="25" t="str">
        <x:v>Yerli</x:v>
      </x:c>
      <x:c r="C52" s="25" t="str">
        <x:v>Türkçe</x:v>
      </x:c>
      <x:c r="D52" s="25" t="str">
        <x:v>Bilinirlik / İzlenme / Trafik</x:v>
      </x:c>
      <x:c r="E52" s="25" t="str">
        <x:v>Doğum Kampanyası</x:v>
      </x:c>
      <x:c r="F52" s="25" t="str">
        <x:v>Doruk Hastaneleri - SİNA ÖZEL Sağlık Hizmetleri A.ş</x:v>
      </x:c>
      <x:c r="G52" s="25" t="str">
        <x:v>TRY</x:v>
      </x:c>
      <x:c r="H52" s="25" t="str">
        <x:v>Gebe-Doğum Bilinirlik</x:v>
      </x:c>
      <x:c r="I52" s="25" t="str">
        <x:v>​120247034876600399</x:v>
      </x:c>
      <x:c r="J52" s="25" t="str">
        <x:v>ACTIVE</x:v>
      </x:c>
      <x:c r="K52" s="25" t="str">
        <x:v>Gebe Okulu Erişim</x:v>
      </x:c>
      <x:c r="L52" s="25" t="str">
        <x:v>​120247034876630399</x:v>
      </x:c>
      <x:c r="M52" s="25" t="str">
        <x:v>ACTIVE</x:v>
      </x:c>
      <x:c r="N52" s="25" t="str">
        <x:v>REACH</x:v>
      </x:c>
      <x:c r="O52" s="27" t="n">
        <x:v>0</x:v>
      </x:c>
      <x:c r="P52" s="27" t="n">
        <x:v>0</x:v>
      </x:c>
      <x:c r="Q52" s="27" t="n">
        <x:v>1000</x:v>
      </x:c>
      <x:c r="R52" s="27" t="n">
        <x:v>0</x:v>
      </x:c>
      <x:c r="S52" s="27" t="n">
        <x:v>4848.85</x:v>
      </x:c>
      <x:c r="T52" s="28" t="n">
        <x:v>501675</x:v>
      </x:c>
      <x:c r="U52" s="28" t="n">
        <x:v>417451</x:v>
      </x:c>
      <x:c r="V52" s="28" t="n">
        <x:v>471</x:v>
      </x:c>
      <x:c r="W52" s="28" t="n">
        <x:v>0</x:v>
      </x:c>
      <x:c r="X52" s="28" t="n">
        <x:v>0</x:v>
      </x:c>
      <x:c r="Y52" s="28" t="n">
        <x:v>0</x:v>
      </x:c>
      <x:c r="Z52" s="28" t="n">
        <x:v>0</x:v>
      </x:c>
      <x:c r="AA52" s="28" t="n">
        <x:v>41280</x:v>
      </x:c>
    </x:row>
    <x:row r="53">
      <x:c r="A53" s="25" t="str">
        <x:v>Temmuz 2026</x:v>
      </x:c>
      <x:c r="B53" s="25" t="str">
        <x:v>Yerli</x:v>
      </x:c>
      <x:c r="C53" s="25" t="str">
        <x:v>Türkçe</x:v>
      </x:c>
      <x:c r="D53" s="25" t="str">
        <x:v>Bilinirlik / İzlenme / Trafik</x:v>
      </x:c>
      <x:c r="E53" s="25" t="str">
        <x:v>Doğum Kampanyası</x:v>
      </x:c>
      <x:c r="F53" s="25" t="str">
        <x:v>Doruk Hastaneleri - SİNA ÖZEL Sağlık Hizmetleri A.ş</x:v>
      </x:c>
      <x:c r="G53" s="25" t="str">
        <x:v>TRY</x:v>
      </x:c>
      <x:c r="H53" s="25" t="str">
        <x:v>Instagram gönderisi: •Gebelikte Tarama Testleri |...</x:v>
      </x:c>
      <x:c r="I53" s="25" t="str">
        <x:v>​120255739368940399</x:v>
      </x:c>
      <x:c r="J53" s="25" t="str">
        <x:v>PAUSED</x:v>
      </x:c>
      <x:c r="K53" s="25" t="str">
        <x:v>Instagram gönderisi: •Gebelikte Tarama Testleri |...</x:v>
      </x:c>
      <x:c r="L53" s="25" t="str">
        <x:v>​120255739369440399</x:v>
      </x:c>
      <x:c r="M53" s="25" t="str">
        <x:v>CAMPAIGN_PAUSED</x:v>
      </x:c>
      <x:c r="N53" s="25" t="str">
        <x:v>VISIT_INSTAGRAM_PROFILE</x:v>
      </x:c>
      <x:c r="O53" s="27" t="n">
        <x:v>1000</x:v>
      </x:c>
      <x:c r="P53" s="27" t="n">
        <x:v>0</x:v>
      </x:c>
      <x:c r="Q53" s="27" t="n">
        <x:v>0</x:v>
      </x:c>
      <x:c r="R53" s="27" t="n">
        <x:v>0</x:v>
      </x:c>
      <x:c r="S53" s="27" t="n">
        <x:v>2378.12</x:v>
      </x:c>
      <x:c r="T53" s="28" t="n">
        <x:v>33696</x:v>
      </x:c>
      <x:c r="U53" s="28" t="n">
        <x:v>23431</x:v>
      </x:c>
      <x:c r="V53" s="28" t="n">
        <x:v>1056</x:v>
      </x:c>
      <x:c r="W53" s="28" t="n">
        <x:v>0</x:v>
      </x:c>
      <x:c r="X53" s="28" t="n">
        <x:v>0</x:v>
      </x:c>
      <x:c r="Y53" s="28" t="n">
        <x:v>0</x:v>
      </x:c>
      <x:c r="Z53" s="28" t="n">
        <x:v>1</x:v>
      </x:c>
      <x:c r="AA53" s="28" t="n">
        <x:v>8109</x:v>
      </x:c>
    </x:row>
    <x:row r="54">
      <x:c r="A54" s="25" t="str">
        <x:v>Ağustos 2026</x:v>
      </x:c>
      <x:c r="B54" s="25" t="str">
        <x:v>Yerli</x:v>
      </x:c>
      <x:c r="C54" s="25" t="str">
        <x:v>Türkçe</x:v>
      </x:c>
      <x:c r="D54" s="25" t="str">
        <x:v>Bilinirlik / İzlenme / Trafik</x:v>
      </x:c>
      <x:c r="E54" s="25" t="str">
        <x:v>Doğum Kampanyası</x:v>
      </x:c>
      <x:c r="F54" s="25" t="str">
        <x:v>Doruk Hastaneleri - SİNA ÖZEL Sağlık Hizmetleri A.ş</x:v>
      </x:c>
      <x:c r="G54" s="25" t="str">
        <x:v>TRY</x:v>
      </x:c>
      <x:c r="H54" s="25" t="str">
        <x:v>Instagram gönderisi: •Gebelikte Tarama Testleri |...</x:v>
      </x:c>
      <x:c r="I54" s="25" t="str">
        <x:v>​120255739368940399</x:v>
      </x:c>
      <x:c r="J54" s="25" t="str">
        <x:v>PAUSED</x:v>
      </x:c>
      <x:c r="K54" s="25" t="str">
        <x:v>Instagram gönderisi: •Gebelikte Tarama Testleri |...</x:v>
      </x:c>
      <x:c r="L54" s="25" t="str">
        <x:v>​120255739369440399</x:v>
      </x:c>
      <x:c r="M54" s="25" t="str">
        <x:v>CAMPAIGN_PAUSED</x:v>
      </x:c>
      <x:c r="N54" s="25" t="str">
        <x:v>VISIT_INSTAGRAM_PROFILE</x:v>
      </x:c>
      <x:c r="O54" s="27" t="n">
        <x:v>1000</x:v>
      </x:c>
      <x:c r="P54" s="27" t="n">
        <x:v>0</x:v>
      </x:c>
      <x:c r="Q54" s="27" t="n">
        <x:v>0</x:v>
      </x:c>
      <x:c r="R54" s="27" t="n">
        <x:v>0</x:v>
      </x:c>
      <x:c r="S54" s="27" t="n">
        <x:v>0</x:v>
      </x:c>
      <x:c r="T54" s="28" t="n">
        <x:v>0</x:v>
      </x:c>
      <x:c r="U54" s="28" t="n">
        <x:v>0</x:v>
      </x:c>
      <x:c r="V54" s="28" t="n">
        <x:v>0</x:v>
      </x:c>
      <x:c r="W54" s="28" t="n">
        <x:v>0</x:v>
      </x:c>
      <x:c r="X54" s="28" t="n">
        <x:v>0</x:v>
      </x:c>
      <x:c r="Y54" s="28" t="n">
        <x:v>0</x:v>
      </x:c>
      <x:c r="Z54" s="28" t="n">
        <x:v>0</x:v>
      </x:c>
      <x:c r="AA54" s="28" t="n">
        <x:v>0</x:v>
      </x:c>
    </x:row>
    <x:row r="55">
      <x:c r="A55" s="25" t="str">
        <x:v>Temmuz 2026</x:v>
      </x:c>
      <x:c r="B55" s="25" t="str">
        <x:v>Yerli</x:v>
      </x:c>
      <x:c r="C55" s="25" t="str">
        <x:v>Türkçe</x:v>
      </x:c>
      <x:c r="D55" s="25" t="str">
        <x:v>Bilinirlik / İzlenme / Trafik</x:v>
      </x:c>
      <x:c r="E55" s="25" t="str">
        <x:v>Doğum Kampanyası</x:v>
      </x:c>
      <x:c r="F55" s="25" t="str">
        <x:v>Doruk Hastaneleri - SİNA ÖZEL Sağlık Hizmetleri A.ş</x:v>
      </x:c>
      <x:c r="G55" s="25" t="str">
        <x:v>TRY</x:v>
      </x:c>
      <x:c r="H55" s="25" t="str">
        <x:v>Instagram gönderisi: ✅Gebelikte uyku pozisyonu...</x:v>
      </x:c>
      <x:c r="I55" s="25" t="str">
        <x:v>​120255739424180399</x:v>
      </x:c>
      <x:c r="J55" s="25" t="str">
        <x:v>PAUSED</x:v>
      </x:c>
      <x:c r="K55" s="25" t="str">
        <x:v>Instagram gönderisi: ✅Gebelikte uyku pozisyonu...</x:v>
      </x:c>
      <x:c r="L55" s="25" t="str">
        <x:v>​120255739424480399</x:v>
      </x:c>
      <x:c r="M55" s="25" t="str">
        <x:v>CAMPAIGN_PAUSED</x:v>
      </x:c>
      <x:c r="N55" s="25" t="str">
        <x:v>VISIT_INSTAGRAM_PROFILE</x:v>
      </x:c>
      <x:c r="O55" s="27" t="n">
        <x:v>1000</x:v>
      </x:c>
      <x:c r="P55" s="27" t="n">
        <x:v>0</x:v>
      </x:c>
      <x:c r="Q55" s="27" t="n">
        <x:v>0</x:v>
      </x:c>
      <x:c r="R55" s="27" t="n">
        <x:v>0</x:v>
      </x:c>
      <x:c r="S55" s="27" t="n">
        <x:v>2585.86</x:v>
      </x:c>
      <x:c r="T55" s="28" t="n">
        <x:v>56445</x:v>
      </x:c>
      <x:c r="U55" s="28" t="n">
        <x:v>42453</x:v>
      </x:c>
      <x:c r="V55" s="28" t="n">
        <x:v>1964</x:v>
      </x:c>
      <x:c r="W55" s="28" t="n">
        <x:v>0</x:v>
      </x:c>
      <x:c r="X55" s="28" t="n">
        <x:v>0</x:v>
      </x:c>
      <x:c r="Y55" s="28" t="n">
        <x:v>0</x:v>
      </x:c>
      <x:c r="Z55" s="28" t="n">
        <x:v>2</x:v>
      </x:c>
      <x:c r="AA55" s="28" t="n">
        <x:v>16283</x:v>
      </x:c>
    </x:row>
    <x:row r="56">
      <x:c r="A56" s="25" t="str">
        <x:v>Ağustos 2026</x:v>
      </x:c>
      <x:c r="B56" s="25" t="str">
        <x:v>Yerli</x:v>
      </x:c>
      <x:c r="C56" s="25" t="str">
        <x:v>Türkçe</x:v>
      </x:c>
      <x:c r="D56" s="25" t="str">
        <x:v>Bilinirlik / İzlenme / Trafik</x:v>
      </x:c>
      <x:c r="E56" s="25" t="str">
        <x:v>Doğum Kampanyası</x:v>
      </x:c>
      <x:c r="F56" s="25" t="str">
        <x:v>Doruk Hastaneleri - SİNA ÖZEL Sağlık Hizmetleri A.ş</x:v>
      </x:c>
      <x:c r="G56" s="25" t="str">
        <x:v>TRY</x:v>
      </x:c>
      <x:c r="H56" s="25" t="str">
        <x:v>Instagram gönderisi: ✅Gebelikte uyku pozisyonu...</x:v>
      </x:c>
      <x:c r="I56" s="25" t="str">
        <x:v>​120255739424180399</x:v>
      </x:c>
      <x:c r="J56" s="25" t="str">
        <x:v>PAUSED</x:v>
      </x:c>
      <x:c r="K56" s="25" t="str">
        <x:v>Instagram gönderisi: ✅Gebelikte uyku pozisyonu...</x:v>
      </x:c>
      <x:c r="L56" s="25" t="str">
        <x:v>​120255739424480399</x:v>
      </x:c>
      <x:c r="M56" s="25" t="str">
        <x:v>CAMPAIGN_PAUSED</x:v>
      </x:c>
      <x:c r="N56" s="25" t="str">
        <x:v>VISIT_INSTAGRAM_PROFILE</x:v>
      </x:c>
      <x:c r="O56" s="27" t="n">
        <x:v>1000</x:v>
      </x:c>
      <x:c r="P56" s="27" t="n">
        <x:v>0</x:v>
      </x:c>
      <x:c r="Q56" s="27" t="n">
        <x:v>0</x:v>
      </x:c>
      <x:c r="R56" s="27" t="n">
        <x:v>0</x:v>
      </x:c>
      <x:c r="S56" s="27" t="n">
        <x:v>0</x:v>
      </x:c>
      <x:c r="T56" s="28" t="n">
        <x:v>0</x:v>
      </x:c>
      <x:c r="U56" s="28" t="n">
        <x:v>0</x:v>
      </x:c>
      <x:c r="V56" s="28" t="n">
        <x:v>0</x:v>
      </x:c>
      <x:c r="W56" s="28" t="n">
        <x:v>0</x:v>
      </x:c>
      <x:c r="X56" s="28" t="n">
        <x:v>0</x:v>
      </x:c>
      <x:c r="Y56" s="28" t="n">
        <x:v>0</x:v>
      </x:c>
      <x:c r="Z56" s="28" t="n">
        <x:v>0</x:v>
      </x:c>
      <x:c r="AA56" s="28" t="n">
        <x:v>0</x:v>
      </x:c>
    </x:row>
    <x:row r="57">
      <x:c r="A57" s="25" t="str">
        <x:v>Temmuz 2026</x:v>
      </x:c>
      <x:c r="B57" s="25" t="str">
        <x:v>Yerli</x:v>
      </x:c>
      <x:c r="C57" s="25" t="str">
        <x:v>Türkçe</x:v>
      </x:c>
      <x:c r="D57" s="25" t="str">
        <x:v>Bilinirlik / İzlenme / Trafik</x:v>
      </x:c>
      <x:c r="E57" s="25" t="str">
        <x:v>Doğum Kampanyası</x:v>
      </x:c>
      <x:c r="F57" s="25" t="str">
        <x:v>Doruk Hastaneleri - SİNA ÖZEL Sağlık Hizmetleri A.ş</x:v>
      </x:c>
      <x:c r="G57" s="25" t="str">
        <x:v>TRY</x:v>
      </x:c>
      <x:c r="H57" s="25" t="str">
        <x:v>Instagram gönderisi: Aşılama tedavisi, gebelik...</x:v>
      </x:c>
      <x:c r="I57" s="25" t="str">
        <x:v>​120255738261970399</x:v>
      </x:c>
      <x:c r="J57" s="25" t="str">
        <x:v>ACTIVE</x:v>
      </x:c>
      <x:c r="K57" s="25" t="str">
        <x:v>Instagram gönderisi: Aşılama tedavisi, gebelik...</x:v>
      </x:c>
      <x:c r="L57" s="25" t="str">
        <x:v>​120255738262580399</x:v>
      </x:c>
      <x:c r="M57" s="25" t="str">
        <x:v>ACTIVE</x:v>
      </x:c>
      <x:c r="N57" s="25" t="str">
        <x:v>VISIT_INSTAGRAM_PROFILE</x:v>
      </x:c>
      <x:c r="O57" s="27" t="n">
        <x:v>1000</x:v>
      </x:c>
      <x:c r="P57" s="27" t="n">
        <x:v>0</x:v>
      </x:c>
      <x:c r="Q57" s="27" t="n">
        <x:v>0</x:v>
      </x:c>
      <x:c r="R57" s="27" t="n">
        <x:v>0</x:v>
      </x:c>
      <x:c r="S57" s="27" t="n">
        <x:v>4999.35</x:v>
      </x:c>
      <x:c r="T57" s="28" t="n">
        <x:v>71100</x:v>
      </x:c>
      <x:c r="U57" s="28" t="n">
        <x:v>60572</x:v>
      </x:c>
      <x:c r="V57" s="28" t="n">
        <x:v>773</x:v>
      </x:c>
      <x:c r="W57" s="28" t="n">
        <x:v>0</x:v>
      </x:c>
      <x:c r="X57" s="28" t="n">
        <x:v>0</x:v>
      </x:c>
      <x:c r="Y57" s="28" t="n">
        <x:v>0</x:v>
      </x:c>
      <x:c r="Z57" s="28" t="n">
        <x:v>0</x:v>
      </x:c>
      <x:c r="AA57" s="28" t="n">
        <x:v>8545</x:v>
      </x:c>
    </x:row>
    <x:row r="58">
      <x:c r="A58" s="25" t="str">
        <x:v>Ağustos 2026</x:v>
      </x:c>
      <x:c r="B58" s="25" t="str">
        <x:v>Yerli</x:v>
      </x:c>
      <x:c r="C58" s="25" t="str">
        <x:v>Türkçe</x:v>
      </x:c>
      <x:c r="D58" s="25" t="str">
        <x:v>Bilinirlik / İzlenme / Trafik</x:v>
      </x:c>
      <x:c r="E58" s="25" t="str">
        <x:v>Doğum Kampanyası</x:v>
      </x:c>
      <x:c r="F58" s="25" t="str">
        <x:v>Doruk Hastaneleri - SİNA ÖZEL Sağlık Hizmetleri A.ş</x:v>
      </x:c>
      <x:c r="G58" s="25" t="str">
        <x:v>TRY</x:v>
      </x:c>
      <x:c r="H58" s="25" t="str">
        <x:v>Instagram gönderisi: Aşılama tedavisi, gebelik...</x:v>
      </x:c>
      <x:c r="I58" s="25" t="str">
        <x:v>​120255738261970399</x:v>
      </x:c>
      <x:c r="J58" s="25" t="str">
        <x:v>ACTIVE</x:v>
      </x:c>
      <x:c r="K58" s="25" t="str">
        <x:v>Instagram gönderisi: Aşılama tedavisi, gebelik...</x:v>
      </x:c>
      <x:c r="L58" s="25" t="str">
        <x:v>​120255738262580399</x:v>
      </x:c>
      <x:c r="M58" s="25" t="str">
        <x:v>ACTIVE</x:v>
      </x:c>
      <x:c r="N58" s="25" t="str">
        <x:v>VISIT_INSTAGRAM_PROFILE</x:v>
      </x:c>
      <x:c r="O58" s="27" t="n">
        <x:v>1000</x:v>
      </x:c>
      <x:c r="P58" s="27" t="n">
        <x:v>0</x:v>
      </x:c>
      <x:c r="Q58" s="27" t="n">
        <x:v>0</x:v>
      </x:c>
      <x:c r="R58" s="27" t="n">
        <x:v>0</x:v>
      </x:c>
      <x:c r="S58" s="27" t="n">
        <x:v>0</x:v>
      </x:c>
      <x:c r="T58" s="28" t="n">
        <x:v>0</x:v>
      </x:c>
      <x:c r="U58" s="28" t="n">
        <x:v>0</x:v>
      </x:c>
      <x:c r="V58" s="28" t="n">
        <x:v>0</x:v>
      </x:c>
      <x:c r="W58" s="28" t="n">
        <x:v>0</x:v>
      </x:c>
      <x:c r="X58" s="28" t="n">
        <x:v>0</x:v>
      </x:c>
      <x:c r="Y58" s="28" t="n">
        <x:v>0</x:v>
      </x:c>
      <x:c r="Z58" s="28" t="n">
        <x:v>0</x:v>
      </x:c>
      <x:c r="AA58" s="28" t="n">
        <x:v>0</x:v>
      </x:c>
    </x:row>
    <x:row r="59">
      <x:c r="A59" s="25" t="str">
        <x:v>Temmuz 2026</x:v>
      </x:c>
      <x:c r="B59" s="25" t="str">
        <x:v>Yerli</x:v>
      </x:c>
      <x:c r="C59" s="25" t="str">
        <x:v>Türkçe</x:v>
      </x:c>
      <x:c r="D59" s="25" t="str">
        <x:v>Bilinirlik / İzlenme / Trafik</x:v>
      </x:c>
      <x:c r="E59" s="25" t="str">
        <x:v>Doğum Kampanyası</x:v>
      </x:c>
      <x:c r="F59" s="25" t="str">
        <x:v>Doruk Hastaneleri - SİNA ÖZEL Sağlık Hizmetleri A.ş</x:v>
      </x:c>
      <x:c r="G59" s="25" t="str">
        <x:v>TRY</x:v>
      </x:c>
      <x:c r="H59" s="25" t="str">
        <x:v>Instagram gönderisi: Gebelikte bel ağrısı sık...</x:v>
      </x:c>
      <x:c r="I59" s="25" t="str">
        <x:v>​120255738326270399</x:v>
      </x:c>
      <x:c r="J59" s="25" t="str">
        <x:v>ACTIVE</x:v>
      </x:c>
      <x:c r="K59" s="25" t="str">
        <x:v>Instagram gönderisi: Gebelikte bel ağrısı sık...</x:v>
      </x:c>
      <x:c r="L59" s="25" t="str">
        <x:v>​120255738326470399</x:v>
      </x:c>
      <x:c r="M59" s="25" t="str">
        <x:v>ACTIVE</x:v>
      </x:c>
      <x:c r="N59" s="25" t="str">
        <x:v>VISIT_INSTAGRAM_PROFILE</x:v>
      </x:c>
      <x:c r="O59" s="27" t="n">
        <x:v>1000</x:v>
      </x:c>
      <x:c r="P59" s="27" t="n">
        <x:v>0</x:v>
      </x:c>
      <x:c r="Q59" s="27" t="n">
        <x:v>0</x:v>
      </x:c>
      <x:c r="R59" s="27" t="n">
        <x:v>0</x:v>
      </x:c>
      <x:c r="S59" s="27" t="n">
        <x:v>4578.52</x:v>
      </x:c>
      <x:c r="T59" s="28" t="n">
        <x:v>73042</x:v>
      </x:c>
      <x:c r="U59" s="28" t="n">
        <x:v>58929</x:v>
      </x:c>
      <x:c r="V59" s="28" t="n">
        <x:v>930</x:v>
      </x:c>
      <x:c r="W59" s="28" t="n">
        <x:v>0</x:v>
      </x:c>
      <x:c r="X59" s="28" t="n">
        <x:v>0</x:v>
      </x:c>
      <x:c r="Y59" s="28" t="n">
        <x:v>0</x:v>
      </x:c>
      <x:c r="Z59" s="28" t="n">
        <x:v>1</x:v>
      </x:c>
      <x:c r="AA59" s="28" t="n">
        <x:v>11669</x:v>
      </x:c>
    </x:row>
    <x:row r="60">
      <x:c r="A60" s="25" t="str">
        <x:v>Ağustos 2026</x:v>
      </x:c>
      <x:c r="B60" s="25" t="str">
        <x:v>Yerli</x:v>
      </x:c>
      <x:c r="C60" s="25" t="str">
        <x:v>Türkçe</x:v>
      </x:c>
      <x:c r="D60" s="25" t="str">
        <x:v>Bilinirlik / İzlenme / Trafik</x:v>
      </x:c>
      <x:c r="E60" s="25" t="str">
        <x:v>Doğum Kampanyası</x:v>
      </x:c>
      <x:c r="F60" s="25" t="str">
        <x:v>Doruk Hastaneleri - SİNA ÖZEL Sağlık Hizmetleri A.ş</x:v>
      </x:c>
      <x:c r="G60" s="25" t="str">
        <x:v>TRY</x:v>
      </x:c>
      <x:c r="H60" s="25" t="str">
        <x:v>Instagram gönderisi: Gebelikte bel ağrısı sık...</x:v>
      </x:c>
      <x:c r="I60" s="25" t="str">
        <x:v>​120255738326270399</x:v>
      </x:c>
      <x:c r="J60" s="25" t="str">
        <x:v>ACTIVE</x:v>
      </x:c>
      <x:c r="K60" s="25" t="str">
        <x:v>Instagram gönderisi: Gebelikte bel ağrısı sık...</x:v>
      </x:c>
      <x:c r="L60" s="25" t="str">
        <x:v>​120255738326470399</x:v>
      </x:c>
      <x:c r="M60" s="25" t="str">
        <x:v>ACTIVE</x:v>
      </x:c>
      <x:c r="N60" s="25" t="str">
        <x:v>VISIT_INSTAGRAM_PROFILE</x:v>
      </x:c>
      <x:c r="O60" s="27" t="n">
        <x:v>1000</x:v>
      </x:c>
      <x:c r="P60" s="27" t="n">
        <x:v>0</x:v>
      </x:c>
      <x:c r="Q60" s="27" t="n">
        <x:v>0</x:v>
      </x:c>
      <x:c r="R60" s="27" t="n">
        <x:v>0</x:v>
      </x:c>
      <x:c r="S60" s="27" t="n">
        <x:v>0</x:v>
      </x:c>
      <x:c r="T60" s="28" t="n">
        <x:v>0</x:v>
      </x:c>
      <x:c r="U60" s="28" t="n">
        <x:v>0</x:v>
      </x:c>
      <x:c r="V60" s="28" t="n">
        <x:v>0</x:v>
      </x:c>
      <x:c r="W60" s="28" t="n">
        <x:v>0</x:v>
      </x:c>
      <x:c r="X60" s="28" t="n">
        <x:v>0</x:v>
      </x:c>
      <x:c r="Y60" s="28" t="n">
        <x:v>0</x:v>
      </x:c>
      <x:c r="Z60" s="28" t="n">
        <x:v>0</x:v>
      </x:c>
      <x:c r="AA60" s="28" t="n">
        <x:v>0</x:v>
      </x:c>
    </x:row>
    <x:row r="61">
      <x:c r="A61" s="25" t="str">
        <x:v>Temmuz 2026</x:v>
      </x:c>
      <x:c r="B61" s="25" t="str">
        <x:v>Yerli</x:v>
      </x:c>
      <x:c r="C61" s="25" t="str">
        <x:v>Türkçe</x:v>
      </x:c>
      <x:c r="D61" s="25" t="str">
        <x:v>Bilinirlik / İzlenme / Trafik</x:v>
      </x:c>
      <x:c r="E61" s="25" t="str">
        <x:v>Doktor Kampanyası</x:v>
      </x:c>
      <x:c r="F61" s="25" t="str">
        <x:v>Doruk Hastaneleri - SİNA ÖZEL Sağlık Hizmetleri A.ş</x:v>
      </x:c>
      <x:c r="G61" s="25" t="str">
        <x:v>TRY</x:v>
      </x:c>
      <x:c r="H61" s="25" t="str">
        <x:v>Doktor - Bilinirlik Kampanyası - Çekirge</x:v>
      </x:c>
      <x:c r="I61" s="25" t="str">
        <x:v>​120255763855030399</x:v>
      </x:c>
      <x:c r="J61" s="25" t="str">
        <x:v>ACTIVE</x:v>
      </x:c>
      <x:c r="K61" s="25" t="str">
        <x:v>çekirge - Ali Emin Latif</x:v>
      </x:c>
      <x:c r="L61" s="25" t="str">
        <x:v>​120255765339360399</x:v>
      </x:c>
      <x:c r="M61" s="25" t="str">
        <x:v>ACTIVE</x:v>
      </x:c>
      <x:c r="N61" s="25" t="str">
        <x:v>REACH</x:v>
      </x:c>
      <x:c r="O61" s="27" t="n">
        <x:v>0</x:v>
      </x:c>
      <x:c r="P61" s="27" t="n">
        <x:v>0</x:v>
      </x:c>
      <x:c r="Q61" s="27" t="n">
        <x:v>100</x:v>
      </x:c>
      <x:c r="R61" s="27" t="n">
        <x:v>0</x:v>
      </x:c>
      <x:c r="S61" s="27" t="n">
        <x:v>552.17</x:v>
      </x:c>
      <x:c r="T61" s="28" t="n">
        <x:v>55757</x:v>
      </x:c>
      <x:c r="U61" s="28" t="n">
        <x:v>49564</x:v>
      </x:c>
      <x:c r="V61" s="28" t="n">
        <x:v>56</x:v>
      </x:c>
      <x:c r="W61" s="28" t="n">
        <x:v>0</x:v>
      </x:c>
      <x:c r="X61" s="28" t="n">
        <x:v>0</x:v>
      </x:c>
      <x:c r="Y61" s="28" t="n">
        <x:v>0</x:v>
      </x:c>
      <x:c r="Z61" s="28" t="n">
        <x:v>0</x:v>
      </x:c>
      <x:c r="AA61" s="28" t="n">
        <x:v>3078</x:v>
      </x:c>
    </x:row>
    <x:row r="62">
      <x:c r="A62" s="25" t="str">
        <x:v>Ağustos 2026</x:v>
      </x:c>
      <x:c r="B62" s="25" t="str">
        <x:v>Yerli</x:v>
      </x:c>
      <x:c r="C62" s="25" t="str">
        <x:v>Türkçe</x:v>
      </x:c>
      <x:c r="D62" s="25" t="str">
        <x:v>Bilinirlik / İzlenme / Trafik</x:v>
      </x:c>
      <x:c r="E62" s="25" t="str">
        <x:v>Doktor Kampanyası</x:v>
      </x:c>
      <x:c r="F62" s="25" t="str">
        <x:v>Doruk Hastaneleri - SİNA ÖZEL Sağlık Hizmetleri A.ş</x:v>
      </x:c>
      <x:c r="G62" s="25" t="str">
        <x:v>TRY</x:v>
      </x:c>
      <x:c r="H62" s="25" t="str">
        <x:v>Doktor - Bilinirlik Kampanyası - Çekirge</x:v>
      </x:c>
      <x:c r="I62" s="25" t="str">
        <x:v>​120255763855030399</x:v>
      </x:c>
      <x:c r="J62" s="25" t="str">
        <x:v>ACTIVE</x:v>
      </x:c>
      <x:c r="K62" s="25" t="str">
        <x:v>çekirge - Ali Emin Latif</x:v>
      </x:c>
      <x:c r="L62" s="25" t="str">
        <x:v>​120255765339360399</x:v>
      </x:c>
      <x:c r="M62" s="25" t="str">
        <x:v>ACTIVE</x:v>
      </x:c>
      <x:c r="N62" s="25" t="str">
        <x:v>REACH</x:v>
      </x:c>
      <x:c r="O62" s="27" t="n">
        <x:v>0</x:v>
      </x:c>
      <x:c r="P62" s="27" t="n">
        <x:v>0</x:v>
      </x:c>
      <x:c r="Q62" s="27" t="n">
        <x:v>100</x:v>
      </x:c>
      <x:c r="R62" s="27" t="n">
        <x:v>0</x:v>
      </x:c>
      <x:c r="S62" s="27" t="n">
        <x:v>446.16</x:v>
      </x:c>
      <x:c r="T62" s="28" t="n">
        <x:v>50721</x:v>
      </x:c>
      <x:c r="U62" s="28" t="n">
        <x:v>46197</x:v>
      </x:c>
      <x:c r="V62" s="28" t="n">
        <x:v>65</x:v>
      </x:c>
      <x:c r="W62" s="28" t="n">
        <x:v>0</x:v>
      </x:c>
      <x:c r="X62" s="28" t="n">
        <x:v>0</x:v>
      </x:c>
      <x:c r="Y62" s="28" t="n">
        <x:v>0</x:v>
      </x:c>
      <x:c r="Z62" s="28" t="n">
        <x:v>0</x:v>
      </x:c>
      <x:c r="AA62" s="28" t="n">
        <x:v>3154</x:v>
      </x:c>
    </x:row>
    <x:row r="63">
      <x:c r="A63" s="25" t="str">
        <x:v>Temmuz 2026</x:v>
      </x:c>
      <x:c r="B63" s="25" t="str">
        <x:v>Yerli</x:v>
      </x:c>
      <x:c r="C63" s="25" t="str">
        <x:v>Türkçe</x:v>
      </x:c>
      <x:c r="D63" s="25" t="str">
        <x:v>Bilinirlik / İzlenme / Trafik</x:v>
      </x:c>
      <x:c r="E63" s="25" t="str">
        <x:v>Doktor Kampanyası</x:v>
      </x:c>
      <x:c r="F63" s="25" t="str">
        <x:v>Doruk Hastaneleri - SİNA ÖZEL Sağlık Hizmetleri A.ş</x:v>
      </x:c>
      <x:c r="G63" s="25" t="str">
        <x:v>TRY</x:v>
      </x:c>
      <x:c r="H63" s="25" t="str">
        <x:v>Doktor - Bilinirlik Kampanyası - Çekirge</x:v>
      </x:c>
      <x:c r="I63" s="25" t="str">
        <x:v>​120255763855030399</x:v>
      </x:c>
      <x:c r="J63" s="25" t="str">
        <x:v>ACTIVE</x:v>
      </x:c>
      <x:c r="K63" s="25" t="str">
        <x:v>çekirge - Ali Karataş</x:v>
      </x:c>
      <x:c r="L63" s="25" t="str">
        <x:v>​120255765367960399</x:v>
      </x:c>
      <x:c r="M63" s="25" t="str">
        <x:v>ACTIVE</x:v>
      </x:c>
      <x:c r="N63" s="25" t="str">
        <x:v>REACH</x:v>
      </x:c>
      <x:c r="O63" s="27" t="n">
        <x:v>0</x:v>
      </x:c>
      <x:c r="P63" s="27" t="n">
        <x:v>0</x:v>
      </x:c>
      <x:c r="Q63" s="27" t="n">
        <x:v>100</x:v>
      </x:c>
      <x:c r="R63" s="27" t="n">
        <x:v>0</x:v>
      </x:c>
      <x:c r="S63" s="27" t="n">
        <x:v>560.77</x:v>
      </x:c>
      <x:c r="T63" s="28" t="n">
        <x:v>56094</x:v>
      </x:c>
      <x:c r="U63" s="28" t="n">
        <x:v>50923</x:v>
      </x:c>
      <x:c r="V63" s="28" t="n">
        <x:v>16</x:v>
      </x:c>
      <x:c r="W63" s="28" t="n">
        <x:v>0</x:v>
      </x:c>
      <x:c r="X63" s="28" t="n">
        <x:v>0</x:v>
      </x:c>
      <x:c r="Y63" s="28" t="n">
        <x:v>0</x:v>
      </x:c>
      <x:c r="Z63" s="28" t="n">
        <x:v>0</x:v>
      </x:c>
      <x:c r="AA63" s="28" t="n">
        <x:v>3178</x:v>
      </x:c>
    </x:row>
    <x:row r="64">
      <x:c r="A64" s="25" t="str">
        <x:v>Ağustos 2026</x:v>
      </x:c>
      <x:c r="B64" s="25" t="str">
        <x:v>Yerli</x:v>
      </x:c>
      <x:c r="C64" s="25" t="str">
        <x:v>Türkçe</x:v>
      </x:c>
      <x:c r="D64" s="25" t="str">
        <x:v>Bilinirlik / İzlenme / Trafik</x:v>
      </x:c>
      <x:c r="E64" s="25" t="str">
        <x:v>Doktor Kampanyası</x:v>
      </x:c>
      <x:c r="F64" s="25" t="str">
        <x:v>Doruk Hastaneleri - SİNA ÖZEL Sağlık Hizmetleri A.ş</x:v>
      </x:c>
      <x:c r="G64" s="25" t="str">
        <x:v>TRY</x:v>
      </x:c>
      <x:c r="H64" s="25" t="str">
        <x:v>Doktor - Bilinirlik Kampanyası - Çekirge</x:v>
      </x:c>
      <x:c r="I64" s="25" t="str">
        <x:v>​120255763855030399</x:v>
      </x:c>
      <x:c r="J64" s="25" t="str">
        <x:v>ACTIVE</x:v>
      </x:c>
      <x:c r="K64" s="25" t="str">
        <x:v>çekirge - Ali Karataş</x:v>
      </x:c>
      <x:c r="L64" s="25" t="str">
        <x:v>​120255765367960399</x:v>
      </x:c>
      <x:c r="M64" s="25" t="str">
        <x:v>ACTIVE</x:v>
      </x:c>
      <x:c r="N64" s="25" t="str">
        <x:v>REACH</x:v>
      </x:c>
      <x:c r="O64" s="27" t="n">
        <x:v>0</x:v>
      </x:c>
      <x:c r="P64" s="27" t="n">
        <x:v>0</x:v>
      </x:c>
      <x:c r="Q64" s="27" t="n">
        <x:v>100</x:v>
      </x:c>
      <x:c r="R64" s="27" t="n">
        <x:v>0</x:v>
      </x:c>
      <x:c r="S64" s="27" t="n">
        <x:v>446.36</x:v>
      </x:c>
      <x:c r="T64" s="28" t="n">
        <x:v>49575</x:v>
      </x:c>
      <x:c r="U64" s="28" t="n">
        <x:v>45879</x:v>
      </x:c>
      <x:c r="V64" s="28" t="n">
        <x:v>19</x:v>
      </x:c>
      <x:c r="W64" s="28" t="n">
        <x:v>0</x:v>
      </x:c>
      <x:c r="X64" s="28" t="n">
        <x:v>0</x:v>
      </x:c>
      <x:c r="Y64" s="28" t="n">
        <x:v>0</x:v>
      </x:c>
      <x:c r="Z64" s="28" t="n">
        <x:v>0</x:v>
      </x:c>
      <x:c r="AA64" s="28" t="n">
        <x:v>2497</x:v>
      </x:c>
    </x:row>
    <x:row r="65">
      <x:c r="A65" s="25" t="str">
        <x:v>Temmuz 2026</x:v>
      </x:c>
      <x:c r="B65" s="25" t="str">
        <x:v>Yerli</x:v>
      </x:c>
      <x:c r="C65" s="25" t="str">
        <x:v>Türkçe</x:v>
      </x:c>
      <x:c r="D65" s="25" t="str">
        <x:v>Bilinirlik / İzlenme / Trafik</x:v>
      </x:c>
      <x:c r="E65" s="25" t="str">
        <x:v>Doktor Kampanyası</x:v>
      </x:c>
      <x:c r="F65" s="25" t="str">
        <x:v>Doruk Hastaneleri - SİNA ÖZEL Sağlık Hizmetleri A.ş</x:v>
      </x:c>
      <x:c r="G65" s="25" t="str">
        <x:v>TRY</x:v>
      </x:c>
      <x:c r="H65" s="25" t="str">
        <x:v>Doktor - Bilinirlik Kampanyası - Çekirge</x:v>
      </x:c>
      <x:c r="I65" s="25" t="str">
        <x:v>​120255763855030399</x:v>
      </x:c>
      <x:c r="J65" s="25" t="str">
        <x:v>ACTIVE</x:v>
      </x:c>
      <x:c r="K65" s="25" t="str">
        <x:v>çekirge - Bülent Aymelek</x:v>
      </x:c>
      <x:c r="L65" s="25" t="str">
        <x:v>​120255765369500399</x:v>
      </x:c>
      <x:c r="M65" s="25" t="str">
        <x:v>ACTIVE</x:v>
      </x:c>
      <x:c r="N65" s="25" t="str">
        <x:v>REACH</x:v>
      </x:c>
      <x:c r="O65" s="27" t="n">
        <x:v>0</x:v>
      </x:c>
      <x:c r="P65" s="27" t="n">
        <x:v>0</x:v>
      </x:c>
      <x:c r="Q65" s="27" t="n">
        <x:v>100</x:v>
      </x:c>
      <x:c r="R65" s="27" t="n">
        <x:v>0</x:v>
      </x:c>
      <x:c r="S65" s="27" t="n">
        <x:v>559.04</x:v>
      </x:c>
      <x:c r="T65" s="28" t="n">
        <x:v>55859</x:v>
      </x:c>
      <x:c r="U65" s="28" t="n">
        <x:v>48621</x:v>
      </x:c>
      <x:c r="V65" s="28" t="n">
        <x:v>43</x:v>
      </x:c>
      <x:c r="W65" s="28" t="n">
        <x:v>0</x:v>
      </x:c>
      <x:c r="X65" s="28" t="n">
        <x:v>0</x:v>
      </x:c>
      <x:c r="Y65" s="28" t="n">
        <x:v>0</x:v>
      </x:c>
      <x:c r="Z65" s="28" t="n">
        <x:v>0</x:v>
      </x:c>
      <x:c r="AA65" s="28" t="n">
        <x:v>2614</x:v>
      </x:c>
    </x:row>
    <x:row r="66">
      <x:c r="A66" s="25" t="str">
        <x:v>Ağustos 2026</x:v>
      </x:c>
      <x:c r="B66" s="25" t="str">
        <x:v>Yerli</x:v>
      </x:c>
      <x:c r="C66" s="25" t="str">
        <x:v>Türkçe</x:v>
      </x:c>
      <x:c r="D66" s="25" t="str">
        <x:v>Bilinirlik / İzlenme / Trafik</x:v>
      </x:c>
      <x:c r="E66" s="25" t="str">
        <x:v>Doktor Kampanyası</x:v>
      </x:c>
      <x:c r="F66" s="25" t="str">
        <x:v>Doruk Hastaneleri - SİNA ÖZEL Sağlık Hizmetleri A.ş</x:v>
      </x:c>
      <x:c r="G66" s="25" t="str">
        <x:v>TRY</x:v>
      </x:c>
      <x:c r="H66" s="25" t="str">
        <x:v>Doktor - Bilinirlik Kampanyası - Çekirge</x:v>
      </x:c>
      <x:c r="I66" s="25" t="str">
        <x:v>​120255763855030399</x:v>
      </x:c>
      <x:c r="J66" s="25" t="str">
        <x:v>ACTIVE</x:v>
      </x:c>
      <x:c r="K66" s="25" t="str">
        <x:v>çekirge - Bülent Aymelek</x:v>
      </x:c>
      <x:c r="L66" s="25" t="str">
        <x:v>​120255765369500399</x:v>
      </x:c>
      <x:c r="M66" s="25" t="str">
        <x:v>ACTIVE</x:v>
      </x:c>
      <x:c r="N66" s="25" t="str">
        <x:v>REACH</x:v>
      </x:c>
      <x:c r="O66" s="27" t="n">
        <x:v>0</x:v>
      </x:c>
      <x:c r="P66" s="27" t="n">
        <x:v>0</x:v>
      </x:c>
      <x:c r="Q66" s="27" t="n">
        <x:v>100</x:v>
      </x:c>
      <x:c r="R66" s="27" t="n">
        <x:v>0</x:v>
      </x:c>
      <x:c r="S66" s="27" t="n">
        <x:v>458.83</x:v>
      </x:c>
      <x:c r="T66" s="28" t="n">
        <x:v>50602</x:v>
      </x:c>
      <x:c r="U66" s="28" t="n">
        <x:v>46858</x:v>
      </x:c>
      <x:c r="V66" s="28" t="n">
        <x:v>14</x:v>
      </x:c>
      <x:c r="W66" s="28" t="n">
        <x:v>0</x:v>
      </x:c>
      <x:c r="X66" s="28" t="n">
        <x:v>0</x:v>
      </x:c>
      <x:c r="Y66" s="28" t="n">
        <x:v>0</x:v>
      </x:c>
      <x:c r="Z66" s="28" t="n">
        <x:v>0</x:v>
      </x:c>
      <x:c r="AA66" s="28" t="n">
        <x:v>2239</x:v>
      </x:c>
    </x:row>
    <x:row r="67">
      <x:c r="A67" s="25" t="str">
        <x:v>Temmuz 2026</x:v>
      </x:c>
      <x:c r="B67" s="25" t="str">
        <x:v>Yerli</x:v>
      </x:c>
      <x:c r="C67" s="25" t="str">
        <x:v>Türkçe</x:v>
      </x:c>
      <x:c r="D67" s="25" t="str">
        <x:v>Bilinirlik / İzlenme / Trafik</x:v>
      </x:c>
      <x:c r="E67" s="25" t="str">
        <x:v>Doktor Kampanyası</x:v>
      </x:c>
      <x:c r="F67" s="25" t="str">
        <x:v>Doruk Hastaneleri - SİNA ÖZEL Sağlık Hizmetleri A.ş</x:v>
      </x:c>
      <x:c r="G67" s="25" t="str">
        <x:v>TRY</x:v>
      </x:c>
      <x:c r="H67" s="25" t="str">
        <x:v>Doktor - Bilinirlik Kampanyası - Çekirge</x:v>
      </x:c>
      <x:c r="I67" s="25" t="str">
        <x:v>​120255763855030399</x:v>
      </x:c>
      <x:c r="J67" s="25" t="str">
        <x:v>ACTIVE</x:v>
      </x:c>
      <x:c r="K67" s="25" t="str">
        <x:v>çekirge - Duygu Hasan Dilber</x:v>
      </x:c>
      <x:c r="L67" s="25" t="str">
        <x:v>​120255765371020399</x:v>
      </x:c>
      <x:c r="M67" s="25" t="str">
        <x:v>ACTIVE</x:v>
      </x:c>
      <x:c r="N67" s="25" t="str">
        <x:v>REACH</x:v>
      </x:c>
      <x:c r="O67" s="27" t="n">
        <x:v>0</x:v>
      </x:c>
      <x:c r="P67" s="27" t="n">
        <x:v>0</x:v>
      </x:c>
      <x:c r="Q67" s="27" t="n">
        <x:v>100</x:v>
      </x:c>
      <x:c r="R67" s="27" t="n">
        <x:v>0</x:v>
      </x:c>
      <x:c r="S67" s="27" t="n">
        <x:v>562.52</x:v>
      </x:c>
      <x:c r="T67" s="28" t="n">
        <x:v>56302</x:v>
      </x:c>
      <x:c r="U67" s="28" t="n">
        <x:v>51618</x:v>
      </x:c>
      <x:c r="V67" s="28" t="n">
        <x:v>28</x:v>
      </x:c>
      <x:c r="W67" s="28" t="n">
        <x:v>0</x:v>
      </x:c>
      <x:c r="X67" s="28" t="n">
        <x:v>0</x:v>
      </x:c>
      <x:c r="Y67" s="28" t="n">
        <x:v>0</x:v>
      </x:c>
      <x:c r="Z67" s="28" t="n">
        <x:v>0</x:v>
      </x:c>
      <x:c r="AA67" s="28" t="n">
        <x:v>2783</x:v>
      </x:c>
    </x:row>
    <x:row r="68">
      <x:c r="A68" s="25" t="str">
        <x:v>Ağustos 2026</x:v>
      </x:c>
      <x:c r="B68" s="25" t="str">
        <x:v>Yerli</x:v>
      </x:c>
      <x:c r="C68" s="25" t="str">
        <x:v>Türkçe</x:v>
      </x:c>
      <x:c r="D68" s="25" t="str">
        <x:v>Bilinirlik / İzlenme / Trafik</x:v>
      </x:c>
      <x:c r="E68" s="25" t="str">
        <x:v>Doktor Kampanyası</x:v>
      </x:c>
      <x:c r="F68" s="25" t="str">
        <x:v>Doruk Hastaneleri - SİNA ÖZEL Sağlık Hizmetleri A.ş</x:v>
      </x:c>
      <x:c r="G68" s="25" t="str">
        <x:v>TRY</x:v>
      </x:c>
      <x:c r="H68" s="25" t="str">
        <x:v>Doktor - Bilinirlik Kampanyası - Çekirge</x:v>
      </x:c>
      <x:c r="I68" s="25" t="str">
        <x:v>​120255763855030399</x:v>
      </x:c>
      <x:c r="J68" s="25" t="str">
        <x:v>ACTIVE</x:v>
      </x:c>
      <x:c r="K68" s="25" t="str">
        <x:v>çekirge - Duygu Hasan Dilber</x:v>
      </x:c>
      <x:c r="L68" s="25" t="str">
        <x:v>​120255765371020399</x:v>
      </x:c>
      <x:c r="M68" s="25" t="str">
        <x:v>ACTIVE</x:v>
      </x:c>
      <x:c r="N68" s="25" t="str">
        <x:v>REACH</x:v>
      </x:c>
      <x:c r="O68" s="27" t="n">
        <x:v>0</x:v>
      </x:c>
      <x:c r="P68" s="27" t="n">
        <x:v>0</x:v>
      </x:c>
      <x:c r="Q68" s="27" t="n">
        <x:v>100</x:v>
      </x:c>
      <x:c r="R68" s="27" t="n">
        <x:v>0</x:v>
      </x:c>
      <x:c r="S68" s="27" t="n">
        <x:v>454.79</x:v>
      </x:c>
      <x:c r="T68" s="28" t="n">
        <x:v>50340</x:v>
      </x:c>
      <x:c r="U68" s="28" t="n">
        <x:v>47344</x:v>
      </x:c>
      <x:c r="V68" s="28" t="n">
        <x:v>19</x:v>
      </x:c>
      <x:c r="W68" s="28" t="n">
        <x:v>0</x:v>
      </x:c>
      <x:c r="X68" s="28" t="n">
        <x:v>0</x:v>
      </x:c>
      <x:c r="Y68" s="28" t="n">
        <x:v>0</x:v>
      </x:c>
      <x:c r="Z68" s="28" t="n">
        <x:v>0</x:v>
      </x:c>
      <x:c r="AA68" s="28" t="n">
        <x:v>2432</x:v>
      </x:c>
    </x:row>
    <x:row r="69">
      <x:c r="A69" s="25" t="str">
        <x:v>Temmuz 2026</x:v>
      </x:c>
      <x:c r="B69" s="25" t="str">
        <x:v>Yerli</x:v>
      </x:c>
      <x:c r="C69" s="25" t="str">
        <x:v>Türkçe</x:v>
      </x:c>
      <x:c r="D69" s="25" t="str">
        <x:v>Bilinirlik / İzlenme / Trafik</x:v>
      </x:c>
      <x:c r="E69" s="25" t="str">
        <x:v>Doktor Kampanyası</x:v>
      </x:c>
      <x:c r="F69" s="25" t="str">
        <x:v>Doruk Hastaneleri - SİNA ÖZEL Sağlık Hizmetleri A.ş</x:v>
      </x:c>
      <x:c r="G69" s="25" t="str">
        <x:v>TRY</x:v>
      </x:c>
      <x:c r="H69" s="25" t="str">
        <x:v>Doktor - Bilinirlik Kampanyası - Çekirge</x:v>
      </x:c>
      <x:c r="I69" s="25" t="str">
        <x:v>​120255763855030399</x:v>
      </x:c>
      <x:c r="J69" s="25" t="str">
        <x:v>ACTIVE</x:v>
      </x:c>
      <x:c r="K69" s="25" t="str">
        <x:v>çekirge - Eda Efsane Çetinkaya</x:v>
      </x:c>
      <x:c r="L69" s="25" t="str">
        <x:v>​120255765371710399</x:v>
      </x:c>
      <x:c r="M69" s="25" t="str">
        <x:v>ACTIVE</x:v>
      </x:c>
      <x:c r="N69" s="25" t="str">
        <x:v>REACH</x:v>
      </x:c>
      <x:c r="O69" s="27" t="n">
        <x:v>0</x:v>
      </x:c>
      <x:c r="P69" s="27" t="n">
        <x:v>0</x:v>
      </x:c>
      <x:c r="Q69" s="27" t="n">
        <x:v>100</x:v>
      </x:c>
      <x:c r="R69" s="27" t="n">
        <x:v>0</x:v>
      </x:c>
      <x:c r="S69" s="27" t="n">
        <x:v>559.91</x:v>
      </x:c>
      <x:c r="T69" s="28" t="n">
        <x:v>56400</x:v>
      </x:c>
      <x:c r="U69" s="28" t="n">
        <x:v>50433</x:v>
      </x:c>
      <x:c r="V69" s="28" t="n">
        <x:v>21</x:v>
      </x:c>
      <x:c r="W69" s="28" t="n">
        <x:v>0</x:v>
      </x:c>
      <x:c r="X69" s="28" t="n">
        <x:v>0</x:v>
      </x:c>
      <x:c r="Y69" s="28" t="n">
        <x:v>0</x:v>
      </x:c>
      <x:c r="Z69" s="28" t="n">
        <x:v>0</x:v>
      </x:c>
      <x:c r="AA69" s="28" t="n">
        <x:v>2637</x:v>
      </x:c>
    </x:row>
    <x:row r="70">
      <x:c r="A70" s="25" t="str">
        <x:v>Ağustos 2026</x:v>
      </x:c>
      <x:c r="B70" s="25" t="str">
        <x:v>Yerli</x:v>
      </x:c>
      <x:c r="C70" s="25" t="str">
        <x:v>Türkçe</x:v>
      </x:c>
      <x:c r="D70" s="25" t="str">
        <x:v>Bilinirlik / İzlenme / Trafik</x:v>
      </x:c>
      <x:c r="E70" s="25" t="str">
        <x:v>Doktor Kampanyası</x:v>
      </x:c>
      <x:c r="F70" s="25" t="str">
        <x:v>Doruk Hastaneleri - SİNA ÖZEL Sağlık Hizmetleri A.ş</x:v>
      </x:c>
      <x:c r="G70" s="25" t="str">
        <x:v>TRY</x:v>
      </x:c>
      <x:c r="H70" s="25" t="str">
        <x:v>Doktor - Bilinirlik Kampanyası - Çekirge</x:v>
      </x:c>
      <x:c r="I70" s="25" t="str">
        <x:v>​120255763855030399</x:v>
      </x:c>
      <x:c r="J70" s="25" t="str">
        <x:v>ACTIVE</x:v>
      </x:c>
      <x:c r="K70" s="25" t="str">
        <x:v>çekirge - Eda Efsane Çetinkaya</x:v>
      </x:c>
      <x:c r="L70" s="25" t="str">
        <x:v>​120255765371710399</x:v>
      </x:c>
      <x:c r="M70" s="25" t="str">
        <x:v>ACTIVE</x:v>
      </x:c>
      <x:c r="N70" s="25" t="str">
        <x:v>REACH</x:v>
      </x:c>
      <x:c r="O70" s="27" t="n">
        <x:v>0</x:v>
      </x:c>
      <x:c r="P70" s="27" t="n">
        <x:v>0</x:v>
      </x:c>
      <x:c r="Q70" s="27" t="n">
        <x:v>100</x:v>
      </x:c>
      <x:c r="R70" s="27" t="n">
        <x:v>0</x:v>
      </x:c>
      <x:c r="S70" s="27" t="n">
        <x:v>450.24</x:v>
      </x:c>
      <x:c r="T70" s="28" t="n">
        <x:v>50315</x:v>
      </x:c>
      <x:c r="U70" s="28" t="n">
        <x:v>47044</x:v>
      </x:c>
      <x:c r="V70" s="28" t="n">
        <x:v>15</x:v>
      </x:c>
      <x:c r="W70" s="28" t="n">
        <x:v>0</x:v>
      </x:c>
      <x:c r="X70" s="28" t="n">
        <x:v>0</x:v>
      </x:c>
      <x:c r="Y70" s="28" t="n">
        <x:v>0</x:v>
      </x:c>
      <x:c r="Z70" s="28" t="n">
        <x:v>0</x:v>
      </x:c>
      <x:c r="AA70" s="28" t="n">
        <x:v>2308</x:v>
      </x:c>
    </x:row>
    <x:row r="71">
      <x:c r="A71" s="25" t="str">
        <x:v>Temmuz 2026</x:v>
      </x:c>
      <x:c r="B71" s="25" t="str">
        <x:v>Yerli</x:v>
      </x:c>
      <x:c r="C71" s="25" t="str">
        <x:v>Türkçe</x:v>
      </x:c>
      <x:c r="D71" s="25" t="str">
        <x:v>Bilinirlik / İzlenme / Trafik</x:v>
      </x:c>
      <x:c r="E71" s="25" t="str">
        <x:v>Doktor Kampanyası</x:v>
      </x:c>
      <x:c r="F71" s="25" t="str">
        <x:v>Doruk Hastaneleri - SİNA ÖZEL Sağlık Hizmetleri A.ş</x:v>
      </x:c>
      <x:c r="G71" s="25" t="str">
        <x:v>TRY</x:v>
      </x:c>
      <x:c r="H71" s="25" t="str">
        <x:v>Doktor - Bilinirlik Kampanyası - Çekirge</x:v>
      </x:c>
      <x:c r="I71" s="25" t="str">
        <x:v>​120255763855030399</x:v>
      </x:c>
      <x:c r="J71" s="25" t="str">
        <x:v>ACTIVE</x:v>
      </x:c>
      <x:c r="K71" s="25" t="str">
        <x:v>çekirge - Emine Mestan</x:v>
      </x:c>
      <x:c r="L71" s="25" t="str">
        <x:v>​120255765372750399</x:v>
      </x:c>
      <x:c r="M71" s="25" t="str">
        <x:v>ACTIVE</x:v>
      </x:c>
      <x:c r="N71" s="25" t="str">
        <x:v>REACH</x:v>
      </x:c>
      <x:c r="O71" s="27" t="n">
        <x:v>0</x:v>
      </x:c>
      <x:c r="P71" s="27" t="n">
        <x:v>0</x:v>
      </x:c>
      <x:c r="Q71" s="27" t="n">
        <x:v>100</x:v>
      </x:c>
      <x:c r="R71" s="27" t="n">
        <x:v>0</x:v>
      </x:c>
      <x:c r="S71" s="27" t="n">
        <x:v>556.79</x:v>
      </x:c>
      <x:c r="T71" s="28" t="n">
        <x:v>55280</x:v>
      </x:c>
      <x:c r="U71" s="28" t="n">
        <x:v>47929</x:v>
      </x:c>
      <x:c r="V71" s="28" t="n">
        <x:v>16</x:v>
      </x:c>
      <x:c r="W71" s="28" t="n">
        <x:v>0</x:v>
      </x:c>
      <x:c r="X71" s="28" t="n">
        <x:v>0</x:v>
      </x:c>
      <x:c r="Y71" s="28" t="n">
        <x:v>0</x:v>
      </x:c>
      <x:c r="Z71" s="28" t="n">
        <x:v>0</x:v>
      </x:c>
      <x:c r="AA71" s="28" t="n">
        <x:v>2671</x:v>
      </x:c>
    </x:row>
    <x:row r="72">
      <x:c r="A72" s="25" t="str">
        <x:v>Ağustos 2026</x:v>
      </x:c>
      <x:c r="B72" s="25" t="str">
        <x:v>Yerli</x:v>
      </x:c>
      <x:c r="C72" s="25" t="str">
        <x:v>Türkçe</x:v>
      </x:c>
      <x:c r="D72" s="25" t="str">
        <x:v>Bilinirlik / İzlenme / Trafik</x:v>
      </x:c>
      <x:c r="E72" s="25" t="str">
        <x:v>Doktor Kampanyası</x:v>
      </x:c>
      <x:c r="F72" s="25" t="str">
        <x:v>Doruk Hastaneleri - SİNA ÖZEL Sağlık Hizmetleri A.ş</x:v>
      </x:c>
      <x:c r="G72" s="25" t="str">
        <x:v>TRY</x:v>
      </x:c>
      <x:c r="H72" s="25" t="str">
        <x:v>Doktor - Bilinirlik Kampanyası - Çekirge</x:v>
      </x:c>
      <x:c r="I72" s="25" t="str">
        <x:v>​120255763855030399</x:v>
      </x:c>
      <x:c r="J72" s="25" t="str">
        <x:v>ACTIVE</x:v>
      </x:c>
      <x:c r="K72" s="25" t="str">
        <x:v>çekirge - Emine Mestan</x:v>
      </x:c>
      <x:c r="L72" s="25" t="str">
        <x:v>​120255765372750399</x:v>
      </x:c>
      <x:c r="M72" s="25" t="str">
        <x:v>ACTIVE</x:v>
      </x:c>
      <x:c r="N72" s="25" t="str">
        <x:v>REACH</x:v>
      </x:c>
      <x:c r="O72" s="27" t="n">
        <x:v>0</x:v>
      </x:c>
      <x:c r="P72" s="27" t="n">
        <x:v>0</x:v>
      </x:c>
      <x:c r="Q72" s="27" t="n">
        <x:v>100</x:v>
      </x:c>
      <x:c r="R72" s="27" t="n">
        <x:v>0</x:v>
      </x:c>
      <x:c r="S72" s="27" t="n">
        <x:v>473.67</x:v>
      </x:c>
      <x:c r="T72" s="28" t="n">
        <x:v>52266</x:v>
      </x:c>
      <x:c r="U72" s="28" t="n">
        <x:v>47166</x:v>
      </x:c>
      <x:c r="V72" s="28" t="n">
        <x:v>30</x:v>
      </x:c>
      <x:c r="W72" s="28" t="n">
        <x:v>0</x:v>
      </x:c>
      <x:c r="X72" s="28" t="n">
        <x:v>0</x:v>
      </x:c>
      <x:c r="Y72" s="28" t="n">
        <x:v>0</x:v>
      </x:c>
      <x:c r="Z72" s="28" t="n">
        <x:v>0</x:v>
      </x:c>
      <x:c r="AA72" s="28" t="n">
        <x:v>3149</x:v>
      </x:c>
    </x:row>
    <x:row r="73">
      <x:c r="A73" s="25" t="str">
        <x:v>Temmuz 2026</x:v>
      </x:c>
      <x:c r="B73" s="25" t="str">
        <x:v>Yerli</x:v>
      </x:c>
      <x:c r="C73" s="25" t="str">
        <x:v>Türkçe</x:v>
      </x:c>
      <x:c r="D73" s="25" t="str">
        <x:v>Bilinirlik / İzlenme / Trafik</x:v>
      </x:c>
      <x:c r="E73" s="25" t="str">
        <x:v>Doktor Kampanyası</x:v>
      </x:c>
      <x:c r="F73" s="25" t="str">
        <x:v>Doruk Hastaneleri - SİNA ÖZEL Sağlık Hizmetleri A.ş</x:v>
      </x:c>
      <x:c r="G73" s="25" t="str">
        <x:v>TRY</x:v>
      </x:c>
      <x:c r="H73" s="25" t="str">
        <x:v>Doktor - Bilinirlik Kampanyası - Çekirge</x:v>
      </x:c>
      <x:c r="I73" s="25" t="str">
        <x:v>​120255763855030399</x:v>
      </x:c>
      <x:c r="J73" s="25" t="str">
        <x:v>ACTIVE</x:v>
      </x:c>
      <x:c r="K73" s="25" t="str">
        <x:v>çekirge - Ertuğrul Aydın</x:v>
      </x:c>
      <x:c r="L73" s="25" t="str">
        <x:v>​120255765374530399</x:v>
      </x:c>
      <x:c r="M73" s="25" t="str">
        <x:v>ACTIVE</x:v>
      </x:c>
      <x:c r="N73" s="25" t="str">
        <x:v>REACH</x:v>
      </x:c>
      <x:c r="O73" s="27" t="n">
        <x:v>0</x:v>
      </x:c>
      <x:c r="P73" s="27" t="n">
        <x:v>0</x:v>
      </x:c>
      <x:c r="Q73" s="27" t="n">
        <x:v>100</x:v>
      </x:c>
      <x:c r="R73" s="27" t="n">
        <x:v>0</x:v>
      </x:c>
      <x:c r="S73" s="27" t="n">
        <x:v>561.42</x:v>
      </x:c>
      <x:c r="T73" s="28" t="n">
        <x:v>56581</x:v>
      </x:c>
      <x:c r="U73" s="28" t="n">
        <x:v>49996</x:v>
      </x:c>
      <x:c r="V73" s="28" t="n">
        <x:v>24</x:v>
      </x:c>
      <x:c r="W73" s="28" t="n">
        <x:v>0</x:v>
      </x:c>
      <x:c r="X73" s="28" t="n">
        <x:v>0</x:v>
      </x:c>
      <x:c r="Y73" s="28" t="n">
        <x:v>0</x:v>
      </x:c>
      <x:c r="Z73" s="28" t="n">
        <x:v>0</x:v>
      </x:c>
      <x:c r="AA73" s="28" t="n">
        <x:v>3247</x:v>
      </x:c>
    </x:row>
    <x:row r="74">
      <x:c r="A74" s="25" t="str">
        <x:v>Ağustos 2026</x:v>
      </x:c>
      <x:c r="B74" s="25" t="str">
        <x:v>Yerli</x:v>
      </x:c>
      <x:c r="C74" s="25" t="str">
        <x:v>Türkçe</x:v>
      </x:c>
      <x:c r="D74" s="25" t="str">
        <x:v>Bilinirlik / İzlenme / Trafik</x:v>
      </x:c>
      <x:c r="E74" s="25" t="str">
        <x:v>Doktor Kampanyası</x:v>
      </x:c>
      <x:c r="F74" s="25" t="str">
        <x:v>Doruk Hastaneleri - SİNA ÖZEL Sağlık Hizmetleri A.ş</x:v>
      </x:c>
      <x:c r="G74" s="25" t="str">
        <x:v>TRY</x:v>
      </x:c>
      <x:c r="H74" s="25" t="str">
        <x:v>Doktor - Bilinirlik Kampanyası - Çekirge</x:v>
      </x:c>
      <x:c r="I74" s="25" t="str">
        <x:v>​120255763855030399</x:v>
      </x:c>
      <x:c r="J74" s="25" t="str">
        <x:v>ACTIVE</x:v>
      </x:c>
      <x:c r="K74" s="25" t="str">
        <x:v>çekirge - Ertuğrul Aydın</x:v>
      </x:c>
      <x:c r="L74" s="25" t="str">
        <x:v>​120255765374530399</x:v>
      </x:c>
      <x:c r="M74" s="25" t="str">
        <x:v>ACTIVE</x:v>
      </x:c>
      <x:c r="N74" s="25" t="str">
        <x:v>REACH</x:v>
      </x:c>
      <x:c r="O74" s="27" t="n">
        <x:v>0</x:v>
      </x:c>
      <x:c r="P74" s="27" t="n">
        <x:v>0</x:v>
      </x:c>
      <x:c r="Q74" s="27" t="n">
        <x:v>100</x:v>
      </x:c>
      <x:c r="R74" s="27" t="n">
        <x:v>0</x:v>
      </x:c>
      <x:c r="S74" s="27" t="n">
        <x:v>452.53</x:v>
      </x:c>
      <x:c r="T74" s="28" t="n">
        <x:v>50541</x:v>
      </x:c>
      <x:c r="U74" s="28" t="n">
        <x:v>48061</x:v>
      </x:c>
      <x:c r="V74" s="28" t="n">
        <x:v>32</x:v>
      </x:c>
      <x:c r="W74" s="28" t="n">
        <x:v>0</x:v>
      </x:c>
      <x:c r="X74" s="28" t="n">
        <x:v>0</x:v>
      </x:c>
      <x:c r="Y74" s="28" t="n">
        <x:v>0</x:v>
      </x:c>
      <x:c r="Z74" s="28" t="n">
        <x:v>0</x:v>
      </x:c>
      <x:c r="AA74" s="28" t="n">
        <x:v>3116</x:v>
      </x:c>
    </x:row>
    <x:row r="75">
      <x:c r="A75" s="25" t="str">
        <x:v>Temmuz 2026</x:v>
      </x:c>
      <x:c r="B75" s="25" t="str">
        <x:v>Yerli</x:v>
      </x:c>
      <x:c r="C75" s="25" t="str">
        <x:v>Türkçe</x:v>
      </x:c>
      <x:c r="D75" s="25" t="str">
        <x:v>Bilinirlik / İzlenme / Trafik</x:v>
      </x:c>
      <x:c r="E75" s="25" t="str">
        <x:v>Doktor Kampanyası</x:v>
      </x:c>
      <x:c r="F75" s="25" t="str">
        <x:v>Doruk Hastaneleri - SİNA ÖZEL Sağlık Hizmetleri A.ş</x:v>
      </x:c>
      <x:c r="G75" s="25" t="str">
        <x:v>TRY</x:v>
      </x:c>
      <x:c r="H75" s="25" t="str">
        <x:v>Doktor - Bilinirlik Kampanyası - Çekirge</x:v>
      </x:c>
      <x:c r="I75" s="25" t="str">
        <x:v>​120255763855030399</x:v>
      </x:c>
      <x:c r="J75" s="25" t="str">
        <x:v>ACTIVE</x:v>
      </x:c>
      <x:c r="K75" s="25" t="str">
        <x:v>çekirge - Güray Can</x:v>
      </x:c>
      <x:c r="L75" s="25" t="str">
        <x:v>​120255765375300399</x:v>
      </x:c>
      <x:c r="M75" s="25" t="str">
        <x:v>ACTIVE</x:v>
      </x:c>
      <x:c r="N75" s="25" t="str">
        <x:v>REACH</x:v>
      </x:c>
      <x:c r="O75" s="27" t="n">
        <x:v>0</x:v>
      </x:c>
      <x:c r="P75" s="27" t="n">
        <x:v>0</x:v>
      </x:c>
      <x:c r="Q75" s="27" t="n">
        <x:v>100</x:v>
      </x:c>
      <x:c r="R75" s="27" t="n">
        <x:v>0</x:v>
      </x:c>
      <x:c r="S75" s="27" t="n">
        <x:v>555.9</x:v>
      </x:c>
      <x:c r="T75" s="28" t="n">
        <x:v>55567</x:v>
      </x:c>
      <x:c r="U75" s="28" t="n">
        <x:v>49590</x:v>
      </x:c>
      <x:c r="V75" s="28" t="n">
        <x:v>58</x:v>
      </x:c>
      <x:c r="W75" s="28" t="n">
        <x:v>0</x:v>
      </x:c>
      <x:c r="X75" s="28" t="n">
        <x:v>0</x:v>
      </x:c>
      <x:c r="Y75" s="28" t="n">
        <x:v>0</x:v>
      </x:c>
      <x:c r="Z75" s="28" t="n">
        <x:v>0</x:v>
      </x:c>
      <x:c r="AA75" s="28" t="n">
        <x:v>2786</x:v>
      </x:c>
    </x:row>
    <x:row r="76">
      <x:c r="A76" s="25" t="str">
        <x:v>Ağustos 2026</x:v>
      </x:c>
      <x:c r="B76" s="25" t="str">
        <x:v>Yerli</x:v>
      </x:c>
      <x:c r="C76" s="25" t="str">
        <x:v>Türkçe</x:v>
      </x:c>
      <x:c r="D76" s="25" t="str">
        <x:v>Bilinirlik / İzlenme / Trafik</x:v>
      </x:c>
      <x:c r="E76" s="25" t="str">
        <x:v>Doktor Kampanyası</x:v>
      </x:c>
      <x:c r="F76" s="25" t="str">
        <x:v>Doruk Hastaneleri - SİNA ÖZEL Sağlık Hizmetleri A.ş</x:v>
      </x:c>
      <x:c r="G76" s="25" t="str">
        <x:v>TRY</x:v>
      </x:c>
      <x:c r="H76" s="25" t="str">
        <x:v>Doktor - Bilinirlik Kampanyası - Çekirge</x:v>
      </x:c>
      <x:c r="I76" s="25" t="str">
        <x:v>​120255763855030399</x:v>
      </x:c>
      <x:c r="J76" s="25" t="str">
        <x:v>ACTIVE</x:v>
      </x:c>
      <x:c r="K76" s="25" t="str">
        <x:v>çekirge - Güray Can</x:v>
      </x:c>
      <x:c r="L76" s="25" t="str">
        <x:v>​120255765375300399</x:v>
      </x:c>
      <x:c r="M76" s="25" t="str">
        <x:v>ACTIVE</x:v>
      </x:c>
      <x:c r="N76" s="25" t="str">
        <x:v>REACH</x:v>
      </x:c>
      <x:c r="O76" s="27" t="n">
        <x:v>0</x:v>
      </x:c>
      <x:c r="P76" s="27" t="n">
        <x:v>0</x:v>
      </x:c>
      <x:c r="Q76" s="27" t="n">
        <x:v>100</x:v>
      </x:c>
      <x:c r="R76" s="27" t="n">
        <x:v>0</x:v>
      </x:c>
      <x:c r="S76" s="27" t="n">
        <x:v>442.97</x:v>
      </x:c>
      <x:c r="T76" s="28" t="n">
        <x:v>49862</x:v>
      </x:c>
      <x:c r="U76" s="28" t="n">
        <x:v>46062</x:v>
      </x:c>
      <x:c r="V76" s="28" t="n">
        <x:v>40</x:v>
      </x:c>
      <x:c r="W76" s="28" t="n">
        <x:v>0</x:v>
      </x:c>
      <x:c r="X76" s="28" t="n">
        <x:v>0</x:v>
      </x:c>
      <x:c r="Y76" s="28" t="n">
        <x:v>0</x:v>
      </x:c>
      <x:c r="Z76" s="28" t="n">
        <x:v>0</x:v>
      </x:c>
      <x:c r="AA76" s="28" t="n">
        <x:v>2462</x:v>
      </x:c>
    </x:row>
    <x:row r="77">
      <x:c r="A77" s="25" t="str">
        <x:v>Temmuz 2026</x:v>
      </x:c>
      <x:c r="B77" s="25" t="str">
        <x:v>Yerli</x:v>
      </x:c>
      <x:c r="C77" s="25" t="str">
        <x:v>Türkçe</x:v>
      </x:c>
      <x:c r="D77" s="25" t="str">
        <x:v>Bilinirlik / İzlenme / Trafik</x:v>
      </x:c>
      <x:c r="E77" s="25" t="str">
        <x:v>Doktor Kampanyası</x:v>
      </x:c>
      <x:c r="F77" s="25" t="str">
        <x:v>Doruk Hastaneleri - SİNA ÖZEL Sağlık Hizmetleri A.ş</x:v>
      </x:c>
      <x:c r="G77" s="25" t="str">
        <x:v>TRY</x:v>
      </x:c>
      <x:c r="H77" s="25" t="str">
        <x:v>Doktor - Bilinirlik Kampanyası - Çekirge</x:v>
      </x:c>
      <x:c r="I77" s="25" t="str">
        <x:v>​120255763855030399</x:v>
      </x:c>
      <x:c r="J77" s="25" t="str">
        <x:v>ACTIVE</x:v>
      </x:c>
      <x:c r="K77" s="25" t="str">
        <x:v>çekirge - Levent Uslu</x:v>
      </x:c>
      <x:c r="L77" s="25" t="str">
        <x:v>​120255765380140399</x:v>
      </x:c>
      <x:c r="M77" s="25" t="str">
        <x:v>ACTIVE</x:v>
      </x:c>
      <x:c r="N77" s="25" t="str">
        <x:v>REACH</x:v>
      </x:c>
      <x:c r="O77" s="27" t="n">
        <x:v>0</x:v>
      </x:c>
      <x:c r="P77" s="27" t="n">
        <x:v>0</x:v>
      </x:c>
      <x:c r="Q77" s="27" t="n">
        <x:v>100</x:v>
      </x:c>
      <x:c r="R77" s="27" t="n">
        <x:v>0</x:v>
      </x:c>
      <x:c r="S77" s="27" t="n">
        <x:v>536.04</x:v>
      </x:c>
      <x:c r="T77" s="28" t="n">
        <x:v>55834</x:v>
      </x:c>
      <x:c r="U77" s="28" t="n">
        <x:v>48262</x:v>
      </x:c>
      <x:c r="V77" s="28" t="n">
        <x:v>106</x:v>
      </x:c>
      <x:c r="W77" s="28" t="n">
        <x:v>0</x:v>
      </x:c>
      <x:c r="X77" s="28" t="n">
        <x:v>0</x:v>
      </x:c>
      <x:c r="Y77" s="28" t="n">
        <x:v>0</x:v>
      </x:c>
      <x:c r="Z77" s="28" t="n">
        <x:v>0</x:v>
      </x:c>
      <x:c r="AA77" s="28" t="n">
        <x:v>4015</x:v>
      </x:c>
    </x:row>
    <x:row r="78">
      <x:c r="A78" s="25" t="str">
        <x:v>Ağustos 2026</x:v>
      </x:c>
      <x:c r="B78" s="25" t="str">
        <x:v>Yerli</x:v>
      </x:c>
      <x:c r="C78" s="25" t="str">
        <x:v>Türkçe</x:v>
      </x:c>
      <x:c r="D78" s="25" t="str">
        <x:v>Bilinirlik / İzlenme / Trafik</x:v>
      </x:c>
      <x:c r="E78" s="25" t="str">
        <x:v>Doktor Kampanyası</x:v>
      </x:c>
      <x:c r="F78" s="25" t="str">
        <x:v>Doruk Hastaneleri - SİNA ÖZEL Sağlık Hizmetleri A.ş</x:v>
      </x:c>
      <x:c r="G78" s="25" t="str">
        <x:v>TRY</x:v>
      </x:c>
      <x:c r="H78" s="25" t="str">
        <x:v>Doktor - Bilinirlik Kampanyası - Çekirge</x:v>
      </x:c>
      <x:c r="I78" s="25" t="str">
        <x:v>​120255763855030399</x:v>
      </x:c>
      <x:c r="J78" s="25" t="str">
        <x:v>ACTIVE</x:v>
      </x:c>
      <x:c r="K78" s="25" t="str">
        <x:v>çekirge - Levent Uslu</x:v>
      </x:c>
      <x:c r="L78" s="25" t="str">
        <x:v>​120255765380140399</x:v>
      </x:c>
      <x:c r="M78" s="25" t="str">
        <x:v>ACTIVE</x:v>
      </x:c>
      <x:c r="N78" s="25" t="str">
        <x:v>REACH</x:v>
      </x:c>
      <x:c r="O78" s="27" t="n">
        <x:v>0</x:v>
      </x:c>
      <x:c r="P78" s="27" t="n">
        <x:v>0</x:v>
      </x:c>
      <x:c r="Q78" s="27" t="n">
        <x:v>100</x:v>
      </x:c>
      <x:c r="R78" s="27" t="n">
        <x:v>0</x:v>
      </x:c>
      <x:c r="S78" s="27" t="n">
        <x:v>442.46</x:v>
      </x:c>
      <x:c r="T78" s="28" t="n">
        <x:v>51493</x:v>
      </x:c>
      <x:c r="U78" s="28" t="n">
        <x:v>47121</x:v>
      </x:c>
      <x:c r="V78" s="28" t="n">
        <x:v>94</x:v>
      </x:c>
      <x:c r="W78" s="28" t="n">
        <x:v>0</x:v>
      </x:c>
      <x:c r="X78" s="28" t="n">
        <x:v>0</x:v>
      </x:c>
      <x:c r="Y78" s="28" t="n">
        <x:v>0</x:v>
      </x:c>
      <x:c r="Z78" s="28" t="n">
        <x:v>0</x:v>
      </x:c>
      <x:c r="AA78" s="28" t="n">
        <x:v>3693</x:v>
      </x:c>
    </x:row>
    <x:row r="79">
      <x:c r="A79" s="25" t="str">
        <x:v>Temmuz 2026</x:v>
      </x:c>
      <x:c r="B79" s="25" t="str">
        <x:v>Yerli</x:v>
      </x:c>
      <x:c r="C79" s="25" t="str">
        <x:v>Türkçe</x:v>
      </x:c>
      <x:c r="D79" s="25" t="str">
        <x:v>Bilinirlik / İzlenme / Trafik</x:v>
      </x:c>
      <x:c r="E79" s="25" t="str">
        <x:v>Doktor Kampanyası</x:v>
      </x:c>
      <x:c r="F79" s="25" t="str">
        <x:v>Doruk Hastaneleri - SİNA ÖZEL Sağlık Hizmetleri A.ş</x:v>
      </x:c>
      <x:c r="G79" s="25" t="str">
        <x:v>TRY</x:v>
      </x:c>
      <x:c r="H79" s="25" t="str">
        <x:v>Doktor - Bilinirlik Kampanyası - Çekirge</x:v>
      </x:c>
      <x:c r="I79" s="25" t="str">
        <x:v>​120255763855030399</x:v>
      </x:c>
      <x:c r="J79" s="25" t="str">
        <x:v>ACTIVE</x:v>
      </x:c>
      <x:c r="K79" s="25" t="str">
        <x:v>çekirge - Meltem Çakmak</x:v>
      </x:c>
      <x:c r="L79" s="25" t="str">
        <x:v>​120255765380910399</x:v>
      </x:c>
      <x:c r="M79" s="25" t="str">
        <x:v>ACTIVE</x:v>
      </x:c>
      <x:c r="N79" s="25" t="str">
        <x:v>REACH</x:v>
      </x:c>
      <x:c r="O79" s="27" t="n">
        <x:v>0</x:v>
      </x:c>
      <x:c r="P79" s="27" t="n">
        <x:v>0</x:v>
      </x:c>
      <x:c r="Q79" s="27" t="n">
        <x:v>100</x:v>
      </x:c>
      <x:c r="R79" s="27" t="n">
        <x:v>0</x:v>
      </x:c>
      <x:c r="S79" s="27" t="n">
        <x:v>546.58</x:v>
      </x:c>
      <x:c r="T79" s="28" t="n">
        <x:v>55737</x:v>
      </x:c>
      <x:c r="U79" s="28" t="n">
        <x:v>51672</x:v>
      </x:c>
      <x:c r="V79" s="28" t="n">
        <x:v>27</x:v>
      </x:c>
      <x:c r="W79" s="28" t="n">
        <x:v>0</x:v>
      </x:c>
      <x:c r="X79" s="28" t="n">
        <x:v>0</x:v>
      </x:c>
      <x:c r="Y79" s="28" t="n">
        <x:v>0</x:v>
      </x:c>
      <x:c r="Z79" s="28" t="n">
        <x:v>0</x:v>
      </x:c>
      <x:c r="AA79" s="28" t="n">
        <x:v>3464</x:v>
      </x:c>
    </x:row>
    <x:row r="80">
      <x:c r="A80" s="25" t="str">
        <x:v>Ağustos 2026</x:v>
      </x:c>
      <x:c r="B80" s="25" t="str">
        <x:v>Yerli</x:v>
      </x:c>
      <x:c r="C80" s="25" t="str">
        <x:v>Türkçe</x:v>
      </x:c>
      <x:c r="D80" s="25" t="str">
        <x:v>Bilinirlik / İzlenme / Trafik</x:v>
      </x:c>
      <x:c r="E80" s="25" t="str">
        <x:v>Doktor Kampanyası</x:v>
      </x:c>
      <x:c r="F80" s="25" t="str">
        <x:v>Doruk Hastaneleri - SİNA ÖZEL Sağlık Hizmetleri A.ş</x:v>
      </x:c>
      <x:c r="G80" s="25" t="str">
        <x:v>TRY</x:v>
      </x:c>
      <x:c r="H80" s="25" t="str">
        <x:v>Doktor - Bilinirlik Kampanyası - Çekirge</x:v>
      </x:c>
      <x:c r="I80" s="25" t="str">
        <x:v>​120255763855030399</x:v>
      </x:c>
      <x:c r="J80" s="25" t="str">
        <x:v>ACTIVE</x:v>
      </x:c>
      <x:c r="K80" s="25" t="str">
        <x:v>çekirge - Meltem Çakmak</x:v>
      </x:c>
      <x:c r="L80" s="25" t="str">
        <x:v>​120255765380910399</x:v>
      </x:c>
      <x:c r="M80" s="25" t="str">
        <x:v>ACTIVE</x:v>
      </x:c>
      <x:c r="N80" s="25" t="str">
        <x:v>REACH</x:v>
      </x:c>
      <x:c r="O80" s="27" t="n">
        <x:v>0</x:v>
      </x:c>
      <x:c r="P80" s="27" t="n">
        <x:v>0</x:v>
      </x:c>
      <x:c r="Q80" s="27" t="n">
        <x:v>100</x:v>
      </x:c>
      <x:c r="R80" s="27" t="n">
        <x:v>0</x:v>
      </x:c>
      <x:c r="S80" s="27" t="n">
        <x:v>443</x:v>
      </x:c>
      <x:c r="T80" s="28" t="n">
        <x:v>49963</x:v>
      </x:c>
      <x:c r="U80" s="28" t="n">
        <x:v>48078</x:v>
      </x:c>
      <x:c r="V80" s="28" t="n">
        <x:v>22</x:v>
      </x:c>
      <x:c r="W80" s="28" t="n">
        <x:v>0</x:v>
      </x:c>
      <x:c r="X80" s="28" t="n">
        <x:v>0</x:v>
      </x:c>
      <x:c r="Y80" s="28" t="n">
        <x:v>0</x:v>
      </x:c>
      <x:c r="Z80" s="28" t="n">
        <x:v>0</x:v>
      </x:c>
      <x:c r="AA80" s="28" t="n">
        <x:v>2661</x:v>
      </x:c>
    </x:row>
    <x:row r="81">
      <x:c r="A81" s="25" t="str">
        <x:v>Temmuz 2026</x:v>
      </x:c>
      <x:c r="B81" s="25" t="str">
        <x:v>Yerli</x:v>
      </x:c>
      <x:c r="C81" s="25" t="str">
        <x:v>Türkçe</x:v>
      </x:c>
      <x:c r="D81" s="25" t="str">
        <x:v>Bilinirlik / İzlenme / Trafik</x:v>
      </x:c>
      <x:c r="E81" s="25" t="str">
        <x:v>Doktor Kampanyası</x:v>
      </x:c>
      <x:c r="F81" s="25" t="str">
        <x:v>Doruk Hastaneleri - SİNA ÖZEL Sağlık Hizmetleri A.ş</x:v>
      </x:c>
      <x:c r="G81" s="25" t="str">
        <x:v>TRY</x:v>
      </x:c>
      <x:c r="H81" s="25" t="str">
        <x:v>Doktor - Bilinirlik Kampanyası - Çekirge</x:v>
      </x:c>
      <x:c r="I81" s="25" t="str">
        <x:v>​120255763855030399</x:v>
      </x:c>
      <x:c r="J81" s="25" t="str">
        <x:v>ACTIVE</x:v>
      </x:c>
      <x:c r="K81" s="25" t="str">
        <x:v>çekirge - Muhtar Ünaldı</x:v>
      </x:c>
      <x:c r="L81" s="25" t="str">
        <x:v>​120255765382010399</x:v>
      </x:c>
      <x:c r="M81" s="25" t="str">
        <x:v>ACTIVE</x:v>
      </x:c>
      <x:c r="N81" s="25" t="str">
        <x:v>REACH</x:v>
      </x:c>
      <x:c r="O81" s="27" t="n">
        <x:v>0</x:v>
      </x:c>
      <x:c r="P81" s="27" t="n">
        <x:v>0</x:v>
      </x:c>
      <x:c r="Q81" s="27" t="n">
        <x:v>100</x:v>
      </x:c>
      <x:c r="R81" s="27" t="n">
        <x:v>0</x:v>
      </x:c>
      <x:c r="S81" s="27" t="n">
        <x:v>560.5</x:v>
      </x:c>
      <x:c r="T81" s="28" t="n">
        <x:v>56727</x:v>
      </x:c>
      <x:c r="U81" s="28" t="n">
        <x:v>51575</x:v>
      </x:c>
      <x:c r="V81" s="28" t="n">
        <x:v>69</x:v>
      </x:c>
      <x:c r="W81" s="28" t="n">
        <x:v>0</x:v>
      </x:c>
      <x:c r="X81" s="28" t="n">
        <x:v>0</x:v>
      </x:c>
      <x:c r="Y81" s="28" t="n">
        <x:v>0</x:v>
      </x:c>
      <x:c r="Z81" s="28" t="n">
        <x:v>0</x:v>
      </x:c>
      <x:c r="AA81" s="28" t="n">
        <x:v>4485</x:v>
      </x:c>
    </x:row>
    <x:row r="82">
      <x:c r="A82" s="25" t="str">
        <x:v>Ağustos 2026</x:v>
      </x:c>
      <x:c r="B82" s="25" t="str">
        <x:v>Yerli</x:v>
      </x:c>
      <x:c r="C82" s="25" t="str">
        <x:v>Türkçe</x:v>
      </x:c>
      <x:c r="D82" s="25" t="str">
        <x:v>Bilinirlik / İzlenme / Trafik</x:v>
      </x:c>
      <x:c r="E82" s="25" t="str">
        <x:v>Doktor Kampanyası</x:v>
      </x:c>
      <x:c r="F82" s="25" t="str">
        <x:v>Doruk Hastaneleri - SİNA ÖZEL Sağlık Hizmetleri A.ş</x:v>
      </x:c>
      <x:c r="G82" s="25" t="str">
        <x:v>TRY</x:v>
      </x:c>
      <x:c r="H82" s="25" t="str">
        <x:v>Doktor - Bilinirlik Kampanyası - Çekirge</x:v>
      </x:c>
      <x:c r="I82" s="25" t="str">
        <x:v>​120255763855030399</x:v>
      </x:c>
      <x:c r="J82" s="25" t="str">
        <x:v>ACTIVE</x:v>
      </x:c>
      <x:c r="K82" s="25" t="str">
        <x:v>çekirge - Muhtar Ünaldı</x:v>
      </x:c>
      <x:c r="L82" s="25" t="str">
        <x:v>​120255765382010399</x:v>
      </x:c>
      <x:c r="M82" s="25" t="str">
        <x:v>ACTIVE</x:v>
      </x:c>
      <x:c r="N82" s="25" t="str">
        <x:v>REACH</x:v>
      </x:c>
      <x:c r="O82" s="27" t="n">
        <x:v>0</x:v>
      </x:c>
      <x:c r="P82" s="27" t="n">
        <x:v>0</x:v>
      </x:c>
      <x:c r="Q82" s="27" t="n">
        <x:v>100</x:v>
      </x:c>
      <x:c r="R82" s="27" t="n">
        <x:v>0</x:v>
      </x:c>
      <x:c r="S82" s="27" t="n">
        <x:v>460.59</x:v>
      </x:c>
      <x:c r="T82" s="28" t="n">
        <x:v>51556</x:v>
      </x:c>
      <x:c r="U82" s="28" t="n">
        <x:v>48815</x:v>
      </x:c>
      <x:c r="V82" s="28" t="n">
        <x:v>45</x:v>
      </x:c>
      <x:c r="W82" s="28" t="n">
        <x:v>0</x:v>
      </x:c>
      <x:c r="X82" s="28" t="n">
        <x:v>0</x:v>
      </x:c>
      <x:c r="Y82" s="28" t="n">
        <x:v>0</x:v>
      </x:c>
      <x:c r="Z82" s="28" t="n">
        <x:v>0</x:v>
      </x:c>
      <x:c r="AA82" s="28" t="n">
        <x:v>3883</x:v>
      </x:c>
    </x:row>
    <x:row r="83">
      <x:c r="A83" s="25" t="str">
        <x:v>Temmuz 2026</x:v>
      </x:c>
      <x:c r="B83" s="25" t="str">
        <x:v>Yerli</x:v>
      </x:c>
      <x:c r="C83" s="25" t="str">
        <x:v>Türkçe</x:v>
      </x:c>
      <x:c r="D83" s="25" t="str">
        <x:v>Bilinirlik / İzlenme / Trafik</x:v>
      </x:c>
      <x:c r="E83" s="25" t="str">
        <x:v>Doktor Kampanyası</x:v>
      </x:c>
      <x:c r="F83" s="25" t="str">
        <x:v>Doruk Hastaneleri - SİNA ÖZEL Sağlık Hizmetleri A.ş</x:v>
      </x:c>
      <x:c r="G83" s="25" t="str">
        <x:v>TRY</x:v>
      </x:c>
      <x:c r="H83" s="25" t="str">
        <x:v>Doktor - Bilinirlik Kampanyası - Çekirge</x:v>
      </x:c>
      <x:c r="I83" s="25" t="str">
        <x:v>​120255763855030399</x:v>
      </x:c>
      <x:c r="J83" s="25" t="str">
        <x:v>ACTIVE</x:v>
      </x:c>
      <x:c r="K83" s="25" t="str">
        <x:v>çekirge - Murat Çakır</x:v>
      </x:c>
      <x:c r="L83" s="25" t="str">
        <x:v>​120255765382810399</x:v>
      </x:c>
      <x:c r="M83" s="25" t="str">
        <x:v>ACTIVE</x:v>
      </x:c>
      <x:c r="N83" s="25" t="str">
        <x:v>REACH</x:v>
      </x:c>
      <x:c r="O83" s="27" t="n">
        <x:v>0</x:v>
      </x:c>
      <x:c r="P83" s="27" t="n">
        <x:v>0</x:v>
      </x:c>
      <x:c r="Q83" s="27" t="n">
        <x:v>100</x:v>
      </x:c>
      <x:c r="R83" s="27" t="n">
        <x:v>0</x:v>
      </x:c>
      <x:c r="S83" s="27" t="n">
        <x:v>553.29</x:v>
      </x:c>
      <x:c r="T83" s="28" t="n">
        <x:v>55702</x:v>
      </x:c>
      <x:c r="U83" s="28" t="n">
        <x:v>51504</x:v>
      </x:c>
      <x:c r="V83" s="28" t="n">
        <x:v>33</x:v>
      </x:c>
      <x:c r="W83" s="28" t="n">
        <x:v>0</x:v>
      </x:c>
      <x:c r="X83" s="28" t="n">
        <x:v>0</x:v>
      </x:c>
      <x:c r="Y83" s="28" t="n">
        <x:v>0</x:v>
      </x:c>
      <x:c r="Z83" s="28" t="n">
        <x:v>0</x:v>
      </x:c>
      <x:c r="AA83" s="28" t="n">
        <x:v>3039</x:v>
      </x:c>
    </x:row>
    <x:row r="84">
      <x:c r="A84" s="25" t="str">
        <x:v>Ağustos 2026</x:v>
      </x:c>
      <x:c r="B84" s="25" t="str">
        <x:v>Yerli</x:v>
      </x:c>
      <x:c r="C84" s="25" t="str">
        <x:v>Türkçe</x:v>
      </x:c>
      <x:c r="D84" s="25" t="str">
        <x:v>Bilinirlik / İzlenme / Trafik</x:v>
      </x:c>
      <x:c r="E84" s="25" t="str">
        <x:v>Doktor Kampanyası</x:v>
      </x:c>
      <x:c r="F84" s="25" t="str">
        <x:v>Doruk Hastaneleri - SİNA ÖZEL Sağlık Hizmetleri A.ş</x:v>
      </x:c>
      <x:c r="G84" s="25" t="str">
        <x:v>TRY</x:v>
      </x:c>
      <x:c r="H84" s="25" t="str">
        <x:v>Doktor - Bilinirlik Kampanyası - Çekirge</x:v>
      </x:c>
      <x:c r="I84" s="25" t="str">
        <x:v>​120255763855030399</x:v>
      </x:c>
      <x:c r="J84" s="25" t="str">
        <x:v>ACTIVE</x:v>
      </x:c>
      <x:c r="K84" s="25" t="str">
        <x:v>çekirge - Murat Çakır</x:v>
      </x:c>
      <x:c r="L84" s="25" t="str">
        <x:v>​120255765382810399</x:v>
      </x:c>
      <x:c r="M84" s="25" t="str">
        <x:v>ACTIVE</x:v>
      </x:c>
      <x:c r="N84" s="25" t="str">
        <x:v>REACH</x:v>
      </x:c>
      <x:c r="O84" s="27" t="n">
        <x:v>0</x:v>
      </x:c>
      <x:c r="P84" s="27" t="n">
        <x:v>0</x:v>
      </x:c>
      <x:c r="Q84" s="27" t="n">
        <x:v>100</x:v>
      </x:c>
      <x:c r="R84" s="27" t="n">
        <x:v>0</x:v>
      </x:c>
      <x:c r="S84" s="27" t="n">
        <x:v>455.89</x:v>
      </x:c>
      <x:c r="T84" s="28" t="n">
        <x:v>50700</x:v>
      </x:c>
      <x:c r="U84" s="28" t="n">
        <x:v>46178</x:v>
      </x:c>
      <x:c r="V84" s="28" t="n">
        <x:v>22</x:v>
      </x:c>
      <x:c r="W84" s="28" t="n">
        <x:v>0</x:v>
      </x:c>
      <x:c r="X84" s="28" t="n">
        <x:v>0</x:v>
      </x:c>
      <x:c r="Y84" s="28" t="n">
        <x:v>0</x:v>
      </x:c>
      <x:c r="Z84" s="28" t="n">
        <x:v>0</x:v>
      </x:c>
      <x:c r="AA84" s="28" t="n">
        <x:v>2608</x:v>
      </x:c>
    </x:row>
    <x:row r="85">
      <x:c r="A85" s="25" t="str">
        <x:v>Temmuz 2026</x:v>
      </x:c>
      <x:c r="B85" s="25" t="str">
        <x:v>Yerli</x:v>
      </x:c>
      <x:c r="C85" s="25" t="str">
        <x:v>Türkçe</x:v>
      </x:c>
      <x:c r="D85" s="25" t="str">
        <x:v>Bilinirlik / İzlenme / Trafik</x:v>
      </x:c>
      <x:c r="E85" s="25" t="str">
        <x:v>Doktor Kampanyası</x:v>
      </x:c>
      <x:c r="F85" s="25" t="str">
        <x:v>Doruk Hastaneleri - SİNA ÖZEL Sağlık Hizmetleri A.ş</x:v>
      </x:c>
      <x:c r="G85" s="25" t="str">
        <x:v>TRY</x:v>
      </x:c>
      <x:c r="H85" s="25" t="str">
        <x:v>Doktor - Bilinirlik Kampanyası - Çekirge</x:v>
      </x:c>
      <x:c r="I85" s="25" t="str">
        <x:v>​120255763855030399</x:v>
      </x:c>
      <x:c r="J85" s="25" t="str">
        <x:v>ACTIVE</x:v>
      </x:c>
      <x:c r="K85" s="25" t="str">
        <x:v>çekirge - Mustafa Kısakürek</x:v>
      </x:c>
      <x:c r="L85" s="25" t="str">
        <x:v>​120255765383900399</x:v>
      </x:c>
      <x:c r="M85" s="25" t="str">
        <x:v>ACTIVE</x:v>
      </x:c>
      <x:c r="N85" s="25" t="str">
        <x:v>REACH</x:v>
      </x:c>
      <x:c r="O85" s="27" t="n">
        <x:v>0</x:v>
      </x:c>
      <x:c r="P85" s="27" t="n">
        <x:v>0</x:v>
      </x:c>
      <x:c r="Q85" s="27" t="n">
        <x:v>100</x:v>
      </x:c>
      <x:c r="R85" s="27" t="n">
        <x:v>0</x:v>
      </x:c>
      <x:c r="S85" s="27" t="n">
        <x:v>554.11</x:v>
      </x:c>
      <x:c r="T85" s="28" t="n">
        <x:v>56087</x:v>
      </x:c>
      <x:c r="U85" s="28" t="n">
        <x:v>49304</x:v>
      </x:c>
      <x:c r="V85" s="28" t="n">
        <x:v>74</x:v>
      </x:c>
      <x:c r="W85" s="28" t="n">
        <x:v>0</x:v>
      </x:c>
      <x:c r="X85" s="28" t="n">
        <x:v>0</x:v>
      </x:c>
      <x:c r="Y85" s="28" t="n">
        <x:v>0</x:v>
      </x:c>
      <x:c r="Z85" s="28" t="n">
        <x:v>0</x:v>
      </x:c>
      <x:c r="AA85" s="28" t="n">
        <x:v>3384</x:v>
      </x:c>
    </x:row>
    <x:row r="86">
      <x:c r="A86" s="25" t="str">
        <x:v>Ağustos 2026</x:v>
      </x:c>
      <x:c r="B86" s="25" t="str">
        <x:v>Yerli</x:v>
      </x:c>
      <x:c r="C86" s="25" t="str">
        <x:v>Türkçe</x:v>
      </x:c>
      <x:c r="D86" s="25" t="str">
        <x:v>Bilinirlik / İzlenme / Trafik</x:v>
      </x:c>
      <x:c r="E86" s="25" t="str">
        <x:v>Doktor Kampanyası</x:v>
      </x:c>
      <x:c r="F86" s="25" t="str">
        <x:v>Doruk Hastaneleri - SİNA ÖZEL Sağlık Hizmetleri A.ş</x:v>
      </x:c>
      <x:c r="G86" s="25" t="str">
        <x:v>TRY</x:v>
      </x:c>
      <x:c r="H86" s="25" t="str">
        <x:v>Doktor - Bilinirlik Kampanyası - Çekirge</x:v>
      </x:c>
      <x:c r="I86" s="25" t="str">
        <x:v>​120255763855030399</x:v>
      </x:c>
      <x:c r="J86" s="25" t="str">
        <x:v>ACTIVE</x:v>
      </x:c>
      <x:c r="K86" s="25" t="str">
        <x:v>çekirge - Mustafa Kısakürek</x:v>
      </x:c>
      <x:c r="L86" s="25" t="str">
        <x:v>​120255765383900399</x:v>
      </x:c>
      <x:c r="M86" s="25" t="str">
        <x:v>ACTIVE</x:v>
      </x:c>
      <x:c r="N86" s="25" t="str">
        <x:v>REACH</x:v>
      </x:c>
      <x:c r="O86" s="27" t="n">
        <x:v>0</x:v>
      </x:c>
      <x:c r="P86" s="27" t="n">
        <x:v>0</x:v>
      </x:c>
      <x:c r="Q86" s="27" t="n">
        <x:v>100</x:v>
      </x:c>
      <x:c r="R86" s="27" t="n">
        <x:v>0</x:v>
      </x:c>
      <x:c r="S86" s="27" t="n">
        <x:v>465.76</x:v>
      </x:c>
      <x:c r="T86" s="28" t="n">
        <x:v>51559</x:v>
      </x:c>
      <x:c r="U86" s="28" t="n">
        <x:v>47675</x:v>
      </x:c>
      <x:c r="V86" s="28" t="n">
        <x:v>45</x:v>
      </x:c>
      <x:c r="W86" s="28" t="n">
        <x:v>0</x:v>
      </x:c>
      <x:c r="X86" s="28" t="n">
        <x:v>0</x:v>
      </x:c>
      <x:c r="Y86" s="28" t="n">
        <x:v>0</x:v>
      </x:c>
      <x:c r="Z86" s="28" t="n">
        <x:v>0</x:v>
      </x:c>
      <x:c r="AA86" s="28" t="n">
        <x:v>2753</x:v>
      </x:c>
    </x:row>
    <x:row r="87">
      <x:c r="A87" s="25" t="str">
        <x:v>Temmuz 2026</x:v>
      </x:c>
      <x:c r="B87" s="25" t="str">
        <x:v>Yerli</x:v>
      </x:c>
      <x:c r="C87" s="25" t="str">
        <x:v>Türkçe</x:v>
      </x:c>
      <x:c r="D87" s="25" t="str">
        <x:v>Bilinirlik / İzlenme / Trafik</x:v>
      </x:c>
      <x:c r="E87" s="25" t="str">
        <x:v>Doktor Kampanyası</x:v>
      </x:c>
      <x:c r="F87" s="25" t="str">
        <x:v>Doruk Hastaneleri - SİNA ÖZEL Sağlık Hizmetleri A.ş</x:v>
      </x:c>
      <x:c r="G87" s="25" t="str">
        <x:v>TRY</x:v>
      </x:c>
      <x:c r="H87" s="25" t="str">
        <x:v>Doktor - Bilinirlik Kampanyası - Çekirge</x:v>
      </x:c>
      <x:c r="I87" s="25" t="str">
        <x:v>​120255763855030399</x:v>
      </x:c>
      <x:c r="J87" s="25" t="str">
        <x:v>ACTIVE</x:v>
      </x:c>
      <x:c r="K87" s="25" t="str">
        <x:v>çekirge - Osman Ataç</x:v>
      </x:c>
      <x:c r="L87" s="25" t="str">
        <x:v>​120255765384780399</x:v>
      </x:c>
      <x:c r="M87" s="25" t="str">
        <x:v>ACTIVE</x:v>
      </x:c>
      <x:c r="N87" s="25" t="str">
        <x:v>REACH</x:v>
      </x:c>
      <x:c r="O87" s="27" t="n">
        <x:v>0</x:v>
      </x:c>
      <x:c r="P87" s="27" t="n">
        <x:v>0</x:v>
      </x:c>
      <x:c r="Q87" s="27" t="n">
        <x:v>100</x:v>
      </x:c>
      <x:c r="R87" s="27" t="n">
        <x:v>0</x:v>
      </x:c>
      <x:c r="S87" s="27" t="n">
        <x:v>548.79</x:v>
      </x:c>
      <x:c r="T87" s="28" t="n">
        <x:v>55864</x:v>
      </x:c>
      <x:c r="U87" s="28" t="n">
        <x:v>51182</x:v>
      </x:c>
      <x:c r="V87" s="28" t="n">
        <x:v>26</x:v>
      </x:c>
      <x:c r="W87" s="28" t="n">
        <x:v>0</x:v>
      </x:c>
      <x:c r="X87" s="28" t="n">
        <x:v>0</x:v>
      </x:c>
      <x:c r="Y87" s="28" t="n">
        <x:v>0</x:v>
      </x:c>
      <x:c r="Z87" s="28" t="n">
        <x:v>0</x:v>
      </x:c>
      <x:c r="AA87" s="28" t="n">
        <x:v>4126</x:v>
      </x:c>
    </x:row>
    <x:row r="88">
      <x:c r="A88" s="25" t="str">
        <x:v>Ağustos 2026</x:v>
      </x:c>
      <x:c r="B88" s="25" t="str">
        <x:v>Yerli</x:v>
      </x:c>
      <x:c r="C88" s="25" t="str">
        <x:v>Türkçe</x:v>
      </x:c>
      <x:c r="D88" s="25" t="str">
        <x:v>Bilinirlik / İzlenme / Trafik</x:v>
      </x:c>
      <x:c r="E88" s="25" t="str">
        <x:v>Doktor Kampanyası</x:v>
      </x:c>
      <x:c r="F88" s="25" t="str">
        <x:v>Doruk Hastaneleri - SİNA ÖZEL Sağlık Hizmetleri A.ş</x:v>
      </x:c>
      <x:c r="G88" s="25" t="str">
        <x:v>TRY</x:v>
      </x:c>
      <x:c r="H88" s="25" t="str">
        <x:v>Doktor - Bilinirlik Kampanyası - Çekirge</x:v>
      </x:c>
      <x:c r="I88" s="25" t="str">
        <x:v>​120255763855030399</x:v>
      </x:c>
      <x:c r="J88" s="25" t="str">
        <x:v>ACTIVE</x:v>
      </x:c>
      <x:c r="K88" s="25" t="str">
        <x:v>çekirge - Osman Ataç</x:v>
      </x:c>
      <x:c r="L88" s="25" t="str">
        <x:v>​120255765384780399</x:v>
      </x:c>
      <x:c r="M88" s="25" t="str">
        <x:v>ACTIVE</x:v>
      </x:c>
      <x:c r="N88" s="25" t="str">
        <x:v>REACH</x:v>
      </x:c>
      <x:c r="O88" s="27" t="n">
        <x:v>0</x:v>
      </x:c>
      <x:c r="P88" s="27" t="n">
        <x:v>0</x:v>
      </x:c>
      <x:c r="Q88" s="27" t="n">
        <x:v>100</x:v>
      </x:c>
      <x:c r="R88" s="27" t="n">
        <x:v>0</x:v>
      </x:c>
      <x:c r="S88" s="27" t="n">
        <x:v>458.51</x:v>
      </x:c>
      <x:c r="T88" s="28" t="n">
        <x:v>51509</x:v>
      </x:c>
      <x:c r="U88" s="28" t="n">
        <x:v>50245</x:v>
      </x:c>
      <x:c r="V88" s="28" t="n">
        <x:v>43</x:v>
      </x:c>
      <x:c r="W88" s="28" t="n">
        <x:v>0</x:v>
      </x:c>
      <x:c r="X88" s="28" t="n">
        <x:v>0</x:v>
      </x:c>
      <x:c r="Y88" s="28" t="n">
        <x:v>0</x:v>
      </x:c>
      <x:c r="Z88" s="28" t="n">
        <x:v>0</x:v>
      </x:c>
      <x:c r="AA88" s="28" t="n">
        <x:v>3570</x:v>
      </x:c>
    </x:row>
    <x:row r="89">
      <x:c r="A89" s="25" t="str">
        <x:v>Temmuz 2026</x:v>
      </x:c>
      <x:c r="B89" s="25" t="str">
        <x:v>Yerli</x:v>
      </x:c>
      <x:c r="C89" s="25" t="str">
        <x:v>Türkçe</x:v>
      </x:c>
      <x:c r="D89" s="25" t="str">
        <x:v>Bilinirlik / İzlenme / Trafik</x:v>
      </x:c>
      <x:c r="E89" s="25" t="str">
        <x:v>Doktor Kampanyası</x:v>
      </x:c>
      <x:c r="F89" s="25" t="str">
        <x:v>Doruk Hastaneleri - SİNA ÖZEL Sağlık Hizmetleri A.ş</x:v>
      </x:c>
      <x:c r="G89" s="25" t="str">
        <x:v>TRY</x:v>
      </x:c>
      <x:c r="H89" s="25" t="str">
        <x:v>Doktor - Bilinirlik Kampanyası - Çekirge</x:v>
      </x:c>
      <x:c r="I89" s="25" t="str">
        <x:v>​120255763855030399</x:v>
      </x:c>
      <x:c r="J89" s="25" t="str">
        <x:v>ACTIVE</x:v>
      </x:c>
      <x:c r="K89" s="25" t="str">
        <x:v>çekirge - Sait Uysal</x:v>
      </x:c>
      <x:c r="L89" s="25" t="str">
        <x:v>​120255765385330399</x:v>
      </x:c>
      <x:c r="M89" s="25" t="str">
        <x:v>ACTIVE</x:v>
      </x:c>
      <x:c r="N89" s="25" t="str">
        <x:v>REACH</x:v>
      </x:c>
      <x:c r="O89" s="27" t="n">
        <x:v>0</x:v>
      </x:c>
      <x:c r="P89" s="27" t="n">
        <x:v>0</x:v>
      </x:c>
      <x:c r="Q89" s="27" t="n">
        <x:v>100</x:v>
      </x:c>
      <x:c r="R89" s="27" t="n">
        <x:v>0</x:v>
      </x:c>
      <x:c r="S89" s="27" t="n">
        <x:v>551.73</x:v>
      </x:c>
      <x:c r="T89" s="28" t="n">
        <x:v>55861</x:v>
      </x:c>
      <x:c r="U89" s="28" t="n">
        <x:v>52297</x:v>
      </x:c>
      <x:c r="V89" s="28" t="n">
        <x:v>48</x:v>
      </x:c>
      <x:c r="W89" s="28" t="n">
        <x:v>0</x:v>
      </x:c>
      <x:c r="X89" s="28" t="n">
        <x:v>0</x:v>
      </x:c>
      <x:c r="Y89" s="28" t="n">
        <x:v>0</x:v>
      </x:c>
      <x:c r="Z89" s="28" t="n">
        <x:v>0</x:v>
      </x:c>
      <x:c r="AA89" s="28" t="n">
        <x:v>3417</x:v>
      </x:c>
    </x:row>
    <x:row r="90">
      <x:c r="A90" s="25" t="str">
        <x:v>Ağustos 2026</x:v>
      </x:c>
      <x:c r="B90" s="25" t="str">
        <x:v>Yerli</x:v>
      </x:c>
      <x:c r="C90" s="25" t="str">
        <x:v>Türkçe</x:v>
      </x:c>
      <x:c r="D90" s="25" t="str">
        <x:v>Bilinirlik / İzlenme / Trafik</x:v>
      </x:c>
      <x:c r="E90" s="25" t="str">
        <x:v>Doktor Kampanyası</x:v>
      </x:c>
      <x:c r="F90" s="25" t="str">
        <x:v>Doruk Hastaneleri - SİNA ÖZEL Sağlık Hizmetleri A.ş</x:v>
      </x:c>
      <x:c r="G90" s="25" t="str">
        <x:v>TRY</x:v>
      </x:c>
      <x:c r="H90" s="25" t="str">
        <x:v>Doktor - Bilinirlik Kampanyası - Çekirge</x:v>
      </x:c>
      <x:c r="I90" s="25" t="str">
        <x:v>​120255763855030399</x:v>
      </x:c>
      <x:c r="J90" s="25" t="str">
        <x:v>ACTIVE</x:v>
      </x:c>
      <x:c r="K90" s="25" t="str">
        <x:v>çekirge - Sait Uysal</x:v>
      </x:c>
      <x:c r="L90" s="25" t="str">
        <x:v>​120255765385330399</x:v>
      </x:c>
      <x:c r="M90" s="25" t="str">
        <x:v>ACTIVE</x:v>
      </x:c>
      <x:c r="N90" s="25" t="str">
        <x:v>REACH</x:v>
      </x:c>
      <x:c r="O90" s="27" t="n">
        <x:v>0</x:v>
      </x:c>
      <x:c r="P90" s="27" t="n">
        <x:v>0</x:v>
      </x:c>
      <x:c r="Q90" s="27" t="n">
        <x:v>100</x:v>
      </x:c>
      <x:c r="R90" s="27" t="n">
        <x:v>0</x:v>
      </x:c>
      <x:c r="S90" s="27" t="n">
        <x:v>448.34</x:v>
      </x:c>
      <x:c r="T90" s="28" t="n">
        <x:v>50105</x:v>
      </x:c>
      <x:c r="U90" s="28" t="n">
        <x:v>45526</x:v>
      </x:c>
      <x:c r="V90" s="28" t="n">
        <x:v>61</x:v>
      </x:c>
      <x:c r="W90" s="28" t="n">
        <x:v>0</x:v>
      </x:c>
      <x:c r="X90" s="28" t="n">
        <x:v>0</x:v>
      </x:c>
      <x:c r="Y90" s="28" t="n">
        <x:v>0</x:v>
      </x:c>
      <x:c r="Z90" s="28" t="n">
        <x:v>0</x:v>
      </x:c>
      <x:c r="AA90" s="28" t="n">
        <x:v>2707</x:v>
      </x:c>
    </x:row>
    <x:row r="91">
      <x:c r="A91" s="25" t="str">
        <x:v>Temmuz 2026</x:v>
      </x:c>
      <x:c r="B91" s="25" t="str">
        <x:v>Yerli</x:v>
      </x:c>
      <x:c r="C91" s="25" t="str">
        <x:v>Türkçe</x:v>
      </x:c>
      <x:c r="D91" s="25" t="str">
        <x:v>Bilinirlik / İzlenme / Trafik</x:v>
      </x:c>
      <x:c r="E91" s="25" t="str">
        <x:v>Doktor Kampanyası</x:v>
      </x:c>
      <x:c r="F91" s="25" t="str">
        <x:v>Doruk Hastaneleri - SİNA ÖZEL Sağlık Hizmetleri A.ş</x:v>
      </x:c>
      <x:c r="G91" s="25" t="str">
        <x:v>TRY</x:v>
      </x:c>
      <x:c r="H91" s="25" t="str">
        <x:v>Doktor - Bilinirlik Kampanyası - Çekirge</x:v>
      </x:c>
      <x:c r="I91" s="25" t="str">
        <x:v>​120255763855030399</x:v>
      </x:c>
      <x:c r="J91" s="25" t="str">
        <x:v>ACTIVE</x:v>
      </x:c>
      <x:c r="K91" s="25" t="str">
        <x:v>çekirge - Sercan Sınır</x:v>
      </x:c>
      <x:c r="L91" s="25" t="str">
        <x:v>​120255765387860399</x:v>
      </x:c>
      <x:c r="M91" s="25" t="str">
        <x:v>ACTIVE</x:v>
      </x:c>
      <x:c r="N91" s="25" t="str">
        <x:v>REACH</x:v>
      </x:c>
      <x:c r="O91" s="27" t="n">
        <x:v>0</x:v>
      </x:c>
      <x:c r="P91" s="27" t="n">
        <x:v>0</x:v>
      </x:c>
      <x:c r="Q91" s="27" t="n">
        <x:v>100</x:v>
      </x:c>
      <x:c r="R91" s="27" t="n">
        <x:v>0</x:v>
      </x:c>
      <x:c r="S91" s="27" t="n">
        <x:v>555.52</x:v>
      </x:c>
      <x:c r="T91" s="28" t="n">
        <x:v>56246</x:v>
      </x:c>
      <x:c r="U91" s="28" t="n">
        <x:v>47191</x:v>
      </x:c>
      <x:c r="V91" s="28" t="n">
        <x:v>41</x:v>
      </x:c>
      <x:c r="W91" s="28" t="n">
        <x:v>0</x:v>
      </x:c>
      <x:c r="X91" s="28" t="n">
        <x:v>0</x:v>
      </x:c>
      <x:c r="Y91" s="28" t="n">
        <x:v>0</x:v>
      </x:c>
      <x:c r="Z91" s="28" t="n">
        <x:v>0</x:v>
      </x:c>
      <x:c r="AA91" s="28" t="n">
        <x:v>2659</x:v>
      </x:c>
    </x:row>
    <x:row r="92">
      <x:c r="A92" s="25" t="str">
        <x:v>Ağustos 2026</x:v>
      </x:c>
      <x:c r="B92" s="25" t="str">
        <x:v>Yerli</x:v>
      </x:c>
      <x:c r="C92" s="25" t="str">
        <x:v>Türkçe</x:v>
      </x:c>
      <x:c r="D92" s="25" t="str">
        <x:v>Bilinirlik / İzlenme / Trafik</x:v>
      </x:c>
      <x:c r="E92" s="25" t="str">
        <x:v>Doktor Kampanyası</x:v>
      </x:c>
      <x:c r="F92" s="25" t="str">
        <x:v>Doruk Hastaneleri - SİNA ÖZEL Sağlık Hizmetleri A.ş</x:v>
      </x:c>
      <x:c r="G92" s="25" t="str">
        <x:v>TRY</x:v>
      </x:c>
      <x:c r="H92" s="25" t="str">
        <x:v>Doktor - Bilinirlik Kampanyası - Çekirge</x:v>
      </x:c>
      <x:c r="I92" s="25" t="str">
        <x:v>​120255763855030399</x:v>
      </x:c>
      <x:c r="J92" s="25" t="str">
        <x:v>ACTIVE</x:v>
      </x:c>
      <x:c r="K92" s="25" t="str">
        <x:v>çekirge - Sercan Sınır</x:v>
      </x:c>
      <x:c r="L92" s="25" t="str">
        <x:v>​120255765387860399</x:v>
      </x:c>
      <x:c r="M92" s="25" t="str">
        <x:v>ACTIVE</x:v>
      </x:c>
      <x:c r="N92" s="25" t="str">
        <x:v>REACH</x:v>
      </x:c>
      <x:c r="O92" s="27" t="n">
        <x:v>0</x:v>
      </x:c>
      <x:c r="P92" s="27" t="n">
        <x:v>0</x:v>
      </x:c>
      <x:c r="Q92" s="27" t="n">
        <x:v>100</x:v>
      </x:c>
      <x:c r="R92" s="27" t="n">
        <x:v>0</x:v>
      </x:c>
      <x:c r="S92" s="27" t="n">
        <x:v>451.03</x:v>
      </x:c>
      <x:c r="T92" s="28" t="n">
        <x:v>51162</x:v>
      </x:c>
      <x:c r="U92" s="28" t="n">
        <x:v>45999</x:v>
      </x:c>
      <x:c r="V92" s="28" t="n">
        <x:v>52</x:v>
      </x:c>
      <x:c r="W92" s="28" t="n">
        <x:v>0</x:v>
      </x:c>
      <x:c r="X92" s="28" t="n">
        <x:v>0</x:v>
      </x:c>
      <x:c r="Y92" s="28" t="n">
        <x:v>0</x:v>
      </x:c>
      <x:c r="Z92" s="28" t="n">
        <x:v>0</x:v>
      </x:c>
      <x:c r="AA92" s="28" t="n">
        <x:v>2643</x:v>
      </x:c>
    </x:row>
    <x:row r="93">
      <x:c r="A93" s="25" t="str">
        <x:v>Temmuz 2026</x:v>
      </x:c>
      <x:c r="B93" s="25" t="str">
        <x:v>Yerli</x:v>
      </x:c>
      <x:c r="C93" s="25" t="str">
        <x:v>Türkçe</x:v>
      </x:c>
      <x:c r="D93" s="25" t="str">
        <x:v>Bilinirlik / İzlenme / Trafik</x:v>
      </x:c>
      <x:c r="E93" s="25" t="str">
        <x:v>Doktor Kampanyası</x:v>
      </x:c>
      <x:c r="F93" s="25" t="str">
        <x:v>Doruk Hastaneleri - SİNA ÖZEL Sağlık Hizmetleri A.ş</x:v>
      </x:c>
      <x:c r="G93" s="25" t="str">
        <x:v>TRY</x:v>
      </x:c>
      <x:c r="H93" s="25" t="str">
        <x:v>Doktor - Bilinirlik Kampanyası - Çekirge</x:v>
      </x:c>
      <x:c r="I93" s="25" t="str">
        <x:v>​120255763855030399</x:v>
      </x:c>
      <x:c r="J93" s="25" t="str">
        <x:v>ACTIVE</x:v>
      </x:c>
      <x:c r="K93" s="25" t="str">
        <x:v>çekirge - Seyfi Kamberoğlu</x:v>
      </x:c>
      <x:c r="L93" s="25" t="str">
        <x:v>​120255765392180399</x:v>
      </x:c>
      <x:c r="M93" s="25" t="str">
        <x:v>ACTIVE</x:v>
      </x:c>
      <x:c r="N93" s="25" t="str">
        <x:v>REACH</x:v>
      </x:c>
      <x:c r="O93" s="27" t="n">
        <x:v>0</x:v>
      </x:c>
      <x:c r="P93" s="27" t="n">
        <x:v>0</x:v>
      </x:c>
      <x:c r="Q93" s="27" t="n">
        <x:v>100</x:v>
      </x:c>
      <x:c r="R93" s="27" t="n">
        <x:v>0</x:v>
      </x:c>
      <x:c r="S93" s="27" t="n">
        <x:v>559.91</x:v>
      </x:c>
      <x:c r="T93" s="28" t="n">
        <x:v>55973</x:v>
      </x:c>
      <x:c r="U93" s="28" t="n">
        <x:v>50277</x:v>
      </x:c>
      <x:c r="V93" s="28" t="n">
        <x:v>25</x:v>
      </x:c>
      <x:c r="W93" s="28" t="n">
        <x:v>0</x:v>
      </x:c>
      <x:c r="X93" s="28" t="n">
        <x:v>0</x:v>
      </x:c>
      <x:c r="Y93" s="28" t="n">
        <x:v>0</x:v>
      </x:c>
      <x:c r="Z93" s="28" t="n">
        <x:v>0</x:v>
      </x:c>
      <x:c r="AA93" s="28" t="n">
        <x:v>3518</x:v>
      </x:c>
    </x:row>
    <x:row r="94">
      <x:c r="A94" s="25" t="str">
        <x:v>Ağustos 2026</x:v>
      </x:c>
      <x:c r="B94" s="25" t="str">
        <x:v>Yerli</x:v>
      </x:c>
      <x:c r="C94" s="25" t="str">
        <x:v>Türkçe</x:v>
      </x:c>
      <x:c r="D94" s="25" t="str">
        <x:v>Bilinirlik / İzlenme / Trafik</x:v>
      </x:c>
      <x:c r="E94" s="25" t="str">
        <x:v>Doktor Kampanyası</x:v>
      </x:c>
      <x:c r="F94" s="25" t="str">
        <x:v>Doruk Hastaneleri - SİNA ÖZEL Sağlık Hizmetleri A.ş</x:v>
      </x:c>
      <x:c r="G94" s="25" t="str">
        <x:v>TRY</x:v>
      </x:c>
      <x:c r="H94" s="25" t="str">
        <x:v>Doktor - Bilinirlik Kampanyası - Çekirge</x:v>
      </x:c>
      <x:c r="I94" s="25" t="str">
        <x:v>​120255763855030399</x:v>
      </x:c>
      <x:c r="J94" s="25" t="str">
        <x:v>ACTIVE</x:v>
      </x:c>
      <x:c r="K94" s="25" t="str">
        <x:v>çekirge - Seyfi Kamberoğlu</x:v>
      </x:c>
      <x:c r="L94" s="25" t="str">
        <x:v>​120255765392180399</x:v>
      </x:c>
      <x:c r="M94" s="25" t="str">
        <x:v>ACTIVE</x:v>
      </x:c>
      <x:c r="N94" s="25" t="str">
        <x:v>REACH</x:v>
      </x:c>
      <x:c r="O94" s="27" t="n">
        <x:v>0</x:v>
      </x:c>
      <x:c r="P94" s="27" t="n">
        <x:v>0</x:v>
      </x:c>
      <x:c r="Q94" s="27" t="n">
        <x:v>100</x:v>
      </x:c>
      <x:c r="R94" s="27" t="n">
        <x:v>0</x:v>
      </x:c>
      <x:c r="S94" s="27" t="n">
        <x:v>459</x:v>
      </x:c>
      <x:c r="T94" s="28" t="n">
        <x:v>50703</x:v>
      </x:c>
      <x:c r="U94" s="28" t="n">
        <x:v>48961</x:v>
      </x:c>
      <x:c r="V94" s="28" t="n">
        <x:v>45</x:v>
      </x:c>
      <x:c r="W94" s="28" t="n">
        <x:v>0</x:v>
      </x:c>
      <x:c r="X94" s="28" t="n">
        <x:v>0</x:v>
      </x:c>
      <x:c r="Y94" s="28" t="n">
        <x:v>0</x:v>
      </x:c>
      <x:c r="Z94" s="28" t="n">
        <x:v>0</x:v>
      </x:c>
      <x:c r="AA94" s="28" t="n">
        <x:v>2841</x:v>
      </x:c>
    </x:row>
    <x:row r="95">
      <x:c r="A95" s="25" t="str">
        <x:v>Temmuz 2026</x:v>
      </x:c>
      <x:c r="B95" s="25" t="str">
        <x:v>Yerli</x:v>
      </x:c>
      <x:c r="C95" s="25" t="str">
        <x:v>Türkçe</x:v>
      </x:c>
      <x:c r="D95" s="25" t="str">
        <x:v>Bilinirlik / İzlenme / Trafik</x:v>
      </x:c>
      <x:c r="E95" s="25" t="str">
        <x:v>Doktor Kampanyası</x:v>
      </x:c>
      <x:c r="F95" s="25" t="str">
        <x:v>Doruk Hastaneleri - SİNA ÖZEL Sağlık Hizmetleri A.ş</x:v>
      </x:c>
      <x:c r="G95" s="25" t="str">
        <x:v>TRY</x:v>
      </x:c>
      <x:c r="H95" s="25" t="str">
        <x:v>Doktor - Bilinirlik Kampanyası - Çekirge</x:v>
      </x:c>
      <x:c r="I95" s="25" t="str">
        <x:v>​120255763855030399</x:v>
      </x:c>
      <x:c r="J95" s="25" t="str">
        <x:v>ACTIVE</x:v>
      </x:c>
      <x:c r="K95" s="25" t="str">
        <x:v>çekirge - Simge Katrancı</x:v>
      </x:c>
      <x:c r="L95" s="25" t="str">
        <x:v>​120255765393170399</x:v>
      </x:c>
      <x:c r="M95" s="25" t="str">
        <x:v>ACTIVE</x:v>
      </x:c>
      <x:c r="N95" s="25" t="str">
        <x:v>REACH</x:v>
      </x:c>
      <x:c r="O95" s="27" t="n">
        <x:v>0</x:v>
      </x:c>
      <x:c r="P95" s="27" t="n">
        <x:v>0</x:v>
      </x:c>
      <x:c r="Q95" s="27" t="n">
        <x:v>100</x:v>
      </x:c>
      <x:c r="R95" s="27" t="n">
        <x:v>0</x:v>
      </x:c>
      <x:c r="S95" s="27" t="n">
        <x:v>546.59</x:v>
      </x:c>
      <x:c r="T95" s="28" t="n">
        <x:v>55303</x:v>
      </x:c>
      <x:c r="U95" s="28" t="n">
        <x:v>51078</x:v>
      </x:c>
      <x:c r="V95" s="28" t="n">
        <x:v>59</x:v>
      </x:c>
      <x:c r="W95" s="28" t="n">
        <x:v>0</x:v>
      </x:c>
      <x:c r="X95" s="28" t="n">
        <x:v>0</x:v>
      </x:c>
      <x:c r="Y95" s="28" t="n">
        <x:v>0</x:v>
      </x:c>
      <x:c r="Z95" s="28" t="n">
        <x:v>0</x:v>
      </x:c>
      <x:c r="AA95" s="28" t="n">
        <x:v>3702</x:v>
      </x:c>
    </x:row>
    <x:row r="96">
      <x:c r="A96" s="25" t="str">
        <x:v>Ağustos 2026</x:v>
      </x:c>
      <x:c r="B96" s="25" t="str">
        <x:v>Yerli</x:v>
      </x:c>
      <x:c r="C96" s="25" t="str">
        <x:v>Türkçe</x:v>
      </x:c>
      <x:c r="D96" s="25" t="str">
        <x:v>Bilinirlik / İzlenme / Trafik</x:v>
      </x:c>
      <x:c r="E96" s="25" t="str">
        <x:v>Doktor Kampanyası</x:v>
      </x:c>
      <x:c r="F96" s="25" t="str">
        <x:v>Doruk Hastaneleri - SİNA ÖZEL Sağlık Hizmetleri A.ş</x:v>
      </x:c>
      <x:c r="G96" s="25" t="str">
        <x:v>TRY</x:v>
      </x:c>
      <x:c r="H96" s="25" t="str">
        <x:v>Doktor - Bilinirlik Kampanyası - Çekirge</x:v>
      </x:c>
      <x:c r="I96" s="25" t="str">
        <x:v>​120255763855030399</x:v>
      </x:c>
      <x:c r="J96" s="25" t="str">
        <x:v>ACTIVE</x:v>
      </x:c>
      <x:c r="K96" s="25" t="str">
        <x:v>çekirge - Simge Katrancı</x:v>
      </x:c>
      <x:c r="L96" s="25" t="str">
        <x:v>​120255765393170399</x:v>
      </x:c>
      <x:c r="M96" s="25" t="str">
        <x:v>ACTIVE</x:v>
      </x:c>
      <x:c r="N96" s="25" t="str">
        <x:v>REACH</x:v>
      </x:c>
      <x:c r="O96" s="27" t="n">
        <x:v>0</x:v>
      </x:c>
      <x:c r="P96" s="27" t="n">
        <x:v>0</x:v>
      </x:c>
      <x:c r="Q96" s="27" t="n">
        <x:v>100</x:v>
      </x:c>
      <x:c r="R96" s="27" t="n">
        <x:v>0</x:v>
      </x:c>
      <x:c r="S96" s="27" t="n">
        <x:v>446.97</x:v>
      </x:c>
      <x:c r="T96" s="28" t="n">
        <x:v>49886</x:v>
      </x:c>
      <x:c r="U96" s="28" t="n">
        <x:v>45528</x:v>
      </x:c>
      <x:c r="V96" s="28" t="n">
        <x:v>27</x:v>
      </x:c>
      <x:c r="W96" s="28" t="n">
        <x:v>0</x:v>
      </x:c>
      <x:c r="X96" s="28" t="n">
        <x:v>0</x:v>
      </x:c>
      <x:c r="Y96" s="28" t="n">
        <x:v>0</x:v>
      </x:c>
      <x:c r="Z96" s="28" t="n">
        <x:v>0</x:v>
      </x:c>
      <x:c r="AA96" s="28" t="n">
        <x:v>3034</x:v>
      </x:c>
    </x:row>
    <x:row r="97">
      <x:c r="A97" s="25" t="str">
        <x:v>Temmuz 2026</x:v>
      </x:c>
      <x:c r="B97" s="25" t="str">
        <x:v>Yerli</x:v>
      </x:c>
      <x:c r="C97" s="25" t="str">
        <x:v>Türkçe</x:v>
      </x:c>
      <x:c r="D97" s="25" t="str">
        <x:v>Bilinirlik / İzlenme / Trafik</x:v>
      </x:c>
      <x:c r="E97" s="25" t="str">
        <x:v>Doktor Kampanyası</x:v>
      </x:c>
      <x:c r="F97" s="25" t="str">
        <x:v>Doruk Hastaneleri - SİNA ÖZEL Sağlık Hizmetleri A.ş</x:v>
      </x:c>
      <x:c r="G97" s="25" t="str">
        <x:v>TRY</x:v>
      </x:c>
      <x:c r="H97" s="25" t="str">
        <x:v>Doktor - Bilinirlik Kampanyası - Çekirge</x:v>
      </x:c>
      <x:c r="I97" s="25" t="str">
        <x:v>​120255763855030399</x:v>
      </x:c>
      <x:c r="J97" s="25" t="str">
        <x:v>ACTIVE</x:v>
      </x:c>
      <x:c r="K97" s="25" t="str">
        <x:v>çekirge - Sirem Aydınlar</x:v>
      </x:c>
      <x:c r="L97" s="25" t="str">
        <x:v>​120255765394270399</x:v>
      </x:c>
      <x:c r="M97" s="25" t="str">
        <x:v>ACTIVE</x:v>
      </x:c>
      <x:c r="N97" s="25" t="str">
        <x:v>REACH</x:v>
      </x:c>
      <x:c r="O97" s="27" t="n">
        <x:v>0</x:v>
      </x:c>
      <x:c r="P97" s="27" t="n">
        <x:v>0</x:v>
      </x:c>
      <x:c r="Q97" s="27" t="n">
        <x:v>100</x:v>
      </x:c>
      <x:c r="R97" s="27" t="n">
        <x:v>0</x:v>
      </x:c>
      <x:c r="S97" s="27" t="n">
        <x:v>557.1</x:v>
      </x:c>
      <x:c r="T97" s="28" t="n">
        <x:v>56604</x:v>
      </x:c>
      <x:c r="U97" s="28" t="n">
        <x:v>50583</x:v>
      </x:c>
      <x:c r="V97" s="28" t="n">
        <x:v>71</x:v>
      </x:c>
      <x:c r="W97" s="28" t="n">
        <x:v>0</x:v>
      </x:c>
      <x:c r="X97" s="28" t="n">
        <x:v>0</x:v>
      </x:c>
      <x:c r="Y97" s="28" t="n">
        <x:v>0</x:v>
      </x:c>
      <x:c r="Z97" s="28" t="n">
        <x:v>0</x:v>
      </x:c>
      <x:c r="AA97" s="28" t="n">
        <x:v>3597</x:v>
      </x:c>
    </x:row>
    <x:row r="98">
      <x:c r="A98" s="25" t="str">
        <x:v>Ağustos 2026</x:v>
      </x:c>
      <x:c r="B98" s="25" t="str">
        <x:v>Yerli</x:v>
      </x:c>
      <x:c r="C98" s="25" t="str">
        <x:v>Türkçe</x:v>
      </x:c>
      <x:c r="D98" s="25" t="str">
        <x:v>Bilinirlik / İzlenme / Trafik</x:v>
      </x:c>
      <x:c r="E98" s="25" t="str">
        <x:v>Doktor Kampanyası</x:v>
      </x:c>
      <x:c r="F98" s="25" t="str">
        <x:v>Doruk Hastaneleri - SİNA ÖZEL Sağlık Hizmetleri A.ş</x:v>
      </x:c>
      <x:c r="G98" s="25" t="str">
        <x:v>TRY</x:v>
      </x:c>
      <x:c r="H98" s="25" t="str">
        <x:v>Doktor - Bilinirlik Kampanyası - Çekirge</x:v>
      </x:c>
      <x:c r="I98" s="25" t="str">
        <x:v>​120255763855030399</x:v>
      </x:c>
      <x:c r="J98" s="25" t="str">
        <x:v>ACTIVE</x:v>
      </x:c>
      <x:c r="K98" s="25" t="str">
        <x:v>çekirge - Sirem Aydınlar</x:v>
      </x:c>
      <x:c r="L98" s="25" t="str">
        <x:v>​120255765394270399</x:v>
      </x:c>
      <x:c r="M98" s="25" t="str">
        <x:v>ACTIVE</x:v>
      </x:c>
      <x:c r="N98" s="25" t="str">
        <x:v>REACH</x:v>
      </x:c>
      <x:c r="O98" s="27" t="n">
        <x:v>0</x:v>
      </x:c>
      <x:c r="P98" s="27" t="n">
        <x:v>0</x:v>
      </x:c>
      <x:c r="Q98" s="27" t="n">
        <x:v>100</x:v>
      </x:c>
      <x:c r="R98" s="27" t="n">
        <x:v>0</x:v>
      </x:c>
      <x:c r="S98" s="27" t="n">
        <x:v>458.2</x:v>
      </x:c>
      <x:c r="T98" s="28" t="n">
        <x:v>51313</x:v>
      </x:c>
      <x:c r="U98" s="28" t="n">
        <x:v>48368</x:v>
      </x:c>
      <x:c r="V98" s="28" t="n">
        <x:v>67</x:v>
      </x:c>
      <x:c r="W98" s="28" t="n">
        <x:v>0</x:v>
      </x:c>
      <x:c r="X98" s="28" t="n">
        <x:v>0</x:v>
      </x:c>
      <x:c r="Y98" s="28" t="n">
        <x:v>0</x:v>
      </x:c>
      <x:c r="Z98" s="28" t="n">
        <x:v>0</x:v>
      </x:c>
      <x:c r="AA98" s="28" t="n">
        <x:v>3282</x:v>
      </x:c>
    </x:row>
    <x:row r="99">
      <x:c r="A99" s="25" t="str">
        <x:v>Temmuz 2026</x:v>
      </x:c>
      <x:c r="B99" s="25" t="str">
        <x:v>Yerli</x:v>
      </x:c>
      <x:c r="C99" s="25" t="str">
        <x:v>Türkçe</x:v>
      </x:c>
      <x:c r="D99" s="25" t="str">
        <x:v>Bilinirlik / İzlenme / Trafik</x:v>
      </x:c>
      <x:c r="E99" s="25" t="str">
        <x:v>Doktor Kampanyası</x:v>
      </x:c>
      <x:c r="F99" s="25" t="str">
        <x:v>Doruk Hastaneleri - SİNA ÖZEL Sağlık Hizmetleri A.ş</x:v>
      </x:c>
      <x:c r="G99" s="25" t="str">
        <x:v>TRY</x:v>
      </x:c>
      <x:c r="H99" s="25" t="str">
        <x:v>Doktor - Bilinirlik Kampanyası - Çekirge</x:v>
      </x:c>
      <x:c r="I99" s="25" t="str">
        <x:v>​120255763855030399</x:v>
      </x:c>
      <x:c r="J99" s="25" t="str">
        <x:v>ACTIVE</x:v>
      </x:c>
      <x:c r="K99" s="25" t="str">
        <x:v>çekirge - Suat Paker</x:v>
      </x:c>
      <x:c r="L99" s="25" t="str">
        <x:v>​120255765395140399</x:v>
      </x:c>
      <x:c r="M99" s="25" t="str">
        <x:v>ACTIVE</x:v>
      </x:c>
      <x:c r="N99" s="25" t="str">
        <x:v>REACH</x:v>
      </x:c>
      <x:c r="O99" s="27" t="n">
        <x:v>0</x:v>
      </x:c>
      <x:c r="P99" s="27" t="n">
        <x:v>0</x:v>
      </x:c>
      <x:c r="Q99" s="27" t="n">
        <x:v>100</x:v>
      </x:c>
      <x:c r="R99" s="27" t="n">
        <x:v>0</x:v>
      </x:c>
      <x:c r="S99" s="27" t="n">
        <x:v>557.84</x:v>
      </x:c>
      <x:c r="T99" s="28" t="n">
        <x:v>55951</x:v>
      </x:c>
      <x:c r="U99" s="28" t="n">
        <x:v>50510</x:v>
      </x:c>
      <x:c r="V99" s="28" t="n">
        <x:v>48</x:v>
      </x:c>
      <x:c r="W99" s="28" t="n">
        <x:v>0</x:v>
      </x:c>
      <x:c r="X99" s="28" t="n">
        <x:v>0</x:v>
      </x:c>
      <x:c r="Y99" s="28" t="n">
        <x:v>0</x:v>
      </x:c>
      <x:c r="Z99" s="28" t="n">
        <x:v>0</x:v>
      </x:c>
      <x:c r="AA99" s="28" t="n">
        <x:v>3071</x:v>
      </x:c>
    </x:row>
    <x:row r="100">
      <x:c r="A100" s="25" t="str">
        <x:v>Ağustos 2026</x:v>
      </x:c>
      <x:c r="B100" s="25" t="str">
        <x:v>Yerli</x:v>
      </x:c>
      <x:c r="C100" s="25" t="str">
        <x:v>Türkçe</x:v>
      </x:c>
      <x:c r="D100" s="25" t="str">
        <x:v>Bilinirlik / İzlenme / Trafik</x:v>
      </x:c>
      <x:c r="E100" s="25" t="str">
        <x:v>Doktor Kampanyası</x:v>
      </x:c>
      <x:c r="F100" s="25" t="str">
        <x:v>Doruk Hastaneleri - SİNA ÖZEL Sağlık Hizmetleri A.ş</x:v>
      </x:c>
      <x:c r="G100" s="25" t="str">
        <x:v>TRY</x:v>
      </x:c>
      <x:c r="H100" s="25" t="str">
        <x:v>Doktor - Bilinirlik Kampanyası - Çekirge</x:v>
      </x:c>
      <x:c r="I100" s="25" t="str">
        <x:v>​120255763855030399</x:v>
      </x:c>
      <x:c r="J100" s="25" t="str">
        <x:v>ACTIVE</x:v>
      </x:c>
      <x:c r="K100" s="25" t="str">
        <x:v>çekirge - Suat Paker</x:v>
      </x:c>
      <x:c r="L100" s="25" t="str">
        <x:v>​120255765395140399</x:v>
      </x:c>
      <x:c r="M100" s="25" t="str">
        <x:v>ACTIVE</x:v>
      </x:c>
      <x:c r="N100" s="25" t="str">
        <x:v>REACH</x:v>
      </x:c>
      <x:c r="O100" s="27" t="n">
        <x:v>0</x:v>
      </x:c>
      <x:c r="P100" s="27" t="n">
        <x:v>0</x:v>
      </x:c>
      <x:c r="Q100" s="27" t="n">
        <x:v>100</x:v>
      </x:c>
      <x:c r="R100" s="27" t="n">
        <x:v>0</x:v>
      </x:c>
      <x:c r="S100" s="27" t="n">
        <x:v>454.73</x:v>
      </x:c>
      <x:c r="T100" s="28" t="n">
        <x:v>50912</x:v>
      </x:c>
      <x:c r="U100" s="28" t="n">
        <x:v>48806</x:v>
      </x:c>
      <x:c r="V100" s="28" t="n">
        <x:v>48</x:v>
      </x:c>
      <x:c r="W100" s="28" t="n">
        <x:v>0</x:v>
      </x:c>
      <x:c r="X100" s="28" t="n">
        <x:v>0</x:v>
      </x:c>
      <x:c r="Y100" s="28" t="n">
        <x:v>0</x:v>
      </x:c>
      <x:c r="Z100" s="28" t="n">
        <x:v>0</x:v>
      </x:c>
      <x:c r="AA100" s="28" t="n">
        <x:v>2703</x:v>
      </x:c>
    </x:row>
    <x:row r="101">
      <x:c r="A101" s="25" t="str">
        <x:v>Temmuz 2026</x:v>
      </x:c>
      <x:c r="B101" s="25" t="str">
        <x:v>Yerli</x:v>
      </x:c>
      <x:c r="C101" s="25" t="str">
        <x:v>Türkçe</x:v>
      </x:c>
      <x:c r="D101" s="25" t="str">
        <x:v>Bilinirlik / İzlenme / Trafik</x:v>
      </x:c>
      <x:c r="E101" s="25" t="str">
        <x:v>Doktor Kampanyası</x:v>
      </x:c>
      <x:c r="F101" s="25" t="str">
        <x:v>Doruk Hastaneleri - SİNA ÖZEL Sağlık Hizmetleri A.ş</x:v>
      </x:c>
      <x:c r="G101" s="25" t="str">
        <x:v>TRY</x:v>
      </x:c>
      <x:c r="H101" s="25" t="str">
        <x:v>Doktor - Bilinirlik Kampanyası - Çekirge</x:v>
      </x:c>
      <x:c r="I101" s="25" t="str">
        <x:v>​120255763855030399</x:v>
      </x:c>
      <x:c r="J101" s="25" t="str">
        <x:v>ACTIVE</x:v>
      </x:c>
      <x:c r="K101" s="25" t="str">
        <x:v>çekirge - Sühendan Benderli</x:v>
      </x:c>
      <x:c r="L101" s="25" t="str">
        <x:v>​120255765396550399</x:v>
      </x:c>
      <x:c r="M101" s="25" t="str">
        <x:v>ACTIVE</x:v>
      </x:c>
      <x:c r="N101" s="25" t="str">
        <x:v>REACH</x:v>
      </x:c>
      <x:c r="O101" s="27" t="n">
        <x:v>0</x:v>
      </x:c>
      <x:c r="P101" s="27" t="n">
        <x:v>0</x:v>
      </x:c>
      <x:c r="Q101" s="27" t="n">
        <x:v>100</x:v>
      </x:c>
      <x:c r="R101" s="27" t="n">
        <x:v>0</x:v>
      </x:c>
      <x:c r="S101" s="27" t="n">
        <x:v>564.65</x:v>
      </x:c>
      <x:c r="T101" s="28" t="n">
        <x:v>55928</x:v>
      </x:c>
      <x:c r="U101" s="28" t="n">
        <x:v>50568</x:v>
      </x:c>
      <x:c r="V101" s="28" t="n">
        <x:v>25</x:v>
      </x:c>
      <x:c r="W101" s="28" t="n">
        <x:v>0</x:v>
      </x:c>
      <x:c r="X101" s="28" t="n">
        <x:v>0</x:v>
      </x:c>
      <x:c r="Y101" s="28" t="n">
        <x:v>0</x:v>
      </x:c>
      <x:c r="Z101" s="28" t="n">
        <x:v>0</x:v>
      </x:c>
      <x:c r="AA101" s="28" t="n">
        <x:v>3346</x:v>
      </x:c>
    </x:row>
    <x:row r="102">
      <x:c r="A102" s="25" t="str">
        <x:v>Ağustos 2026</x:v>
      </x:c>
      <x:c r="B102" s="25" t="str">
        <x:v>Yerli</x:v>
      </x:c>
      <x:c r="C102" s="25" t="str">
        <x:v>Türkçe</x:v>
      </x:c>
      <x:c r="D102" s="25" t="str">
        <x:v>Bilinirlik / İzlenme / Trafik</x:v>
      </x:c>
      <x:c r="E102" s="25" t="str">
        <x:v>Doktor Kampanyası</x:v>
      </x:c>
      <x:c r="F102" s="25" t="str">
        <x:v>Doruk Hastaneleri - SİNA ÖZEL Sağlık Hizmetleri A.ş</x:v>
      </x:c>
      <x:c r="G102" s="25" t="str">
        <x:v>TRY</x:v>
      </x:c>
      <x:c r="H102" s="25" t="str">
        <x:v>Doktor - Bilinirlik Kampanyası - Çekirge</x:v>
      </x:c>
      <x:c r="I102" s="25" t="str">
        <x:v>​120255763855030399</x:v>
      </x:c>
      <x:c r="J102" s="25" t="str">
        <x:v>ACTIVE</x:v>
      </x:c>
      <x:c r="K102" s="25" t="str">
        <x:v>çekirge - Sühendan Benderli</x:v>
      </x:c>
      <x:c r="L102" s="25" t="str">
        <x:v>​120255765396550399</x:v>
      </x:c>
      <x:c r="M102" s="25" t="str">
        <x:v>ACTIVE</x:v>
      </x:c>
      <x:c r="N102" s="25" t="str">
        <x:v>REACH</x:v>
      </x:c>
      <x:c r="O102" s="27" t="n">
        <x:v>0</x:v>
      </x:c>
      <x:c r="P102" s="27" t="n">
        <x:v>0</x:v>
      </x:c>
      <x:c r="Q102" s="27" t="n">
        <x:v>100</x:v>
      </x:c>
      <x:c r="R102" s="27" t="n">
        <x:v>0</x:v>
      </x:c>
      <x:c r="S102" s="27" t="n">
        <x:v>448.33</x:v>
      </x:c>
      <x:c r="T102" s="28" t="n">
        <x:v>50057</x:v>
      </x:c>
      <x:c r="U102" s="28" t="n">
        <x:v>46971</x:v>
      </x:c>
      <x:c r="V102" s="28" t="n">
        <x:v>37</x:v>
      </x:c>
      <x:c r="W102" s="28" t="n">
        <x:v>0</x:v>
      </x:c>
      <x:c r="X102" s="28" t="n">
        <x:v>0</x:v>
      </x:c>
      <x:c r="Y102" s="28" t="n">
        <x:v>0</x:v>
      </x:c>
      <x:c r="Z102" s="28" t="n">
        <x:v>0</x:v>
      </x:c>
      <x:c r="AA102" s="28" t="n">
        <x:v>3221</x:v>
      </x:c>
    </x:row>
    <x:row r="103">
      <x:c r="A103" s="25" t="str">
        <x:v>Temmuz 2026</x:v>
      </x:c>
      <x:c r="B103" s="25" t="str">
        <x:v>Yerli</x:v>
      </x:c>
      <x:c r="C103" s="25" t="str">
        <x:v>Türkçe</x:v>
      </x:c>
      <x:c r="D103" s="25" t="str">
        <x:v>Bilinirlik / İzlenme / Trafik</x:v>
      </x:c>
      <x:c r="E103" s="25" t="str">
        <x:v>Doktor Kampanyası</x:v>
      </x:c>
      <x:c r="F103" s="25" t="str">
        <x:v>Doruk Hastaneleri - SİNA ÖZEL Sağlık Hizmetleri A.ş</x:v>
      </x:c>
      <x:c r="G103" s="25" t="str">
        <x:v>TRY</x:v>
      </x:c>
      <x:c r="H103" s="25" t="str">
        <x:v>Doktor - Bilinirlik Kampanyası - Çekirge</x:v>
      </x:c>
      <x:c r="I103" s="25" t="str">
        <x:v>​120255763855030399</x:v>
      </x:c>
      <x:c r="J103" s="25" t="str">
        <x:v>ACTIVE</x:v>
      </x:c>
      <x:c r="K103" s="25" t="str">
        <x:v>çekirge - Tuncay Özgünay</x:v>
      </x:c>
      <x:c r="L103" s="25" t="str">
        <x:v>​120255765397250399</x:v>
      </x:c>
      <x:c r="M103" s="25" t="str">
        <x:v>ACTIVE</x:v>
      </x:c>
      <x:c r="N103" s="25" t="str">
        <x:v>REACH</x:v>
      </x:c>
      <x:c r="O103" s="27" t="n">
        <x:v>0</x:v>
      </x:c>
      <x:c r="P103" s="27" t="n">
        <x:v>0</x:v>
      </x:c>
      <x:c r="Q103" s="27" t="n">
        <x:v>100</x:v>
      </x:c>
      <x:c r="R103" s="27" t="n">
        <x:v>0</x:v>
      </x:c>
      <x:c r="S103" s="27" t="n">
        <x:v>557.04</x:v>
      </x:c>
      <x:c r="T103" s="28" t="n">
        <x:v>55884</x:v>
      </x:c>
      <x:c r="U103" s="28" t="n">
        <x:v>48043</x:v>
      </x:c>
      <x:c r="V103" s="28" t="n">
        <x:v>31</x:v>
      </x:c>
      <x:c r="W103" s="28" t="n">
        <x:v>0</x:v>
      </x:c>
      <x:c r="X103" s="28" t="n">
        <x:v>0</x:v>
      </x:c>
      <x:c r="Y103" s="28" t="n">
        <x:v>0</x:v>
      </x:c>
      <x:c r="Z103" s="28" t="n">
        <x:v>0</x:v>
      </x:c>
      <x:c r="AA103" s="28" t="n">
        <x:v>2256</x:v>
      </x:c>
    </x:row>
    <x:row r="104">
      <x:c r="A104" s="25" t="str">
        <x:v>Ağustos 2026</x:v>
      </x:c>
      <x:c r="B104" s="25" t="str">
        <x:v>Yerli</x:v>
      </x:c>
      <x:c r="C104" s="25" t="str">
        <x:v>Türkçe</x:v>
      </x:c>
      <x:c r="D104" s="25" t="str">
        <x:v>Bilinirlik / İzlenme / Trafik</x:v>
      </x:c>
      <x:c r="E104" s="25" t="str">
        <x:v>Doktor Kampanyası</x:v>
      </x:c>
      <x:c r="F104" s="25" t="str">
        <x:v>Doruk Hastaneleri - SİNA ÖZEL Sağlık Hizmetleri A.ş</x:v>
      </x:c>
      <x:c r="G104" s="25" t="str">
        <x:v>TRY</x:v>
      </x:c>
      <x:c r="H104" s="25" t="str">
        <x:v>Doktor - Bilinirlik Kampanyası - Çekirge</x:v>
      </x:c>
      <x:c r="I104" s="25" t="str">
        <x:v>​120255763855030399</x:v>
      </x:c>
      <x:c r="J104" s="25" t="str">
        <x:v>ACTIVE</x:v>
      </x:c>
      <x:c r="K104" s="25" t="str">
        <x:v>çekirge - Tuncay Özgünay</x:v>
      </x:c>
      <x:c r="L104" s="25" t="str">
        <x:v>​120255765397250399</x:v>
      </x:c>
      <x:c r="M104" s="25" t="str">
        <x:v>ACTIVE</x:v>
      </x:c>
      <x:c r="N104" s="25" t="str">
        <x:v>REACH</x:v>
      </x:c>
      <x:c r="O104" s="27" t="n">
        <x:v>0</x:v>
      </x:c>
      <x:c r="P104" s="27" t="n">
        <x:v>0</x:v>
      </x:c>
      <x:c r="Q104" s="27" t="n">
        <x:v>100</x:v>
      </x:c>
      <x:c r="R104" s="27" t="n">
        <x:v>0</x:v>
      </x:c>
      <x:c r="S104" s="27" t="n">
        <x:v>460.22</x:v>
      </x:c>
      <x:c r="T104" s="28" t="n">
        <x:v>50921</x:v>
      </x:c>
      <x:c r="U104" s="28" t="n">
        <x:v>48662</x:v>
      </x:c>
      <x:c r="V104" s="28" t="n">
        <x:v>23</x:v>
      </x:c>
      <x:c r="W104" s="28" t="n">
        <x:v>0</x:v>
      </x:c>
      <x:c r="X104" s="28" t="n">
        <x:v>0</x:v>
      </x:c>
      <x:c r="Y104" s="28" t="n">
        <x:v>0</x:v>
      </x:c>
      <x:c r="Z104" s="28" t="n">
        <x:v>0</x:v>
      </x:c>
      <x:c r="AA104" s="28" t="n">
        <x:v>2306</x:v>
      </x:c>
    </x:row>
    <x:row r="105">
      <x:c r="A105" s="25" t="str">
        <x:v>Temmuz 2026</x:v>
      </x:c>
      <x:c r="B105" s="25" t="str">
        <x:v>Yerli</x:v>
      </x:c>
      <x:c r="C105" s="25" t="str">
        <x:v>Türkçe</x:v>
      </x:c>
      <x:c r="D105" s="25" t="str">
        <x:v>Bilinirlik / İzlenme / Trafik</x:v>
      </x:c>
      <x:c r="E105" s="25" t="str">
        <x:v>Doktor Kampanyası</x:v>
      </x:c>
      <x:c r="F105" s="25" t="str">
        <x:v>Doruk Hastaneleri - SİNA ÖZEL Sağlık Hizmetleri A.ş</x:v>
      </x:c>
      <x:c r="G105" s="25" t="str">
        <x:v>TRY</x:v>
      </x:c>
      <x:c r="H105" s="25" t="str">
        <x:v>Doktor - Bilinirlik Kampanyası - Nilüfer</x:v>
      </x:c>
      <x:c r="I105" s="25" t="str">
        <x:v>​120249061996540399</x:v>
      </x:c>
      <x:c r="J105" s="25" t="str">
        <x:v>ACTIVE</x:v>
      </x:c>
      <x:c r="K105" s="25" t="str">
        <x:v>nilüfer - Abdullah Şimşek</x:v>
      </x:c>
      <x:c r="L105" s="25" t="str">
        <x:v>​120250028825440399</x:v>
      </x:c>
      <x:c r="M105" s="25" t="str">
        <x:v>ACTIVE</x:v>
      </x:c>
      <x:c r="N105" s="25" t="str">
        <x:v>REACH</x:v>
      </x:c>
      <x:c r="O105" s="27" t="n">
        <x:v>0</x:v>
      </x:c>
      <x:c r="P105" s="27" t="n">
        <x:v>0</x:v>
      </x:c>
      <x:c r="Q105" s="27" t="n">
        <x:v>100</x:v>
      </x:c>
      <x:c r="R105" s="27" t="n">
        <x:v>0</x:v>
      </x:c>
      <x:c r="S105" s="27" t="n">
        <x:v>2326.46</x:v>
      </x:c>
      <x:c r="T105" s="28" t="n">
        <x:v>258752</x:v>
      </x:c>
      <x:c r="U105" s="28" t="n">
        <x:v>248405</x:v>
      </x:c>
      <x:c r="V105" s="28" t="n">
        <x:v>101</x:v>
      </x:c>
      <x:c r="W105" s="28" t="n">
        <x:v>0</x:v>
      </x:c>
      <x:c r="X105" s="28" t="n">
        <x:v>0</x:v>
      </x:c>
      <x:c r="Y105" s="28" t="n">
        <x:v>0</x:v>
      </x:c>
      <x:c r="Z105" s="28" t="n">
        <x:v>0</x:v>
      </x:c>
      <x:c r="AA105" s="28" t="n">
        <x:v>9468</x:v>
      </x:c>
    </x:row>
    <x:row r="106">
      <x:c r="A106" s="25" t="str">
        <x:v>Ağustos 2026</x:v>
      </x:c>
      <x:c r="B106" s="25" t="str">
        <x:v>Yerli</x:v>
      </x:c>
      <x:c r="C106" s="25" t="str">
        <x:v>Türkçe</x:v>
      </x:c>
      <x:c r="D106" s="25" t="str">
        <x:v>Bilinirlik / İzlenme / Trafik</x:v>
      </x:c>
      <x:c r="E106" s="25" t="str">
        <x:v>Doktor Kampanyası</x:v>
      </x:c>
      <x:c r="F106" s="25" t="str">
        <x:v>Doruk Hastaneleri - SİNA ÖZEL Sağlık Hizmetleri A.ş</x:v>
      </x:c>
      <x:c r="G106" s="25" t="str">
        <x:v>TRY</x:v>
      </x:c>
      <x:c r="H106" s="25" t="str">
        <x:v>Doktor - Bilinirlik Kampanyası - Nilüfer</x:v>
      </x:c>
      <x:c r="I106" s="25" t="str">
        <x:v>​120249061996540399</x:v>
      </x:c>
      <x:c r="J106" s="25" t="str">
        <x:v>ACTIVE</x:v>
      </x:c>
      <x:c r="K106" s="25" t="str">
        <x:v>nilüfer - Abdullah Şimşek</x:v>
      </x:c>
      <x:c r="L106" s="25" t="str">
        <x:v>​120250028825440399</x:v>
      </x:c>
      <x:c r="M106" s="25" t="str">
        <x:v>ACTIVE</x:v>
      </x:c>
      <x:c r="N106" s="25" t="str">
        <x:v>REACH</x:v>
      </x:c>
      <x:c r="O106" s="27" t="n">
        <x:v>0</x:v>
      </x:c>
      <x:c r="P106" s="27" t="n">
        <x:v>0</x:v>
      </x:c>
      <x:c r="Q106" s="27" t="n">
        <x:v>100</x:v>
      </x:c>
      <x:c r="R106" s="27" t="n">
        <x:v>0</x:v>
      </x:c>
      <x:c r="S106" s="27" t="n">
        <x:v>472.95</x:v>
      </x:c>
      <x:c r="T106" s="28" t="n">
        <x:v>56053</x:v>
      </x:c>
      <x:c r="U106" s="28" t="n">
        <x:v>52553</x:v>
      </x:c>
      <x:c r="V106" s="28" t="n">
        <x:v>35</x:v>
      </x:c>
      <x:c r="W106" s="28" t="n">
        <x:v>0</x:v>
      </x:c>
      <x:c r="X106" s="28" t="n">
        <x:v>0</x:v>
      </x:c>
      <x:c r="Y106" s="28" t="n">
        <x:v>0</x:v>
      </x:c>
      <x:c r="Z106" s="28" t="n">
        <x:v>0</x:v>
      </x:c>
      <x:c r="AA106" s="28" t="n">
        <x:v>1895</x:v>
      </x:c>
    </x:row>
    <x:row r="107">
      <x:c r="A107" s="25" t="str">
        <x:v>Temmuz 2026</x:v>
      </x:c>
      <x:c r="B107" s="25" t="str">
        <x:v>Yerli</x:v>
      </x:c>
      <x:c r="C107" s="25" t="str">
        <x:v>Türkçe</x:v>
      </x:c>
      <x:c r="D107" s="25" t="str">
        <x:v>Bilinirlik / İzlenme / Trafik</x:v>
      </x:c>
      <x:c r="E107" s="25" t="str">
        <x:v>Doktor Kampanyası</x:v>
      </x:c>
      <x:c r="F107" s="25" t="str">
        <x:v>Doruk Hastaneleri - SİNA ÖZEL Sağlık Hizmetleri A.ş</x:v>
      </x:c>
      <x:c r="G107" s="25" t="str">
        <x:v>TRY</x:v>
      </x:c>
      <x:c r="H107" s="25" t="str">
        <x:v>Doktor - Bilinirlik Kampanyası - Nilüfer</x:v>
      </x:c>
      <x:c r="I107" s="25" t="str">
        <x:v>​120249061996540399</x:v>
      </x:c>
      <x:c r="J107" s="25" t="str">
        <x:v>ACTIVE</x:v>
      </x:c>
      <x:c r="K107" s="25" t="str">
        <x:v>nilüfer - Abdülkadir GÖĞREMİŞ</x:v>
      </x:c>
      <x:c r="L107" s="25" t="str">
        <x:v>​120249678072310399</x:v>
      </x:c>
      <x:c r="M107" s="25" t="str">
        <x:v>ACTIVE</x:v>
      </x:c>
      <x:c r="N107" s="25" t="str">
        <x:v>REACH</x:v>
      </x:c>
      <x:c r="O107" s="27" t="n">
        <x:v>0</x:v>
      </x:c>
      <x:c r="P107" s="27" t="n">
        <x:v>0</x:v>
      </x:c>
      <x:c r="Q107" s="27" t="n">
        <x:v>100</x:v>
      </x:c>
      <x:c r="R107" s="27" t="n">
        <x:v>0</x:v>
      </x:c>
      <x:c r="S107" s="27" t="n">
        <x:v>2342.16</x:v>
      </x:c>
      <x:c r="T107" s="28" t="n">
        <x:v>260089</x:v>
      </x:c>
      <x:c r="U107" s="28" t="n">
        <x:v>222426</x:v>
      </x:c>
      <x:c r="V107" s="28" t="n">
        <x:v>185</x:v>
      </x:c>
      <x:c r="W107" s="28" t="n">
        <x:v>0</x:v>
      </x:c>
      <x:c r="X107" s="28" t="n">
        <x:v>0</x:v>
      </x:c>
      <x:c r="Y107" s="28" t="n">
        <x:v>0</x:v>
      </x:c>
      <x:c r="Z107" s="28" t="n">
        <x:v>0</x:v>
      </x:c>
      <x:c r="AA107" s="28" t="n">
        <x:v>10565</x:v>
      </x:c>
    </x:row>
    <x:row r="108">
      <x:c r="A108" s="25" t="str">
        <x:v>Ağustos 2026</x:v>
      </x:c>
      <x:c r="B108" s="25" t="str">
        <x:v>Yerli</x:v>
      </x:c>
      <x:c r="C108" s="25" t="str">
        <x:v>Türkçe</x:v>
      </x:c>
      <x:c r="D108" s="25" t="str">
        <x:v>Bilinirlik / İzlenme / Trafik</x:v>
      </x:c>
      <x:c r="E108" s="25" t="str">
        <x:v>Doktor Kampanyası</x:v>
      </x:c>
      <x:c r="F108" s="25" t="str">
        <x:v>Doruk Hastaneleri - SİNA ÖZEL Sağlık Hizmetleri A.ş</x:v>
      </x:c>
      <x:c r="G108" s="25" t="str">
        <x:v>TRY</x:v>
      </x:c>
      <x:c r="H108" s="25" t="str">
        <x:v>Doktor - Bilinirlik Kampanyası - Nilüfer</x:v>
      </x:c>
      <x:c r="I108" s="25" t="str">
        <x:v>​120249061996540399</x:v>
      </x:c>
      <x:c r="J108" s="25" t="str">
        <x:v>ACTIVE</x:v>
      </x:c>
      <x:c r="K108" s="25" t="str">
        <x:v>nilüfer - Abdülkadir GÖĞREMİŞ</x:v>
      </x:c>
      <x:c r="L108" s="25" t="str">
        <x:v>​120249678072310399</x:v>
      </x:c>
      <x:c r="M108" s="25" t="str">
        <x:v>ACTIVE</x:v>
      </x:c>
      <x:c r="N108" s="25" t="str">
        <x:v>REACH</x:v>
      </x:c>
      <x:c r="O108" s="27" t="n">
        <x:v>0</x:v>
      </x:c>
      <x:c r="P108" s="27" t="n">
        <x:v>0</x:v>
      </x:c>
      <x:c r="Q108" s="27" t="n">
        <x:v>100</x:v>
      </x:c>
      <x:c r="R108" s="27" t="n">
        <x:v>0</x:v>
      </x:c>
      <x:c r="S108" s="27" t="n">
        <x:v>452.1</x:v>
      </x:c>
      <x:c r="T108" s="28" t="n">
        <x:v>54919</x:v>
      </x:c>
      <x:c r="U108" s="28" t="n">
        <x:v>52811</x:v>
      </x:c>
      <x:c r="V108" s="28" t="n">
        <x:v>53</x:v>
      </x:c>
      <x:c r="W108" s="28" t="n">
        <x:v>0</x:v>
      </x:c>
      <x:c r="X108" s="28" t="n">
        <x:v>0</x:v>
      </x:c>
      <x:c r="Y108" s="28" t="n">
        <x:v>0</x:v>
      </x:c>
      <x:c r="Z108" s="28" t="n">
        <x:v>0</x:v>
      </x:c>
      <x:c r="AA108" s="28" t="n">
        <x:v>2994</x:v>
      </x:c>
    </x:row>
    <x:row r="109">
      <x:c r="A109" s="25" t="str">
        <x:v>Temmuz 2026</x:v>
      </x:c>
      <x:c r="B109" s="25" t="str">
        <x:v>Yerli</x:v>
      </x:c>
      <x:c r="C109" s="25" t="str">
        <x:v>Türkçe</x:v>
      </x:c>
      <x:c r="D109" s="25" t="str">
        <x:v>Bilinirlik / İzlenme / Trafik</x:v>
      </x:c>
      <x:c r="E109" s="25" t="str">
        <x:v>Doktor Kampanyası</x:v>
      </x:c>
      <x:c r="F109" s="25" t="str">
        <x:v>Doruk Hastaneleri - SİNA ÖZEL Sağlık Hizmetleri A.ş</x:v>
      </x:c>
      <x:c r="G109" s="25" t="str">
        <x:v>TRY</x:v>
      </x:c>
      <x:c r="H109" s="25" t="str">
        <x:v>Doktor - Bilinirlik Kampanyası - Nilüfer</x:v>
      </x:c>
      <x:c r="I109" s="25" t="str">
        <x:v>​120249061996540399</x:v>
      </x:c>
      <x:c r="J109" s="25" t="str">
        <x:v>ACTIVE</x:v>
      </x:c>
      <x:c r="K109" s="25" t="str">
        <x:v>nilüfer - Ahmet Seçkin Çetinkaya</x:v>
      </x:c>
      <x:c r="L109" s="25" t="str">
        <x:v>​120252512452820399</x:v>
      </x:c>
      <x:c r="M109" s="25" t="str">
        <x:v>ACTIVE</x:v>
      </x:c>
      <x:c r="N109" s="25" t="str">
        <x:v>REACH</x:v>
      </x:c>
      <x:c r="O109" s="27" t="n">
        <x:v>0</x:v>
      </x:c>
      <x:c r="P109" s="27" t="n">
        <x:v>0</x:v>
      </x:c>
      <x:c r="Q109" s="27" t="n">
        <x:v>100</x:v>
      </x:c>
      <x:c r="R109" s="27" t="n">
        <x:v>0</x:v>
      </x:c>
      <x:c r="S109" s="27" t="n">
        <x:v>2234.99</x:v>
      </x:c>
      <x:c r="T109" s="28" t="n">
        <x:v>255047</x:v>
      </x:c>
      <x:c r="U109" s="28" t="n">
        <x:v>199396</x:v>
      </x:c>
      <x:c r="V109" s="28" t="n">
        <x:v>341</x:v>
      </x:c>
      <x:c r="W109" s="28" t="n">
        <x:v>0</x:v>
      </x:c>
      <x:c r="X109" s="28" t="n">
        <x:v>0</x:v>
      </x:c>
      <x:c r="Y109" s="28" t="n">
        <x:v>0</x:v>
      </x:c>
      <x:c r="Z109" s="28" t="n">
        <x:v>0</x:v>
      </x:c>
      <x:c r="AA109" s="28" t="n">
        <x:v>16301</x:v>
      </x:c>
    </x:row>
    <x:row r="110">
      <x:c r="A110" s="25" t="str">
        <x:v>Ağustos 2026</x:v>
      </x:c>
      <x:c r="B110" s="25" t="str">
        <x:v>Yerli</x:v>
      </x:c>
      <x:c r="C110" s="25" t="str">
        <x:v>Türkçe</x:v>
      </x:c>
      <x:c r="D110" s="25" t="str">
        <x:v>Bilinirlik / İzlenme / Trafik</x:v>
      </x:c>
      <x:c r="E110" s="25" t="str">
        <x:v>Doktor Kampanyası</x:v>
      </x:c>
      <x:c r="F110" s="25" t="str">
        <x:v>Doruk Hastaneleri - SİNA ÖZEL Sağlık Hizmetleri A.ş</x:v>
      </x:c>
      <x:c r="G110" s="25" t="str">
        <x:v>TRY</x:v>
      </x:c>
      <x:c r="H110" s="25" t="str">
        <x:v>Doktor - Bilinirlik Kampanyası - Nilüfer</x:v>
      </x:c>
      <x:c r="I110" s="25" t="str">
        <x:v>​120249061996540399</x:v>
      </x:c>
      <x:c r="J110" s="25" t="str">
        <x:v>ACTIVE</x:v>
      </x:c>
      <x:c r="K110" s="25" t="str">
        <x:v>nilüfer - Ahmet Seçkin Çetinkaya</x:v>
      </x:c>
      <x:c r="L110" s="25" t="str">
        <x:v>​120252512452820399</x:v>
      </x:c>
      <x:c r="M110" s="25" t="str">
        <x:v>ACTIVE</x:v>
      </x:c>
      <x:c r="N110" s="25" t="str">
        <x:v>REACH</x:v>
      </x:c>
      <x:c r="O110" s="27" t="n">
        <x:v>0</x:v>
      </x:c>
      <x:c r="P110" s="27" t="n">
        <x:v>0</x:v>
      </x:c>
      <x:c r="Q110" s="27" t="n">
        <x:v>100</x:v>
      </x:c>
      <x:c r="R110" s="27" t="n">
        <x:v>0</x:v>
      </x:c>
      <x:c r="S110" s="27" t="n">
        <x:v>451.99</x:v>
      </x:c>
      <x:c r="T110" s="28" t="n">
        <x:v>55525</x:v>
      </x:c>
      <x:c r="U110" s="28" t="n">
        <x:v>51261</x:v>
      </x:c>
      <x:c r="V110" s="28" t="n">
        <x:v>89</x:v>
      </x:c>
      <x:c r="W110" s="28" t="n">
        <x:v>0</x:v>
      </x:c>
      <x:c r="X110" s="28" t="n">
        <x:v>0</x:v>
      </x:c>
      <x:c r="Y110" s="28" t="n">
        <x:v>0</x:v>
      </x:c>
      <x:c r="Z110" s="28" t="n">
        <x:v>1</x:v>
      </x:c>
      <x:c r="AA110" s="28" t="n">
        <x:v>4250</x:v>
      </x:c>
    </x:row>
    <x:row r="111">
      <x:c r="A111" s="25" t="str">
        <x:v>Temmuz 2026</x:v>
      </x:c>
      <x:c r="B111" s="25" t="str">
        <x:v>Yerli</x:v>
      </x:c>
      <x:c r="C111" s="25" t="str">
        <x:v>Türkçe</x:v>
      </x:c>
      <x:c r="D111" s="25" t="str">
        <x:v>Bilinirlik / İzlenme / Trafik</x:v>
      </x:c>
      <x:c r="E111" s="25" t="str">
        <x:v>Doktor Kampanyası</x:v>
      </x:c>
      <x:c r="F111" s="25" t="str">
        <x:v>Doruk Hastaneleri - SİNA ÖZEL Sağlık Hizmetleri A.ş</x:v>
      </x:c>
      <x:c r="G111" s="25" t="str">
        <x:v>TRY</x:v>
      </x:c>
      <x:c r="H111" s="25" t="str">
        <x:v>Doktor - Bilinirlik Kampanyası - Nilüfer</x:v>
      </x:c>
      <x:c r="I111" s="25" t="str">
        <x:v>​120249061996540399</x:v>
      </x:c>
      <x:c r="J111" s="25" t="str">
        <x:v>ACTIVE</x:v>
      </x:c>
      <x:c r="K111" s="25" t="str">
        <x:v>nilüfer - Ahmet TURGUT</x:v>
      </x:c>
      <x:c r="L111" s="25" t="str">
        <x:v>​120249678142970399</x:v>
      </x:c>
      <x:c r="M111" s="25" t="str">
        <x:v>ACTIVE</x:v>
      </x:c>
      <x:c r="N111" s="25" t="str">
        <x:v>REACH</x:v>
      </x:c>
      <x:c r="O111" s="27" t="n">
        <x:v>0</x:v>
      </x:c>
      <x:c r="P111" s="27" t="n">
        <x:v>0</x:v>
      </x:c>
      <x:c r="Q111" s="27" t="n">
        <x:v>100</x:v>
      </x:c>
      <x:c r="R111" s="27" t="n">
        <x:v>0</x:v>
      </x:c>
      <x:c r="S111" s="27" t="n">
        <x:v>2374.44</x:v>
      </x:c>
      <x:c r="T111" s="28" t="n">
        <x:v>261758</x:v>
      </x:c>
      <x:c r="U111" s="28" t="n">
        <x:v>242498</x:v>
      </x:c>
      <x:c r="V111" s="28" t="n">
        <x:v>100</x:v>
      </x:c>
      <x:c r="W111" s="28" t="n">
        <x:v>0</x:v>
      </x:c>
      <x:c r="X111" s="28" t="n">
        <x:v>0</x:v>
      </x:c>
      <x:c r="Y111" s="28" t="n">
        <x:v>0</x:v>
      </x:c>
      <x:c r="Z111" s="28" t="n">
        <x:v>0</x:v>
      </x:c>
      <x:c r="AA111" s="28" t="n">
        <x:v>8688</x:v>
      </x:c>
    </x:row>
    <x:row r="112">
      <x:c r="A112" s="25" t="str">
        <x:v>Ağustos 2026</x:v>
      </x:c>
      <x:c r="B112" s="25" t="str">
        <x:v>Yerli</x:v>
      </x:c>
      <x:c r="C112" s="25" t="str">
        <x:v>Türkçe</x:v>
      </x:c>
      <x:c r="D112" s="25" t="str">
        <x:v>Bilinirlik / İzlenme / Trafik</x:v>
      </x:c>
      <x:c r="E112" s="25" t="str">
        <x:v>Doktor Kampanyası</x:v>
      </x:c>
      <x:c r="F112" s="25" t="str">
        <x:v>Doruk Hastaneleri - SİNA ÖZEL Sağlık Hizmetleri A.ş</x:v>
      </x:c>
      <x:c r="G112" s="25" t="str">
        <x:v>TRY</x:v>
      </x:c>
      <x:c r="H112" s="25" t="str">
        <x:v>Doktor - Bilinirlik Kampanyası - Nilüfer</x:v>
      </x:c>
      <x:c r="I112" s="25" t="str">
        <x:v>​120249061996540399</x:v>
      </x:c>
      <x:c r="J112" s="25" t="str">
        <x:v>ACTIVE</x:v>
      </x:c>
      <x:c r="K112" s="25" t="str">
        <x:v>nilüfer - Ahmet TURGUT</x:v>
      </x:c>
      <x:c r="L112" s="25" t="str">
        <x:v>​120249678142970399</x:v>
      </x:c>
      <x:c r="M112" s="25" t="str">
        <x:v>ACTIVE</x:v>
      </x:c>
      <x:c r="N112" s="25" t="str">
        <x:v>REACH</x:v>
      </x:c>
      <x:c r="O112" s="27" t="n">
        <x:v>0</x:v>
      </x:c>
      <x:c r="P112" s="27" t="n">
        <x:v>0</x:v>
      </x:c>
      <x:c r="Q112" s="27" t="n">
        <x:v>100</x:v>
      </x:c>
      <x:c r="R112" s="27" t="n">
        <x:v>0</x:v>
      </x:c>
      <x:c r="S112" s="27" t="n">
        <x:v>458.43</x:v>
      </x:c>
      <x:c r="T112" s="28" t="n">
        <x:v>54355</x:v>
      </x:c>
      <x:c r="U112" s="28" t="n">
        <x:v>53661</x:v>
      </x:c>
      <x:c r="V112" s="28" t="n">
        <x:v>47</x:v>
      </x:c>
      <x:c r="W112" s="28" t="n">
        <x:v>0</x:v>
      </x:c>
      <x:c r="X112" s="28" t="n">
        <x:v>0</x:v>
      </x:c>
      <x:c r="Y112" s="28" t="n">
        <x:v>0</x:v>
      </x:c>
      <x:c r="Z112" s="28" t="n">
        <x:v>0</x:v>
      </x:c>
      <x:c r="AA112" s="28" t="n">
        <x:v>2453</x:v>
      </x:c>
    </x:row>
    <x:row r="113">
      <x:c r="A113" s="25" t="str">
        <x:v>Temmuz 2026</x:v>
      </x:c>
      <x:c r="B113" s="25" t="str">
        <x:v>Yerli</x:v>
      </x:c>
      <x:c r="C113" s="25" t="str">
        <x:v>Türkçe</x:v>
      </x:c>
      <x:c r="D113" s="25" t="str">
        <x:v>Bilinirlik / İzlenme / Trafik</x:v>
      </x:c>
      <x:c r="E113" s="25" t="str">
        <x:v>Doktor Kampanyası</x:v>
      </x:c>
      <x:c r="F113" s="25" t="str">
        <x:v>Doruk Hastaneleri - SİNA ÖZEL Sağlık Hizmetleri A.ş</x:v>
      </x:c>
      <x:c r="G113" s="25" t="str">
        <x:v>TRY</x:v>
      </x:c>
      <x:c r="H113" s="25" t="str">
        <x:v>Doktor - Bilinirlik Kampanyası - Nilüfer</x:v>
      </x:c>
      <x:c r="I113" s="25" t="str">
        <x:v>​120249061996540399</x:v>
      </x:c>
      <x:c r="J113" s="25" t="str">
        <x:v>ACTIVE</x:v>
      </x:c>
      <x:c r="K113" s="25" t="str">
        <x:v>nilüfer - Atıf Mutlu</x:v>
      </x:c>
      <x:c r="L113" s="25" t="str">
        <x:v>​120249675908280399</x:v>
      </x:c>
      <x:c r="M113" s="25" t="str">
        <x:v>ACTIVE</x:v>
      </x:c>
      <x:c r="N113" s="25" t="str">
        <x:v>REACH</x:v>
      </x:c>
      <x:c r="O113" s="27" t="n">
        <x:v>0</x:v>
      </x:c>
      <x:c r="P113" s="27" t="n">
        <x:v>0</x:v>
      </x:c>
      <x:c r="Q113" s="27" t="n">
        <x:v>100</x:v>
      </x:c>
      <x:c r="R113" s="27" t="n">
        <x:v>0</x:v>
      </x:c>
      <x:c r="S113" s="27" t="n">
        <x:v>2241.39</x:v>
      </x:c>
      <x:c r="T113" s="28" t="n">
        <x:v>245132</x:v>
      </x:c>
      <x:c r="U113" s="28" t="n">
        <x:v>146933</x:v>
      </x:c>
      <x:c r="V113" s="28" t="n">
        <x:v>244</x:v>
      </x:c>
      <x:c r="W113" s="28" t="n">
        <x:v>0</x:v>
      </x:c>
      <x:c r="X113" s="28" t="n">
        <x:v>0</x:v>
      </x:c>
      <x:c r="Y113" s="28" t="n">
        <x:v>0</x:v>
      </x:c>
      <x:c r="Z113" s="28" t="n">
        <x:v>0</x:v>
      </x:c>
      <x:c r="AA113" s="28" t="n">
        <x:v>10862</x:v>
      </x:c>
    </x:row>
    <x:row r="114">
      <x:c r="A114" s="25" t="str">
        <x:v>Ağustos 2026</x:v>
      </x:c>
      <x:c r="B114" s="25" t="str">
        <x:v>Yerli</x:v>
      </x:c>
      <x:c r="C114" s="25" t="str">
        <x:v>Türkçe</x:v>
      </x:c>
      <x:c r="D114" s="25" t="str">
        <x:v>Bilinirlik / İzlenme / Trafik</x:v>
      </x:c>
      <x:c r="E114" s="25" t="str">
        <x:v>Doktor Kampanyası</x:v>
      </x:c>
      <x:c r="F114" s="25" t="str">
        <x:v>Doruk Hastaneleri - SİNA ÖZEL Sağlık Hizmetleri A.ş</x:v>
      </x:c>
      <x:c r="G114" s="25" t="str">
        <x:v>TRY</x:v>
      </x:c>
      <x:c r="H114" s="25" t="str">
        <x:v>Doktor - Bilinirlik Kampanyası - Nilüfer</x:v>
      </x:c>
      <x:c r="I114" s="25" t="str">
        <x:v>​120249061996540399</x:v>
      </x:c>
      <x:c r="J114" s="25" t="str">
        <x:v>ACTIVE</x:v>
      </x:c>
      <x:c r="K114" s="25" t="str">
        <x:v>nilüfer - Atıf Mutlu</x:v>
      </x:c>
      <x:c r="L114" s="25" t="str">
        <x:v>​120249675908280399</x:v>
      </x:c>
      <x:c r="M114" s="25" t="str">
        <x:v>ACTIVE</x:v>
      </x:c>
      <x:c r="N114" s="25" t="str">
        <x:v>REACH</x:v>
      </x:c>
      <x:c r="O114" s="27" t="n">
        <x:v>0</x:v>
      </x:c>
      <x:c r="P114" s="27" t="n">
        <x:v>0</x:v>
      </x:c>
      <x:c r="Q114" s="27" t="n">
        <x:v>100</x:v>
      </x:c>
      <x:c r="R114" s="27" t="n">
        <x:v>0</x:v>
      </x:c>
      <x:c r="S114" s="27" t="n">
        <x:v>458.31</x:v>
      </x:c>
      <x:c r="T114" s="28" t="n">
        <x:v>51773</x:v>
      </x:c>
      <x:c r="U114" s="28" t="n">
        <x:v>46910</x:v>
      </x:c>
      <x:c r="V114" s="28" t="n">
        <x:v>64</x:v>
      </x:c>
      <x:c r="W114" s="28" t="n">
        <x:v>0</x:v>
      </x:c>
      <x:c r="X114" s="28" t="n">
        <x:v>0</x:v>
      </x:c>
      <x:c r="Y114" s="28" t="n">
        <x:v>0</x:v>
      </x:c>
      <x:c r="Z114" s="28" t="n">
        <x:v>0</x:v>
      </x:c>
      <x:c r="AA114" s="28" t="n">
        <x:v>2144</x:v>
      </x:c>
    </x:row>
    <x:row r="115">
      <x:c r="A115" s="25" t="str">
        <x:v>Temmuz 2026</x:v>
      </x:c>
      <x:c r="B115" s="25" t="str">
        <x:v>Yerli</x:v>
      </x:c>
      <x:c r="C115" s="25" t="str">
        <x:v>Türkçe</x:v>
      </x:c>
      <x:c r="D115" s="25" t="str">
        <x:v>Bilinirlik / İzlenme / Trafik</x:v>
      </x:c>
      <x:c r="E115" s="25" t="str">
        <x:v>Doktor Kampanyası</x:v>
      </x:c>
      <x:c r="F115" s="25" t="str">
        <x:v>Doruk Hastaneleri - SİNA ÖZEL Sağlık Hizmetleri A.ş</x:v>
      </x:c>
      <x:c r="G115" s="25" t="str">
        <x:v>TRY</x:v>
      </x:c>
      <x:c r="H115" s="25" t="str">
        <x:v>Doktor - Bilinirlik Kampanyası - Nilüfer</x:v>
      </x:c>
      <x:c r="I115" s="25" t="str">
        <x:v>​120249061996540399</x:v>
      </x:c>
      <x:c r="J115" s="25" t="str">
        <x:v>ACTIVE</x:v>
      </x:c>
      <x:c r="K115" s="25" t="str">
        <x:v>nilüfer - Atilla Güray</x:v>
      </x:c>
      <x:c r="L115" s="25" t="str">
        <x:v>​120249678237640399</x:v>
      </x:c>
      <x:c r="M115" s="25" t="str">
        <x:v>ACTIVE</x:v>
      </x:c>
      <x:c r="N115" s="25" t="str">
        <x:v>REACH</x:v>
      </x:c>
      <x:c r="O115" s="27" t="n">
        <x:v>0</x:v>
      </x:c>
      <x:c r="P115" s="27" t="n">
        <x:v>0</x:v>
      </x:c>
      <x:c r="Q115" s="27" t="n">
        <x:v>100</x:v>
      </x:c>
      <x:c r="R115" s="27" t="n">
        <x:v>0</x:v>
      </x:c>
      <x:c r="S115" s="27" t="n">
        <x:v>2335.57</x:v>
      </x:c>
      <x:c r="T115" s="28" t="n">
        <x:v>258546</x:v>
      </x:c>
      <x:c r="U115" s="28" t="n">
        <x:v>238055</x:v>
      </x:c>
      <x:c r="V115" s="28" t="n">
        <x:v>95</x:v>
      </x:c>
      <x:c r="W115" s="28" t="n">
        <x:v>0</x:v>
      </x:c>
      <x:c r="X115" s="28" t="n">
        <x:v>0</x:v>
      </x:c>
      <x:c r="Y115" s="28" t="n">
        <x:v>0</x:v>
      </x:c>
      <x:c r="Z115" s="28" t="n">
        <x:v>0</x:v>
      </x:c>
      <x:c r="AA115" s="28" t="n">
        <x:v>7729</x:v>
      </x:c>
    </x:row>
    <x:row r="116">
      <x:c r="A116" s="25" t="str">
        <x:v>Ağustos 2026</x:v>
      </x:c>
      <x:c r="B116" s="25" t="str">
        <x:v>Yerli</x:v>
      </x:c>
      <x:c r="C116" s="25" t="str">
        <x:v>Türkçe</x:v>
      </x:c>
      <x:c r="D116" s="25" t="str">
        <x:v>Bilinirlik / İzlenme / Trafik</x:v>
      </x:c>
      <x:c r="E116" s="25" t="str">
        <x:v>Doktor Kampanyası</x:v>
      </x:c>
      <x:c r="F116" s="25" t="str">
        <x:v>Doruk Hastaneleri - SİNA ÖZEL Sağlık Hizmetleri A.ş</x:v>
      </x:c>
      <x:c r="G116" s="25" t="str">
        <x:v>TRY</x:v>
      </x:c>
      <x:c r="H116" s="25" t="str">
        <x:v>Doktor - Bilinirlik Kampanyası - Nilüfer</x:v>
      </x:c>
      <x:c r="I116" s="25" t="str">
        <x:v>​120249061996540399</x:v>
      </x:c>
      <x:c r="J116" s="25" t="str">
        <x:v>ACTIVE</x:v>
      </x:c>
      <x:c r="K116" s="25" t="str">
        <x:v>nilüfer - Atilla Güray</x:v>
      </x:c>
      <x:c r="L116" s="25" t="str">
        <x:v>​120249678237640399</x:v>
      </x:c>
      <x:c r="M116" s="25" t="str">
        <x:v>ACTIVE</x:v>
      </x:c>
      <x:c r="N116" s="25" t="str">
        <x:v>REACH</x:v>
      </x:c>
      <x:c r="O116" s="27" t="n">
        <x:v>0</x:v>
      </x:c>
      <x:c r="P116" s="27" t="n">
        <x:v>0</x:v>
      </x:c>
      <x:c r="Q116" s="27" t="n">
        <x:v>100</x:v>
      </x:c>
      <x:c r="R116" s="27" t="n">
        <x:v>0</x:v>
      </x:c>
      <x:c r="S116" s="27" t="n">
        <x:v>477.23</x:v>
      </x:c>
      <x:c r="T116" s="28" t="n">
        <x:v>56287</x:v>
      </x:c>
      <x:c r="U116" s="28" t="n">
        <x:v>54548</x:v>
      </x:c>
      <x:c r="V116" s="28" t="n">
        <x:v>12</x:v>
      </x:c>
      <x:c r="W116" s="28" t="n">
        <x:v>0</x:v>
      </x:c>
      <x:c r="X116" s="28" t="n">
        <x:v>0</x:v>
      </x:c>
      <x:c r="Y116" s="28" t="n">
        <x:v>0</x:v>
      </x:c>
      <x:c r="Z116" s="28" t="n">
        <x:v>0</x:v>
      </x:c>
      <x:c r="AA116" s="28" t="n">
        <x:v>1705</x:v>
      </x:c>
    </x:row>
    <x:row r="117">
      <x:c r="A117" s="25" t="str">
        <x:v>Temmuz 2026</x:v>
      </x:c>
      <x:c r="B117" s="25" t="str">
        <x:v>Yerli</x:v>
      </x:c>
      <x:c r="C117" s="25" t="str">
        <x:v>Türkçe</x:v>
      </x:c>
      <x:c r="D117" s="25" t="str">
        <x:v>Bilinirlik / İzlenme / Trafik</x:v>
      </x:c>
      <x:c r="E117" s="25" t="str">
        <x:v>Doktor Kampanyası</x:v>
      </x:c>
      <x:c r="F117" s="25" t="str">
        <x:v>Doruk Hastaneleri - SİNA ÖZEL Sağlık Hizmetleri A.ş</x:v>
      </x:c>
      <x:c r="G117" s="25" t="str">
        <x:v>TRY</x:v>
      </x:c>
      <x:c r="H117" s="25" t="str">
        <x:v>Doktor - Bilinirlik Kampanyası - Nilüfer</x:v>
      </x:c>
      <x:c r="I117" s="25" t="str">
        <x:v>​120249061996540399</x:v>
      </x:c>
      <x:c r="J117" s="25" t="str">
        <x:v>ACTIVE</x:v>
      </x:c>
      <x:c r="K117" s="25" t="str">
        <x:v>nilüfer - Ayşenur Kaya</x:v>
      </x:c>
      <x:c r="L117" s="25" t="str">
        <x:v>​120250370320610399</x:v>
      </x:c>
      <x:c r="M117" s="25" t="str">
        <x:v>ACTIVE</x:v>
      </x:c>
      <x:c r="N117" s="25" t="str">
        <x:v>REACH</x:v>
      </x:c>
      <x:c r="O117" s="27" t="n">
        <x:v>0</x:v>
      </x:c>
      <x:c r="P117" s="27" t="n">
        <x:v>0</x:v>
      </x:c>
      <x:c r="Q117" s="27" t="n">
        <x:v>100</x:v>
      </x:c>
      <x:c r="R117" s="27" t="n">
        <x:v>0</x:v>
      </x:c>
      <x:c r="S117" s="27" t="n">
        <x:v>2366.23</x:v>
      </x:c>
      <x:c r="T117" s="28" t="n">
        <x:v>261537</x:v>
      </x:c>
      <x:c r="U117" s="28" t="n">
        <x:v>236108</x:v>
      </x:c>
      <x:c r="V117" s="28" t="n">
        <x:v>123</x:v>
      </x:c>
      <x:c r="W117" s="28" t="n">
        <x:v>0</x:v>
      </x:c>
      <x:c r="X117" s="28" t="n">
        <x:v>0</x:v>
      </x:c>
      <x:c r="Y117" s="28" t="n">
        <x:v>0</x:v>
      </x:c>
      <x:c r="Z117" s="28" t="n">
        <x:v>0</x:v>
      </x:c>
      <x:c r="AA117" s="28" t="n">
        <x:v>8890</x:v>
      </x:c>
    </x:row>
    <x:row r="118">
      <x:c r="A118" s="25" t="str">
        <x:v>Ağustos 2026</x:v>
      </x:c>
      <x:c r="B118" s="25" t="str">
        <x:v>Yerli</x:v>
      </x:c>
      <x:c r="C118" s="25" t="str">
        <x:v>Türkçe</x:v>
      </x:c>
      <x:c r="D118" s="25" t="str">
        <x:v>Bilinirlik / İzlenme / Trafik</x:v>
      </x:c>
      <x:c r="E118" s="25" t="str">
        <x:v>Doktor Kampanyası</x:v>
      </x:c>
      <x:c r="F118" s="25" t="str">
        <x:v>Doruk Hastaneleri - SİNA ÖZEL Sağlık Hizmetleri A.ş</x:v>
      </x:c>
      <x:c r="G118" s="25" t="str">
        <x:v>TRY</x:v>
      </x:c>
      <x:c r="H118" s="25" t="str">
        <x:v>Doktor - Bilinirlik Kampanyası - Nilüfer</x:v>
      </x:c>
      <x:c r="I118" s="25" t="str">
        <x:v>​120249061996540399</x:v>
      </x:c>
      <x:c r="J118" s="25" t="str">
        <x:v>ACTIVE</x:v>
      </x:c>
      <x:c r="K118" s="25" t="str">
        <x:v>nilüfer - Ayşenur Kaya</x:v>
      </x:c>
      <x:c r="L118" s="25" t="str">
        <x:v>​120250370320610399</x:v>
      </x:c>
      <x:c r="M118" s="25" t="str">
        <x:v>ACTIVE</x:v>
      </x:c>
      <x:c r="N118" s="25" t="str">
        <x:v>REACH</x:v>
      </x:c>
      <x:c r="O118" s="27" t="n">
        <x:v>0</x:v>
      </x:c>
      <x:c r="P118" s="27" t="n">
        <x:v>0</x:v>
      </x:c>
      <x:c r="Q118" s="27" t="n">
        <x:v>100</x:v>
      </x:c>
      <x:c r="R118" s="27" t="n">
        <x:v>0</x:v>
      </x:c>
      <x:c r="S118" s="27" t="n">
        <x:v>469.22</x:v>
      </x:c>
      <x:c r="T118" s="28" t="n">
        <x:v>55434</x:v>
      </x:c>
      <x:c r="U118" s="28" t="n">
        <x:v>53233</x:v>
      </x:c>
      <x:c r="V118" s="28" t="n">
        <x:v>23</x:v>
      </x:c>
      <x:c r="W118" s="28" t="n">
        <x:v>0</x:v>
      </x:c>
      <x:c r="X118" s="28" t="n">
        <x:v>0</x:v>
      </x:c>
      <x:c r="Y118" s="28" t="n">
        <x:v>0</x:v>
      </x:c>
      <x:c r="Z118" s="28" t="n">
        <x:v>0</x:v>
      </x:c>
      <x:c r="AA118" s="28" t="n">
        <x:v>2009</x:v>
      </x:c>
    </x:row>
    <x:row r="119">
      <x:c r="A119" s="25" t="str">
        <x:v>Temmuz 2026</x:v>
      </x:c>
      <x:c r="B119" s="25" t="str">
        <x:v>Yerli</x:v>
      </x:c>
      <x:c r="C119" s="25" t="str">
        <x:v>Türkçe</x:v>
      </x:c>
      <x:c r="D119" s="25" t="str">
        <x:v>Bilinirlik / İzlenme / Trafik</x:v>
      </x:c>
      <x:c r="E119" s="25" t="str">
        <x:v>Doktor Kampanyası</x:v>
      </x:c>
      <x:c r="F119" s="25" t="str">
        <x:v>Doruk Hastaneleri - SİNA ÖZEL Sağlık Hizmetleri A.ş</x:v>
      </x:c>
      <x:c r="G119" s="25" t="str">
        <x:v>TRY</x:v>
      </x:c>
      <x:c r="H119" s="25" t="str">
        <x:v>Doktor - Bilinirlik Kampanyası - Nilüfer</x:v>
      </x:c>
      <x:c r="I119" s="25" t="str">
        <x:v>​120249061996540399</x:v>
      </x:c>
      <x:c r="J119" s="25" t="str">
        <x:v>ACTIVE</x:v>
      </x:c>
      <x:c r="K119" s="25" t="str">
        <x:v>nilüfer - Bayram Çalışkan</x:v>
      </x:c>
      <x:c r="L119" s="25" t="str">
        <x:v>​120250139784860399</x:v>
      </x:c>
      <x:c r="M119" s="25" t="str">
        <x:v>ACTIVE</x:v>
      </x:c>
      <x:c r="N119" s="25" t="str">
        <x:v>REACH</x:v>
      </x:c>
      <x:c r="O119" s="27" t="n">
        <x:v>0</x:v>
      </x:c>
      <x:c r="P119" s="27" t="n">
        <x:v>0</x:v>
      </x:c>
      <x:c r="Q119" s="27" t="n">
        <x:v>100</x:v>
      </x:c>
      <x:c r="R119" s="27" t="n">
        <x:v>0</x:v>
      </x:c>
      <x:c r="S119" s="27" t="n">
        <x:v>2345.56</x:v>
      </x:c>
      <x:c r="T119" s="28" t="n">
        <x:v>260835</x:v>
      </x:c>
      <x:c r="U119" s="28" t="n">
        <x:v>217806</x:v>
      </x:c>
      <x:c r="V119" s="28" t="n">
        <x:v>253</x:v>
      </x:c>
      <x:c r="W119" s="28" t="n">
        <x:v>0</x:v>
      </x:c>
      <x:c r="X119" s="28" t="n">
        <x:v>0</x:v>
      </x:c>
      <x:c r="Y119" s="28" t="n">
        <x:v>0</x:v>
      </x:c>
      <x:c r="Z119" s="28" t="n">
        <x:v>0</x:v>
      </x:c>
      <x:c r="AA119" s="28" t="n">
        <x:v>11573</x:v>
      </x:c>
    </x:row>
    <x:row r="120">
      <x:c r="A120" s="25" t="str">
        <x:v>Ağustos 2026</x:v>
      </x:c>
      <x:c r="B120" s="25" t="str">
        <x:v>Yerli</x:v>
      </x:c>
      <x:c r="C120" s="25" t="str">
        <x:v>Türkçe</x:v>
      </x:c>
      <x:c r="D120" s="25" t="str">
        <x:v>Bilinirlik / İzlenme / Trafik</x:v>
      </x:c>
      <x:c r="E120" s="25" t="str">
        <x:v>Doktor Kampanyası</x:v>
      </x:c>
      <x:c r="F120" s="25" t="str">
        <x:v>Doruk Hastaneleri - SİNA ÖZEL Sağlık Hizmetleri A.ş</x:v>
      </x:c>
      <x:c r="G120" s="25" t="str">
        <x:v>TRY</x:v>
      </x:c>
      <x:c r="H120" s="25" t="str">
        <x:v>Doktor - Bilinirlik Kampanyası - Nilüfer</x:v>
      </x:c>
      <x:c r="I120" s="25" t="str">
        <x:v>​120249061996540399</x:v>
      </x:c>
      <x:c r="J120" s="25" t="str">
        <x:v>ACTIVE</x:v>
      </x:c>
      <x:c r="K120" s="25" t="str">
        <x:v>nilüfer - Bayram Çalışkan</x:v>
      </x:c>
      <x:c r="L120" s="25" t="str">
        <x:v>​120250139784860399</x:v>
      </x:c>
      <x:c r="M120" s="25" t="str">
        <x:v>ACTIVE</x:v>
      </x:c>
      <x:c r="N120" s="25" t="str">
        <x:v>REACH</x:v>
      </x:c>
      <x:c r="O120" s="27" t="n">
        <x:v>0</x:v>
      </x:c>
      <x:c r="P120" s="27" t="n">
        <x:v>0</x:v>
      </x:c>
      <x:c r="Q120" s="27" t="n">
        <x:v>100</x:v>
      </x:c>
      <x:c r="R120" s="27" t="n">
        <x:v>0</x:v>
      </x:c>
      <x:c r="S120" s="27" t="n">
        <x:v>461.7</x:v>
      </x:c>
      <x:c r="T120" s="28" t="n">
        <x:v>55889</x:v>
      </x:c>
      <x:c r="U120" s="28" t="n">
        <x:v>53720</x:v>
      </x:c>
      <x:c r="V120" s="28" t="n">
        <x:v>95</x:v>
      </x:c>
      <x:c r="W120" s="28" t="n">
        <x:v>0</x:v>
      </x:c>
      <x:c r="X120" s="28" t="n">
        <x:v>0</x:v>
      </x:c>
      <x:c r="Y120" s="28" t="n">
        <x:v>0</x:v>
      </x:c>
      <x:c r="Z120" s="28" t="n">
        <x:v>0</x:v>
      </x:c>
      <x:c r="AA120" s="28" t="n">
        <x:v>2982</x:v>
      </x:c>
    </x:row>
    <x:row r="121">
      <x:c r="A121" s="25" t="str">
        <x:v>Temmuz 2026</x:v>
      </x:c>
      <x:c r="B121" s="25" t="str">
        <x:v>Yerli</x:v>
      </x:c>
      <x:c r="C121" s="25" t="str">
        <x:v>Türkçe</x:v>
      </x:c>
      <x:c r="D121" s="25" t="str">
        <x:v>Bilinirlik / İzlenme / Trafik</x:v>
      </x:c>
      <x:c r="E121" s="25" t="str">
        <x:v>Doktor Kampanyası</x:v>
      </x:c>
      <x:c r="F121" s="25" t="str">
        <x:v>Doruk Hastaneleri - SİNA ÖZEL Sağlık Hizmetleri A.ş</x:v>
      </x:c>
      <x:c r="G121" s="25" t="str">
        <x:v>TRY</x:v>
      </x:c>
      <x:c r="H121" s="25" t="str">
        <x:v>Doktor - Bilinirlik Kampanyası - Nilüfer</x:v>
      </x:c>
      <x:c r="I121" s="25" t="str">
        <x:v>​120249061996540399</x:v>
      </x:c>
      <x:c r="J121" s="25" t="str">
        <x:v>ACTIVE</x:v>
      </x:c>
      <x:c r="K121" s="25" t="str">
        <x:v>nilüfer - Berkan Aktürk</x:v>
      </x:c>
      <x:c r="L121" s="25" t="str">
        <x:v>​120249678776590399</x:v>
      </x:c>
      <x:c r="M121" s="25" t="str">
        <x:v>ACTIVE</x:v>
      </x:c>
      <x:c r="N121" s="25" t="str">
        <x:v>REACH</x:v>
      </x:c>
      <x:c r="O121" s="27" t="n">
        <x:v>0</x:v>
      </x:c>
      <x:c r="P121" s="27" t="n">
        <x:v>0</x:v>
      </x:c>
      <x:c r="Q121" s="27" t="n">
        <x:v>100</x:v>
      </x:c>
      <x:c r="R121" s="27" t="n">
        <x:v>0</x:v>
      </x:c>
      <x:c r="S121" s="27" t="n">
        <x:v>2323.69</x:v>
      </x:c>
      <x:c r="T121" s="28" t="n">
        <x:v>258644</x:v>
      </x:c>
      <x:c r="U121" s="28" t="n">
        <x:v>235534</x:v>
      </x:c>
      <x:c r="V121" s="28" t="n">
        <x:v>71</x:v>
      </x:c>
      <x:c r="W121" s="28" t="n">
        <x:v>0</x:v>
      </x:c>
      <x:c r="X121" s="28" t="n">
        <x:v>0</x:v>
      </x:c>
      <x:c r="Y121" s="28" t="n">
        <x:v>0</x:v>
      </x:c>
      <x:c r="Z121" s="28" t="n">
        <x:v>0</x:v>
      </x:c>
      <x:c r="AA121" s="28" t="n">
        <x:v>9303</x:v>
      </x:c>
    </x:row>
    <x:row r="122">
      <x:c r="A122" s="25" t="str">
        <x:v>Ağustos 2026</x:v>
      </x:c>
      <x:c r="B122" s="25" t="str">
        <x:v>Yerli</x:v>
      </x:c>
      <x:c r="C122" s="25" t="str">
        <x:v>Türkçe</x:v>
      </x:c>
      <x:c r="D122" s="25" t="str">
        <x:v>Bilinirlik / İzlenme / Trafik</x:v>
      </x:c>
      <x:c r="E122" s="25" t="str">
        <x:v>Doktor Kampanyası</x:v>
      </x:c>
      <x:c r="F122" s="25" t="str">
        <x:v>Doruk Hastaneleri - SİNA ÖZEL Sağlık Hizmetleri A.ş</x:v>
      </x:c>
      <x:c r="G122" s="25" t="str">
        <x:v>TRY</x:v>
      </x:c>
      <x:c r="H122" s="25" t="str">
        <x:v>Doktor - Bilinirlik Kampanyası - Nilüfer</x:v>
      </x:c>
      <x:c r="I122" s="25" t="str">
        <x:v>​120249061996540399</x:v>
      </x:c>
      <x:c r="J122" s="25" t="str">
        <x:v>ACTIVE</x:v>
      </x:c>
      <x:c r="K122" s="25" t="str">
        <x:v>nilüfer - Berkan Aktürk</x:v>
      </x:c>
      <x:c r="L122" s="25" t="str">
        <x:v>​120249678776590399</x:v>
      </x:c>
      <x:c r="M122" s="25" t="str">
        <x:v>ACTIVE</x:v>
      </x:c>
      <x:c r="N122" s="25" t="str">
        <x:v>REACH</x:v>
      </x:c>
      <x:c r="O122" s="27" t="n">
        <x:v>0</x:v>
      </x:c>
      <x:c r="P122" s="27" t="n">
        <x:v>0</x:v>
      </x:c>
      <x:c r="Q122" s="27" t="n">
        <x:v>100</x:v>
      </x:c>
      <x:c r="R122" s="27" t="n">
        <x:v>0</x:v>
      </x:c>
      <x:c r="S122" s="27" t="n">
        <x:v>463.76</x:v>
      </x:c>
      <x:c r="T122" s="28" t="n">
        <x:v>54889</x:v>
      </x:c>
      <x:c r="U122" s="28" t="n">
        <x:v>52118</x:v>
      </x:c>
      <x:c r="V122" s="28" t="n">
        <x:v>14</x:v>
      </x:c>
      <x:c r="W122" s="28" t="n">
        <x:v>0</x:v>
      </x:c>
      <x:c r="X122" s="28" t="n">
        <x:v>0</x:v>
      </x:c>
      <x:c r="Y122" s="28" t="n">
        <x:v>0</x:v>
      </x:c>
      <x:c r="Z122" s="28" t="n">
        <x:v>0</x:v>
      </x:c>
      <x:c r="AA122" s="28" t="n">
        <x:v>2260</x:v>
      </x:c>
    </x:row>
    <x:row r="123">
      <x:c r="A123" s="25" t="str">
        <x:v>Temmuz 2026</x:v>
      </x:c>
      <x:c r="B123" s="25" t="str">
        <x:v>Yerli</x:v>
      </x:c>
      <x:c r="C123" s="25" t="str">
        <x:v>Türkçe</x:v>
      </x:c>
      <x:c r="D123" s="25" t="str">
        <x:v>Bilinirlik / İzlenme / Trafik</x:v>
      </x:c>
      <x:c r="E123" s="25" t="str">
        <x:v>Doktor Kampanyası</x:v>
      </x:c>
      <x:c r="F123" s="25" t="str">
        <x:v>Doruk Hastaneleri - SİNA ÖZEL Sağlık Hizmetleri A.ş</x:v>
      </x:c>
      <x:c r="G123" s="25" t="str">
        <x:v>TRY</x:v>
      </x:c>
      <x:c r="H123" s="25" t="str">
        <x:v>Doktor - Bilinirlik Kampanyası - Nilüfer</x:v>
      </x:c>
      <x:c r="I123" s="25" t="str">
        <x:v>​120249061996540399</x:v>
      </x:c>
      <x:c r="J123" s="25" t="str">
        <x:v>ACTIVE</x:v>
      </x:c>
      <x:c r="K123" s="25" t="str">
        <x:v>nilüfer - Burak Danacıoğlu</x:v>
      </x:c>
      <x:c r="L123" s="25" t="str">
        <x:v>​120249678860320399</x:v>
      </x:c>
      <x:c r="M123" s="25" t="str">
        <x:v>ACTIVE</x:v>
      </x:c>
      <x:c r="N123" s="25" t="str">
        <x:v>REACH</x:v>
      </x:c>
      <x:c r="O123" s="27" t="n">
        <x:v>0</x:v>
      </x:c>
      <x:c r="P123" s="27" t="n">
        <x:v>0</x:v>
      </x:c>
      <x:c r="Q123" s="27" t="n">
        <x:v>100</x:v>
      </x:c>
      <x:c r="R123" s="27" t="n">
        <x:v>0</x:v>
      </x:c>
      <x:c r="S123" s="27" t="n">
        <x:v>2350.04</x:v>
      </x:c>
      <x:c r="T123" s="28" t="n">
        <x:v>257687</x:v>
      </x:c>
      <x:c r="U123" s="28" t="n">
        <x:v>232503</x:v>
      </x:c>
      <x:c r="V123" s="28" t="n">
        <x:v>113</x:v>
      </x:c>
      <x:c r="W123" s="28" t="n">
        <x:v>0</x:v>
      </x:c>
      <x:c r="X123" s="28" t="n">
        <x:v>0</x:v>
      </x:c>
      <x:c r="Y123" s="28" t="n">
        <x:v>0</x:v>
      </x:c>
      <x:c r="Z123" s="28" t="n">
        <x:v>0</x:v>
      </x:c>
      <x:c r="AA123" s="28" t="n">
        <x:v>8054</x:v>
      </x:c>
    </x:row>
    <x:row r="124">
      <x:c r="A124" s="25" t="str">
        <x:v>Ağustos 2026</x:v>
      </x:c>
      <x:c r="B124" s="25" t="str">
        <x:v>Yerli</x:v>
      </x:c>
      <x:c r="C124" s="25" t="str">
        <x:v>Türkçe</x:v>
      </x:c>
      <x:c r="D124" s="25" t="str">
        <x:v>Bilinirlik / İzlenme / Trafik</x:v>
      </x:c>
      <x:c r="E124" s="25" t="str">
        <x:v>Doktor Kampanyası</x:v>
      </x:c>
      <x:c r="F124" s="25" t="str">
        <x:v>Doruk Hastaneleri - SİNA ÖZEL Sağlık Hizmetleri A.ş</x:v>
      </x:c>
      <x:c r="G124" s="25" t="str">
        <x:v>TRY</x:v>
      </x:c>
      <x:c r="H124" s="25" t="str">
        <x:v>Doktor - Bilinirlik Kampanyası - Nilüfer</x:v>
      </x:c>
      <x:c r="I124" s="25" t="str">
        <x:v>​120249061996540399</x:v>
      </x:c>
      <x:c r="J124" s="25" t="str">
        <x:v>ACTIVE</x:v>
      </x:c>
      <x:c r="K124" s="25" t="str">
        <x:v>nilüfer - Burak Danacıoğlu</x:v>
      </x:c>
      <x:c r="L124" s="25" t="str">
        <x:v>​120249678860320399</x:v>
      </x:c>
      <x:c r="M124" s="25" t="str">
        <x:v>ACTIVE</x:v>
      </x:c>
      <x:c r="N124" s="25" t="str">
        <x:v>REACH</x:v>
      </x:c>
      <x:c r="O124" s="27" t="n">
        <x:v>0</x:v>
      </x:c>
      <x:c r="P124" s="27" t="n">
        <x:v>0</x:v>
      </x:c>
      <x:c r="Q124" s="27" t="n">
        <x:v>100</x:v>
      </x:c>
      <x:c r="R124" s="27" t="n">
        <x:v>0</x:v>
      </x:c>
      <x:c r="S124" s="27" t="n">
        <x:v>467.94</x:v>
      </x:c>
      <x:c r="T124" s="28" t="n">
        <x:v>54923</x:v>
      </x:c>
      <x:c r="U124" s="28" t="n">
        <x:v>53251</x:v>
      </x:c>
      <x:c r="V124" s="28" t="n">
        <x:v>24</x:v>
      </x:c>
      <x:c r="W124" s="28" t="n">
        <x:v>0</x:v>
      </x:c>
      <x:c r="X124" s="28" t="n">
        <x:v>0</x:v>
      </x:c>
      <x:c r="Y124" s="28" t="n">
        <x:v>0</x:v>
      </x:c>
      <x:c r="Z124" s="28" t="n">
        <x:v>0</x:v>
      </x:c>
      <x:c r="AA124" s="28" t="n">
        <x:v>1978</x:v>
      </x:c>
    </x:row>
    <x:row r="125">
      <x:c r="A125" s="25" t="str">
        <x:v>Temmuz 2026</x:v>
      </x:c>
      <x:c r="B125" s="25" t="str">
        <x:v>Yerli</x:v>
      </x:c>
      <x:c r="C125" s="25" t="str">
        <x:v>Türkçe</x:v>
      </x:c>
      <x:c r="D125" s="25" t="str">
        <x:v>Bilinirlik / İzlenme / Trafik</x:v>
      </x:c>
      <x:c r="E125" s="25" t="str">
        <x:v>Doktor Kampanyası</x:v>
      </x:c>
      <x:c r="F125" s="25" t="str">
        <x:v>Doruk Hastaneleri - SİNA ÖZEL Sağlık Hizmetleri A.ş</x:v>
      </x:c>
      <x:c r="G125" s="25" t="str">
        <x:v>TRY</x:v>
      </x:c>
      <x:c r="H125" s="25" t="str">
        <x:v>Doktor - Bilinirlik Kampanyası - Nilüfer</x:v>
      </x:c>
      <x:c r="I125" s="25" t="str">
        <x:v>​120249061996540399</x:v>
      </x:c>
      <x:c r="J125" s="25" t="str">
        <x:v>ACTIVE</x:v>
      </x:c>
      <x:c r="K125" s="25" t="str">
        <x:v>nilüfer - Çiğdem Şen</x:v>
      </x:c>
      <x:c r="L125" s="25" t="str">
        <x:v>​120252512785320399</x:v>
      </x:c>
      <x:c r="M125" s="25" t="str">
        <x:v>ACTIVE</x:v>
      </x:c>
      <x:c r="N125" s="25" t="str">
        <x:v>REACH</x:v>
      </x:c>
      <x:c r="O125" s="27" t="n">
        <x:v>0</x:v>
      </x:c>
      <x:c r="P125" s="27" t="n">
        <x:v>0</x:v>
      </x:c>
      <x:c r="Q125" s="27" t="n">
        <x:v>100</x:v>
      </x:c>
      <x:c r="R125" s="27" t="n">
        <x:v>0</x:v>
      </x:c>
      <x:c r="S125" s="27" t="n">
        <x:v>2314.8</x:v>
      </x:c>
      <x:c r="T125" s="28" t="n">
        <x:v>255248</x:v>
      </x:c>
      <x:c r="U125" s="28" t="n">
        <x:v>233823</x:v>
      </x:c>
      <x:c r="V125" s="28" t="n">
        <x:v>105</x:v>
      </x:c>
      <x:c r="W125" s="28" t="n">
        <x:v>0</x:v>
      </x:c>
      <x:c r="X125" s="28" t="n">
        <x:v>0</x:v>
      </x:c>
      <x:c r="Y125" s="28" t="n">
        <x:v>0</x:v>
      </x:c>
      <x:c r="Z125" s="28" t="n">
        <x:v>0</x:v>
      </x:c>
      <x:c r="AA125" s="28" t="n">
        <x:v>8605</x:v>
      </x:c>
    </x:row>
    <x:row r="126">
      <x:c r="A126" s="25" t="str">
        <x:v>Ağustos 2026</x:v>
      </x:c>
      <x:c r="B126" s="25" t="str">
        <x:v>Yerli</x:v>
      </x:c>
      <x:c r="C126" s="25" t="str">
        <x:v>Türkçe</x:v>
      </x:c>
      <x:c r="D126" s="25" t="str">
        <x:v>Bilinirlik / İzlenme / Trafik</x:v>
      </x:c>
      <x:c r="E126" s="25" t="str">
        <x:v>Doktor Kampanyası</x:v>
      </x:c>
      <x:c r="F126" s="25" t="str">
        <x:v>Doruk Hastaneleri - SİNA ÖZEL Sağlık Hizmetleri A.ş</x:v>
      </x:c>
      <x:c r="G126" s="25" t="str">
        <x:v>TRY</x:v>
      </x:c>
      <x:c r="H126" s="25" t="str">
        <x:v>Doktor - Bilinirlik Kampanyası - Nilüfer</x:v>
      </x:c>
      <x:c r="I126" s="25" t="str">
        <x:v>​120249061996540399</x:v>
      </x:c>
      <x:c r="J126" s="25" t="str">
        <x:v>ACTIVE</x:v>
      </x:c>
      <x:c r="K126" s="25" t="str">
        <x:v>nilüfer - Çiğdem Şen</x:v>
      </x:c>
      <x:c r="L126" s="25" t="str">
        <x:v>​120252512785320399</x:v>
      </x:c>
      <x:c r="M126" s="25" t="str">
        <x:v>ACTIVE</x:v>
      </x:c>
      <x:c r="N126" s="25" t="str">
        <x:v>REACH</x:v>
      </x:c>
      <x:c r="O126" s="27" t="n">
        <x:v>0</x:v>
      </x:c>
      <x:c r="P126" s="27" t="n">
        <x:v>0</x:v>
      </x:c>
      <x:c r="Q126" s="27" t="n">
        <x:v>100</x:v>
      </x:c>
      <x:c r="R126" s="27" t="n">
        <x:v>0</x:v>
      </x:c>
      <x:c r="S126" s="27" t="n">
        <x:v>454.73</x:v>
      </x:c>
      <x:c r="T126" s="28" t="n">
        <x:v>54090</x:v>
      </x:c>
      <x:c r="U126" s="28" t="n">
        <x:v>54090</x:v>
      </x:c>
      <x:c r="V126" s="28" t="n">
        <x:v>38</x:v>
      </x:c>
      <x:c r="W126" s="28" t="n">
        <x:v>0</x:v>
      </x:c>
      <x:c r="X126" s="28" t="n">
        <x:v>0</x:v>
      </x:c>
      <x:c r="Y126" s="28" t="n">
        <x:v>0</x:v>
      </x:c>
      <x:c r="Z126" s="28" t="n">
        <x:v>0</x:v>
      </x:c>
      <x:c r="AA126" s="28" t="n">
        <x:v>2646</x:v>
      </x:c>
    </x:row>
    <x:row r="127">
      <x:c r="A127" s="25" t="str">
        <x:v>Temmuz 2026</x:v>
      </x:c>
      <x:c r="B127" s="25" t="str">
        <x:v>Yerli</x:v>
      </x:c>
      <x:c r="C127" s="25" t="str">
        <x:v>Türkçe</x:v>
      </x:c>
      <x:c r="D127" s="25" t="str">
        <x:v>Bilinirlik / İzlenme / Trafik</x:v>
      </x:c>
      <x:c r="E127" s="25" t="str">
        <x:v>Doktor Kampanyası</x:v>
      </x:c>
      <x:c r="F127" s="25" t="str">
        <x:v>Doruk Hastaneleri - SİNA ÖZEL Sağlık Hizmetleri A.ş</x:v>
      </x:c>
      <x:c r="G127" s="25" t="str">
        <x:v>TRY</x:v>
      </x:c>
      <x:c r="H127" s="25" t="str">
        <x:v>Doktor - Bilinirlik Kampanyası - Nilüfer</x:v>
      </x:c>
      <x:c r="I127" s="25" t="str">
        <x:v>​120249061996540399</x:v>
      </x:c>
      <x:c r="J127" s="25" t="str">
        <x:v>ACTIVE</x:v>
      </x:c>
      <x:c r="K127" s="25" t="str">
        <x:v>nilüfer - Çoşkun Özer</x:v>
      </x:c>
      <x:c r="L127" s="25" t="str">
        <x:v>​120250014911760399</x:v>
      </x:c>
      <x:c r="M127" s="25" t="str">
        <x:v>ACTIVE</x:v>
      </x:c>
      <x:c r="N127" s="25" t="str">
        <x:v>REACH</x:v>
      </x:c>
      <x:c r="O127" s="27" t="n">
        <x:v>0</x:v>
      </x:c>
      <x:c r="P127" s="27" t="n">
        <x:v>0</x:v>
      </x:c>
      <x:c r="Q127" s="27" t="n">
        <x:v>100</x:v>
      </x:c>
      <x:c r="R127" s="27" t="n">
        <x:v>0</x:v>
      </x:c>
      <x:c r="S127" s="27" t="n">
        <x:v>2303.89</x:v>
      </x:c>
      <x:c r="T127" s="28" t="n">
        <x:v>252931</x:v>
      </x:c>
      <x:c r="U127" s="28" t="n">
        <x:v>227067</x:v>
      </x:c>
      <x:c r="V127" s="28" t="n">
        <x:v>166</x:v>
      </x:c>
      <x:c r="W127" s="28" t="n">
        <x:v>0</x:v>
      </x:c>
      <x:c r="X127" s="28" t="n">
        <x:v>0</x:v>
      </x:c>
      <x:c r="Y127" s="28" t="n">
        <x:v>0</x:v>
      </x:c>
      <x:c r="Z127" s="28" t="n">
        <x:v>0</x:v>
      </x:c>
      <x:c r="AA127" s="28" t="n">
        <x:v>10670</x:v>
      </x:c>
    </x:row>
    <x:row r="128">
      <x:c r="A128" s="25" t="str">
        <x:v>Ağustos 2026</x:v>
      </x:c>
      <x:c r="B128" s="25" t="str">
        <x:v>Yerli</x:v>
      </x:c>
      <x:c r="C128" s="25" t="str">
        <x:v>Türkçe</x:v>
      </x:c>
      <x:c r="D128" s="25" t="str">
        <x:v>Bilinirlik / İzlenme / Trafik</x:v>
      </x:c>
      <x:c r="E128" s="25" t="str">
        <x:v>Doktor Kampanyası</x:v>
      </x:c>
      <x:c r="F128" s="25" t="str">
        <x:v>Doruk Hastaneleri - SİNA ÖZEL Sağlık Hizmetleri A.ş</x:v>
      </x:c>
      <x:c r="G128" s="25" t="str">
        <x:v>TRY</x:v>
      </x:c>
      <x:c r="H128" s="25" t="str">
        <x:v>Doktor - Bilinirlik Kampanyası - Nilüfer</x:v>
      </x:c>
      <x:c r="I128" s="25" t="str">
        <x:v>​120249061996540399</x:v>
      </x:c>
      <x:c r="J128" s="25" t="str">
        <x:v>ACTIVE</x:v>
      </x:c>
      <x:c r="K128" s="25" t="str">
        <x:v>nilüfer - Çoşkun Özer</x:v>
      </x:c>
      <x:c r="L128" s="25" t="str">
        <x:v>​120250014911760399</x:v>
      </x:c>
      <x:c r="M128" s="25" t="str">
        <x:v>ACTIVE</x:v>
      </x:c>
      <x:c r="N128" s="25" t="str">
        <x:v>REACH</x:v>
      </x:c>
      <x:c r="O128" s="27" t="n">
        <x:v>0</x:v>
      </x:c>
      <x:c r="P128" s="27" t="n">
        <x:v>0</x:v>
      </x:c>
      <x:c r="Q128" s="27" t="n">
        <x:v>100</x:v>
      </x:c>
      <x:c r="R128" s="27" t="n">
        <x:v>0</x:v>
      </x:c>
      <x:c r="S128" s="27" t="n">
        <x:v>451.68</x:v>
      </x:c>
      <x:c r="T128" s="28" t="n">
        <x:v>53194</x:v>
      </x:c>
      <x:c r="U128" s="28" t="n">
        <x:v>50514</x:v>
      </x:c>
      <x:c r="V128" s="28" t="n">
        <x:v>52</x:v>
      </x:c>
      <x:c r="W128" s="28" t="n">
        <x:v>0</x:v>
      </x:c>
      <x:c r="X128" s="28" t="n">
        <x:v>0</x:v>
      </x:c>
      <x:c r="Y128" s="28" t="n">
        <x:v>0</x:v>
      </x:c>
      <x:c r="Z128" s="28" t="n">
        <x:v>0</x:v>
      </x:c>
      <x:c r="AA128" s="28" t="n">
        <x:v>2456</x:v>
      </x:c>
    </x:row>
    <x:row r="129">
      <x:c r="A129" s="25" t="str">
        <x:v>Temmuz 2026</x:v>
      </x:c>
      <x:c r="B129" s="25" t="str">
        <x:v>Yerli</x:v>
      </x:c>
      <x:c r="C129" s="25" t="str">
        <x:v>Türkçe</x:v>
      </x:c>
      <x:c r="D129" s="25" t="str">
        <x:v>Bilinirlik / İzlenme / Trafik</x:v>
      </x:c>
      <x:c r="E129" s="25" t="str">
        <x:v>Doktor Kampanyası</x:v>
      </x:c>
      <x:c r="F129" s="25" t="str">
        <x:v>Doruk Hastaneleri - SİNA ÖZEL Sağlık Hizmetleri A.ş</x:v>
      </x:c>
      <x:c r="G129" s="25" t="str">
        <x:v>TRY</x:v>
      </x:c>
      <x:c r="H129" s="25" t="str">
        <x:v>Doktor - Bilinirlik Kampanyası - Nilüfer</x:v>
      </x:c>
      <x:c r="I129" s="25" t="str">
        <x:v>​120249061996540399</x:v>
      </x:c>
      <x:c r="J129" s="25" t="str">
        <x:v>ACTIVE</x:v>
      </x:c>
      <x:c r="K129" s="25" t="str">
        <x:v>nilüfer - Ebru Süer</x:v>
      </x:c>
      <x:c r="L129" s="25" t="str">
        <x:v>​120250370406560399</x:v>
      </x:c>
      <x:c r="M129" s="25" t="str">
        <x:v>ACTIVE</x:v>
      </x:c>
      <x:c r="N129" s="25" t="str">
        <x:v>REACH</x:v>
      </x:c>
      <x:c r="O129" s="27" t="n">
        <x:v>0</x:v>
      </x:c>
      <x:c r="P129" s="27" t="n">
        <x:v>0</x:v>
      </x:c>
      <x:c r="Q129" s="27" t="n">
        <x:v>100</x:v>
      </x:c>
      <x:c r="R129" s="27" t="n">
        <x:v>0</x:v>
      </x:c>
      <x:c r="S129" s="27" t="n">
        <x:v>2326.1</x:v>
      </x:c>
      <x:c r="T129" s="28" t="n">
        <x:v>259388</x:v>
      </x:c>
      <x:c r="U129" s="28" t="n">
        <x:v>205694</x:v>
      </x:c>
      <x:c r="V129" s="28" t="n">
        <x:v>280</x:v>
      </x:c>
      <x:c r="W129" s="28" t="n">
        <x:v>0</x:v>
      </x:c>
      <x:c r="X129" s="28" t="n">
        <x:v>0</x:v>
      </x:c>
      <x:c r="Y129" s="28" t="n">
        <x:v>0</x:v>
      </x:c>
      <x:c r="Z129" s="28" t="n">
        <x:v>0</x:v>
      </x:c>
      <x:c r="AA129" s="28" t="n">
        <x:v>11114</x:v>
      </x:c>
    </x:row>
    <x:row r="130">
      <x:c r="A130" s="25" t="str">
        <x:v>Ağustos 2026</x:v>
      </x:c>
      <x:c r="B130" s="25" t="str">
        <x:v>Yerli</x:v>
      </x:c>
      <x:c r="C130" s="25" t="str">
        <x:v>Türkçe</x:v>
      </x:c>
      <x:c r="D130" s="25" t="str">
        <x:v>Bilinirlik / İzlenme / Trafik</x:v>
      </x:c>
      <x:c r="E130" s="25" t="str">
        <x:v>Doktor Kampanyası</x:v>
      </x:c>
      <x:c r="F130" s="25" t="str">
        <x:v>Doruk Hastaneleri - SİNA ÖZEL Sağlık Hizmetleri A.ş</x:v>
      </x:c>
      <x:c r="G130" s="25" t="str">
        <x:v>TRY</x:v>
      </x:c>
      <x:c r="H130" s="25" t="str">
        <x:v>Doktor - Bilinirlik Kampanyası - Nilüfer</x:v>
      </x:c>
      <x:c r="I130" s="25" t="str">
        <x:v>​120249061996540399</x:v>
      </x:c>
      <x:c r="J130" s="25" t="str">
        <x:v>ACTIVE</x:v>
      </x:c>
      <x:c r="K130" s="25" t="str">
        <x:v>nilüfer - Ebru Süer</x:v>
      </x:c>
      <x:c r="L130" s="25" t="str">
        <x:v>​120250370406560399</x:v>
      </x:c>
      <x:c r="M130" s="25" t="str">
        <x:v>ACTIVE</x:v>
      </x:c>
      <x:c r="N130" s="25" t="str">
        <x:v>REACH</x:v>
      </x:c>
      <x:c r="O130" s="27" t="n">
        <x:v>0</x:v>
      </x:c>
      <x:c r="P130" s="27" t="n">
        <x:v>0</x:v>
      </x:c>
      <x:c r="Q130" s="27" t="n">
        <x:v>100</x:v>
      </x:c>
      <x:c r="R130" s="27" t="n">
        <x:v>0</x:v>
      </x:c>
      <x:c r="S130" s="27" t="n">
        <x:v>462.83</x:v>
      </x:c>
      <x:c r="T130" s="28" t="n">
        <x:v>55951</x:v>
      </x:c>
      <x:c r="U130" s="28" t="n">
        <x:v>52058</x:v>
      </x:c>
      <x:c r="V130" s="28" t="n">
        <x:v>56</x:v>
      </x:c>
      <x:c r="W130" s="28" t="n">
        <x:v>0</x:v>
      </x:c>
      <x:c r="X130" s="28" t="n">
        <x:v>0</x:v>
      </x:c>
      <x:c r="Y130" s="28" t="n">
        <x:v>0</x:v>
      </x:c>
      <x:c r="Z130" s="28" t="n">
        <x:v>0</x:v>
      </x:c>
      <x:c r="AA130" s="28" t="n">
        <x:v>2916</x:v>
      </x:c>
    </x:row>
    <x:row r="131">
      <x:c r="A131" s="25" t="str">
        <x:v>Temmuz 2026</x:v>
      </x:c>
      <x:c r="B131" s="25" t="str">
        <x:v>Yerli</x:v>
      </x:c>
      <x:c r="C131" s="25" t="str">
        <x:v>Türkçe</x:v>
      </x:c>
      <x:c r="D131" s="25" t="str">
        <x:v>Bilinirlik / İzlenme / Trafik</x:v>
      </x:c>
      <x:c r="E131" s="25" t="str">
        <x:v>Doktor Kampanyası</x:v>
      </x:c>
      <x:c r="F131" s="25" t="str">
        <x:v>Doruk Hastaneleri - SİNA ÖZEL Sağlık Hizmetleri A.ş</x:v>
      </x:c>
      <x:c r="G131" s="25" t="str">
        <x:v>TRY</x:v>
      </x:c>
      <x:c r="H131" s="25" t="str">
        <x:v>Doktor - Bilinirlik Kampanyası - Nilüfer</x:v>
      </x:c>
      <x:c r="I131" s="25" t="str">
        <x:v>​120249061996540399</x:v>
      </x:c>
      <x:c r="J131" s="25" t="str">
        <x:v>ACTIVE</x:v>
      </x:c>
      <x:c r="K131" s="25" t="str">
        <x:v>nilüfer - Elif Nur Sevinç</x:v>
      </x:c>
      <x:c r="L131" s="25" t="str">
        <x:v>​120250370486100399</x:v>
      </x:c>
      <x:c r="M131" s="25" t="str">
        <x:v>ACTIVE</x:v>
      </x:c>
      <x:c r="N131" s="25" t="str">
        <x:v>REACH</x:v>
      </x:c>
      <x:c r="O131" s="27" t="n">
        <x:v>0</x:v>
      </x:c>
      <x:c r="P131" s="27" t="n">
        <x:v>0</x:v>
      </x:c>
      <x:c r="Q131" s="27" t="n">
        <x:v>100</x:v>
      </x:c>
      <x:c r="R131" s="27" t="n">
        <x:v>0</x:v>
      </x:c>
      <x:c r="S131" s="27" t="n">
        <x:v>2286.41</x:v>
      </x:c>
      <x:c r="T131" s="28" t="n">
        <x:v>253796</x:v>
      </x:c>
      <x:c r="U131" s="28" t="n">
        <x:v>211120</x:v>
      </x:c>
      <x:c r="V131" s="28" t="n">
        <x:v>231</x:v>
      </x:c>
      <x:c r="W131" s="28" t="n">
        <x:v>0</x:v>
      </x:c>
      <x:c r="X131" s="28" t="n">
        <x:v>0</x:v>
      </x:c>
      <x:c r="Y131" s="28" t="n">
        <x:v>0</x:v>
      </x:c>
      <x:c r="Z131" s="28" t="n">
        <x:v>0</x:v>
      </x:c>
      <x:c r="AA131" s="28" t="n">
        <x:v>10953</x:v>
      </x:c>
    </x:row>
    <x:row r="132">
      <x:c r="A132" s="25" t="str">
        <x:v>Ağustos 2026</x:v>
      </x:c>
      <x:c r="B132" s="25" t="str">
        <x:v>Yerli</x:v>
      </x:c>
      <x:c r="C132" s="25" t="str">
        <x:v>Türkçe</x:v>
      </x:c>
      <x:c r="D132" s="25" t="str">
        <x:v>Bilinirlik / İzlenme / Trafik</x:v>
      </x:c>
      <x:c r="E132" s="25" t="str">
        <x:v>Doktor Kampanyası</x:v>
      </x:c>
      <x:c r="F132" s="25" t="str">
        <x:v>Doruk Hastaneleri - SİNA ÖZEL Sağlık Hizmetleri A.ş</x:v>
      </x:c>
      <x:c r="G132" s="25" t="str">
        <x:v>TRY</x:v>
      </x:c>
      <x:c r="H132" s="25" t="str">
        <x:v>Doktor - Bilinirlik Kampanyası - Nilüfer</x:v>
      </x:c>
      <x:c r="I132" s="25" t="str">
        <x:v>​120249061996540399</x:v>
      </x:c>
      <x:c r="J132" s="25" t="str">
        <x:v>ACTIVE</x:v>
      </x:c>
      <x:c r="K132" s="25" t="str">
        <x:v>nilüfer - Elif Nur Sevinç</x:v>
      </x:c>
      <x:c r="L132" s="25" t="str">
        <x:v>​120250370486100399</x:v>
      </x:c>
      <x:c r="M132" s="25" t="str">
        <x:v>ACTIVE</x:v>
      </x:c>
      <x:c r="N132" s="25" t="str">
        <x:v>REACH</x:v>
      </x:c>
      <x:c r="O132" s="27" t="n">
        <x:v>0</x:v>
      </x:c>
      <x:c r="P132" s="27" t="n">
        <x:v>0</x:v>
      </x:c>
      <x:c r="Q132" s="27" t="n">
        <x:v>100</x:v>
      </x:c>
      <x:c r="R132" s="27" t="n">
        <x:v>0</x:v>
      </x:c>
      <x:c r="S132" s="27" t="n">
        <x:v>450.73</x:v>
      </x:c>
      <x:c r="T132" s="28" t="n">
        <x:v>53571</x:v>
      </x:c>
      <x:c r="U132" s="28" t="n">
        <x:v>50789</x:v>
      </x:c>
      <x:c r="V132" s="28" t="n">
        <x:v>75</x:v>
      </x:c>
      <x:c r="W132" s="28" t="n">
        <x:v>0</x:v>
      </x:c>
      <x:c r="X132" s="28" t="n">
        <x:v>0</x:v>
      </x:c>
      <x:c r="Y132" s="28" t="n">
        <x:v>0</x:v>
      </x:c>
      <x:c r="Z132" s="28" t="n">
        <x:v>0</x:v>
      </x:c>
      <x:c r="AA132" s="28" t="n">
        <x:v>2591</x:v>
      </x:c>
    </x:row>
    <x:row r="133">
      <x:c r="A133" s="25" t="str">
        <x:v>Temmuz 2026</x:v>
      </x:c>
      <x:c r="B133" s="25" t="str">
        <x:v>Yerli</x:v>
      </x:c>
      <x:c r="C133" s="25" t="str">
        <x:v>Türkçe</x:v>
      </x:c>
      <x:c r="D133" s="25" t="str">
        <x:v>Bilinirlik / İzlenme / Trafik</x:v>
      </x:c>
      <x:c r="E133" s="25" t="str">
        <x:v>Doktor Kampanyası</x:v>
      </x:c>
      <x:c r="F133" s="25" t="str">
        <x:v>Doruk Hastaneleri - SİNA ÖZEL Sağlık Hizmetleri A.ş</x:v>
      </x:c>
      <x:c r="G133" s="25" t="str">
        <x:v>TRY</x:v>
      </x:c>
      <x:c r="H133" s="25" t="str">
        <x:v>Doktor - Bilinirlik Kampanyası - Nilüfer</x:v>
      </x:c>
      <x:c r="I133" s="25" t="str">
        <x:v>​120249061996540399</x:v>
      </x:c>
      <x:c r="J133" s="25" t="str">
        <x:v>ACTIVE</x:v>
      </x:c>
      <x:c r="K133" s="25" t="str">
        <x:v>nilüfer - Elif Şahin</x:v>
      </x:c>
      <x:c r="L133" s="25" t="str">
        <x:v>​120250370531110399</x:v>
      </x:c>
      <x:c r="M133" s="25" t="str">
        <x:v>ACTIVE</x:v>
      </x:c>
      <x:c r="N133" s="25" t="str">
        <x:v>REACH</x:v>
      </x:c>
      <x:c r="O133" s="27" t="n">
        <x:v>0</x:v>
      </x:c>
      <x:c r="P133" s="27" t="n">
        <x:v>0</x:v>
      </x:c>
      <x:c r="Q133" s="27" t="n">
        <x:v>100</x:v>
      </x:c>
      <x:c r="R133" s="27" t="n">
        <x:v>0</x:v>
      </x:c>
      <x:c r="S133" s="27" t="n">
        <x:v>2255.38</x:v>
      </x:c>
      <x:c r="T133" s="28" t="n">
        <x:v>257091</x:v>
      </x:c>
      <x:c r="U133" s="28" t="n">
        <x:v>199833</x:v>
      </x:c>
      <x:c r="V133" s="28" t="n">
        <x:v>377</x:v>
      </x:c>
      <x:c r="W133" s="28" t="n">
        <x:v>0</x:v>
      </x:c>
      <x:c r="X133" s="28" t="n">
        <x:v>0</x:v>
      </x:c>
      <x:c r="Y133" s="28" t="n">
        <x:v>0</x:v>
      </x:c>
      <x:c r="Z133" s="28" t="n">
        <x:v>0</x:v>
      </x:c>
      <x:c r="AA133" s="28" t="n">
        <x:v>13340</x:v>
      </x:c>
    </x:row>
    <x:row r="134">
      <x:c r="A134" s="25" t="str">
        <x:v>Ağustos 2026</x:v>
      </x:c>
      <x:c r="B134" s="25" t="str">
        <x:v>Yerli</x:v>
      </x:c>
      <x:c r="C134" s="25" t="str">
        <x:v>Türkçe</x:v>
      </x:c>
      <x:c r="D134" s="25" t="str">
        <x:v>Bilinirlik / İzlenme / Trafik</x:v>
      </x:c>
      <x:c r="E134" s="25" t="str">
        <x:v>Doktor Kampanyası</x:v>
      </x:c>
      <x:c r="F134" s="25" t="str">
        <x:v>Doruk Hastaneleri - SİNA ÖZEL Sağlık Hizmetleri A.ş</x:v>
      </x:c>
      <x:c r="G134" s="25" t="str">
        <x:v>TRY</x:v>
      </x:c>
      <x:c r="H134" s="25" t="str">
        <x:v>Doktor - Bilinirlik Kampanyası - Nilüfer</x:v>
      </x:c>
      <x:c r="I134" s="25" t="str">
        <x:v>​120249061996540399</x:v>
      </x:c>
      <x:c r="J134" s="25" t="str">
        <x:v>ACTIVE</x:v>
      </x:c>
      <x:c r="K134" s="25" t="str">
        <x:v>nilüfer - Elif Şahin</x:v>
      </x:c>
      <x:c r="L134" s="25" t="str">
        <x:v>​120250370531110399</x:v>
      </x:c>
      <x:c r="M134" s="25" t="str">
        <x:v>ACTIVE</x:v>
      </x:c>
      <x:c r="N134" s="25" t="str">
        <x:v>REACH</x:v>
      </x:c>
      <x:c r="O134" s="27" t="n">
        <x:v>0</x:v>
      </x:c>
      <x:c r="P134" s="27" t="n">
        <x:v>0</x:v>
      </x:c>
      <x:c r="Q134" s="27" t="n">
        <x:v>100</x:v>
      </x:c>
      <x:c r="R134" s="27" t="n">
        <x:v>0</x:v>
      </x:c>
      <x:c r="S134" s="27" t="n">
        <x:v>453.21</x:v>
      </x:c>
      <x:c r="T134" s="28" t="n">
        <x:v>55246</x:v>
      </x:c>
      <x:c r="U134" s="28" t="n">
        <x:v>54555</x:v>
      </x:c>
      <x:c r="V134" s="28" t="n">
        <x:v>74</x:v>
      </x:c>
      <x:c r="W134" s="28" t="n">
        <x:v>0</x:v>
      </x:c>
      <x:c r="X134" s="28" t="n">
        <x:v>0</x:v>
      </x:c>
      <x:c r="Y134" s="28" t="n">
        <x:v>0</x:v>
      </x:c>
      <x:c r="Z134" s="28" t="n">
        <x:v>0</x:v>
      </x:c>
      <x:c r="AA134" s="28" t="n">
        <x:v>3589</x:v>
      </x:c>
    </x:row>
    <x:row r="135">
      <x:c r="A135" s="25" t="str">
        <x:v>Temmuz 2026</x:v>
      </x:c>
      <x:c r="B135" s="25" t="str">
        <x:v>Yerli</x:v>
      </x:c>
      <x:c r="C135" s="25" t="str">
        <x:v>Türkçe</x:v>
      </x:c>
      <x:c r="D135" s="25" t="str">
        <x:v>Bilinirlik / İzlenme / Trafik</x:v>
      </x:c>
      <x:c r="E135" s="25" t="str">
        <x:v>Doktor Kampanyası</x:v>
      </x:c>
      <x:c r="F135" s="25" t="str">
        <x:v>Doruk Hastaneleri - SİNA ÖZEL Sağlık Hizmetleri A.ş</x:v>
      </x:c>
      <x:c r="G135" s="25" t="str">
        <x:v>TRY</x:v>
      </x:c>
      <x:c r="H135" s="25" t="str">
        <x:v>Doktor - Bilinirlik Kampanyası - Nilüfer</x:v>
      </x:c>
      <x:c r="I135" s="25" t="str">
        <x:v>​120249061996540399</x:v>
      </x:c>
      <x:c r="J135" s="25" t="str">
        <x:v>ACTIVE</x:v>
      </x:c>
      <x:c r="K135" s="25" t="str">
        <x:v>nilüfer - Emin Öztürk</x:v>
      </x:c>
      <x:c r="L135" s="25" t="str">
        <x:v>​120252512600520399</x:v>
      </x:c>
      <x:c r="M135" s="25" t="str">
        <x:v>ACTIVE</x:v>
      </x:c>
      <x:c r="N135" s="25" t="str">
        <x:v>REACH</x:v>
      </x:c>
      <x:c r="O135" s="27" t="n">
        <x:v>0</x:v>
      </x:c>
      <x:c r="P135" s="27" t="n">
        <x:v>0</x:v>
      </x:c>
      <x:c r="Q135" s="27" t="n">
        <x:v>100</x:v>
      </x:c>
      <x:c r="R135" s="27" t="n">
        <x:v>0</x:v>
      </x:c>
      <x:c r="S135" s="27" t="n">
        <x:v>2301.01</x:v>
      </x:c>
      <x:c r="T135" s="28" t="n">
        <x:v>254812</x:v>
      </x:c>
      <x:c r="U135" s="28" t="n">
        <x:v>224841</x:v>
      </x:c>
      <x:c r="V135" s="28" t="n">
        <x:v>92</x:v>
      </x:c>
      <x:c r="W135" s="28" t="n">
        <x:v>0</x:v>
      </x:c>
      <x:c r="X135" s="28" t="n">
        <x:v>0</x:v>
      </x:c>
      <x:c r="Y135" s="28" t="n">
        <x:v>0</x:v>
      </x:c>
      <x:c r="Z135" s="28" t="n">
        <x:v>0</x:v>
      </x:c>
      <x:c r="AA135" s="28" t="n">
        <x:v>10666</x:v>
      </x:c>
    </x:row>
    <x:row r="136">
      <x:c r="A136" s="25" t="str">
        <x:v>Ağustos 2026</x:v>
      </x:c>
      <x:c r="B136" s="25" t="str">
        <x:v>Yerli</x:v>
      </x:c>
      <x:c r="C136" s="25" t="str">
        <x:v>Türkçe</x:v>
      </x:c>
      <x:c r="D136" s="25" t="str">
        <x:v>Bilinirlik / İzlenme / Trafik</x:v>
      </x:c>
      <x:c r="E136" s="25" t="str">
        <x:v>Doktor Kampanyası</x:v>
      </x:c>
      <x:c r="F136" s="25" t="str">
        <x:v>Doruk Hastaneleri - SİNA ÖZEL Sağlık Hizmetleri A.ş</x:v>
      </x:c>
      <x:c r="G136" s="25" t="str">
        <x:v>TRY</x:v>
      </x:c>
      <x:c r="H136" s="25" t="str">
        <x:v>Doktor - Bilinirlik Kampanyası - Nilüfer</x:v>
      </x:c>
      <x:c r="I136" s="25" t="str">
        <x:v>​120249061996540399</x:v>
      </x:c>
      <x:c r="J136" s="25" t="str">
        <x:v>ACTIVE</x:v>
      </x:c>
      <x:c r="K136" s="25" t="str">
        <x:v>nilüfer - Emin Öztürk</x:v>
      </x:c>
      <x:c r="L136" s="25" t="str">
        <x:v>​120252512600520399</x:v>
      </x:c>
      <x:c r="M136" s="25" t="str">
        <x:v>ACTIVE</x:v>
      </x:c>
      <x:c r="N136" s="25" t="str">
        <x:v>REACH</x:v>
      </x:c>
      <x:c r="O136" s="27" t="n">
        <x:v>0</x:v>
      </x:c>
      <x:c r="P136" s="27" t="n">
        <x:v>0</x:v>
      </x:c>
      <x:c r="Q136" s="27" t="n">
        <x:v>100</x:v>
      </x:c>
      <x:c r="R136" s="27" t="n">
        <x:v>0</x:v>
      </x:c>
      <x:c r="S136" s="27" t="n">
        <x:v>464.8</x:v>
      </x:c>
      <x:c r="T136" s="28" t="n">
        <x:v>54799</x:v>
      </x:c>
      <x:c r="U136" s="28" t="n">
        <x:v>51900</x:v>
      </x:c>
      <x:c r="V136" s="28" t="n">
        <x:v>18</x:v>
      </x:c>
      <x:c r="W136" s="28" t="n">
        <x:v>0</x:v>
      </x:c>
      <x:c r="X136" s="28" t="n">
        <x:v>0</x:v>
      </x:c>
      <x:c r="Y136" s="28" t="n">
        <x:v>0</x:v>
      </x:c>
      <x:c r="Z136" s="28" t="n">
        <x:v>0</x:v>
      </x:c>
      <x:c r="AA136" s="28" t="n">
        <x:v>2337</x:v>
      </x:c>
    </x:row>
    <x:row r="137">
      <x:c r="A137" s="25" t="str">
        <x:v>Temmuz 2026</x:v>
      </x:c>
      <x:c r="B137" s="25" t="str">
        <x:v>Yerli</x:v>
      </x:c>
      <x:c r="C137" s="25" t="str">
        <x:v>Türkçe</x:v>
      </x:c>
      <x:c r="D137" s="25" t="str">
        <x:v>Bilinirlik / İzlenme / Trafik</x:v>
      </x:c>
      <x:c r="E137" s="25" t="str">
        <x:v>Doktor Kampanyası</x:v>
      </x:c>
      <x:c r="F137" s="25" t="str">
        <x:v>Doruk Hastaneleri - SİNA ÖZEL Sağlık Hizmetleri A.ş</x:v>
      </x:c>
      <x:c r="G137" s="25" t="str">
        <x:v>TRY</x:v>
      </x:c>
      <x:c r="H137" s="25" t="str">
        <x:v>Doktor - Bilinirlik Kampanyası - Nilüfer</x:v>
      </x:c>
      <x:c r="I137" s="25" t="str">
        <x:v>​120249061996540399</x:v>
      </x:c>
      <x:c r="J137" s="25" t="str">
        <x:v>ACTIVE</x:v>
      </x:c>
      <x:c r="K137" s="25" t="str">
        <x:v>nilüfer - Eren Kaya</x:v>
      </x:c>
      <x:c r="L137" s="25" t="str">
        <x:v>​120250370606890399</x:v>
      </x:c>
      <x:c r="M137" s="25" t="str">
        <x:v>ACTIVE</x:v>
      </x:c>
      <x:c r="N137" s="25" t="str">
        <x:v>REACH</x:v>
      </x:c>
      <x:c r="O137" s="27" t="n">
        <x:v>0</x:v>
      </x:c>
      <x:c r="P137" s="27" t="n">
        <x:v>0</x:v>
      </x:c>
      <x:c r="Q137" s="27" t="n">
        <x:v>100</x:v>
      </x:c>
      <x:c r="R137" s="27" t="n">
        <x:v>0</x:v>
      </x:c>
      <x:c r="S137" s="27" t="n">
        <x:v>2380.97</x:v>
      </x:c>
      <x:c r="T137" s="28" t="n">
        <x:v>259897</x:v>
      </x:c>
      <x:c r="U137" s="28" t="n">
        <x:v>240105</x:v>
      </x:c>
      <x:c r="V137" s="28" t="n">
        <x:v>140</x:v>
      </x:c>
      <x:c r="W137" s="28" t="n">
        <x:v>0</x:v>
      </x:c>
      <x:c r="X137" s="28" t="n">
        <x:v>0</x:v>
      </x:c>
      <x:c r="Y137" s="28" t="n">
        <x:v>0</x:v>
      </x:c>
      <x:c r="Z137" s="28" t="n">
        <x:v>0</x:v>
      </x:c>
      <x:c r="AA137" s="28" t="n">
        <x:v>9072</x:v>
      </x:c>
    </x:row>
    <x:row r="138">
      <x:c r="A138" s="25" t="str">
        <x:v>Ağustos 2026</x:v>
      </x:c>
      <x:c r="B138" s="25" t="str">
        <x:v>Yerli</x:v>
      </x:c>
      <x:c r="C138" s="25" t="str">
        <x:v>Türkçe</x:v>
      </x:c>
      <x:c r="D138" s="25" t="str">
        <x:v>Bilinirlik / İzlenme / Trafik</x:v>
      </x:c>
      <x:c r="E138" s="25" t="str">
        <x:v>Doktor Kampanyası</x:v>
      </x:c>
      <x:c r="F138" s="25" t="str">
        <x:v>Doruk Hastaneleri - SİNA ÖZEL Sağlık Hizmetleri A.ş</x:v>
      </x:c>
      <x:c r="G138" s="25" t="str">
        <x:v>TRY</x:v>
      </x:c>
      <x:c r="H138" s="25" t="str">
        <x:v>Doktor - Bilinirlik Kampanyası - Nilüfer</x:v>
      </x:c>
      <x:c r="I138" s="25" t="str">
        <x:v>​120249061996540399</x:v>
      </x:c>
      <x:c r="J138" s="25" t="str">
        <x:v>ACTIVE</x:v>
      </x:c>
      <x:c r="K138" s="25" t="str">
        <x:v>nilüfer - Eren Kaya</x:v>
      </x:c>
      <x:c r="L138" s="25" t="str">
        <x:v>​120250370606890399</x:v>
      </x:c>
      <x:c r="M138" s="25" t="str">
        <x:v>ACTIVE</x:v>
      </x:c>
      <x:c r="N138" s="25" t="str">
        <x:v>REACH</x:v>
      </x:c>
      <x:c r="O138" s="27" t="n">
        <x:v>0</x:v>
      </x:c>
      <x:c r="P138" s="27" t="n">
        <x:v>0</x:v>
      </x:c>
      <x:c r="Q138" s="27" t="n">
        <x:v>100</x:v>
      </x:c>
      <x:c r="R138" s="27" t="n">
        <x:v>0</x:v>
      </x:c>
      <x:c r="S138" s="27" t="n">
        <x:v>471.1</x:v>
      </x:c>
      <x:c r="T138" s="28" t="n">
        <x:v>55056</x:v>
      </x:c>
      <x:c r="U138" s="28" t="n">
        <x:v>53934</x:v>
      </x:c>
      <x:c r="V138" s="28" t="n">
        <x:v>37</x:v>
      </x:c>
      <x:c r="W138" s="28" t="n">
        <x:v>0</x:v>
      </x:c>
      <x:c r="X138" s="28" t="n">
        <x:v>0</x:v>
      </x:c>
      <x:c r="Y138" s="28" t="n">
        <x:v>0</x:v>
      </x:c>
      <x:c r="Z138" s="28" t="n">
        <x:v>0</x:v>
      </x:c>
      <x:c r="AA138" s="28" t="n">
        <x:v>2524</x:v>
      </x:c>
    </x:row>
    <x:row r="139">
      <x:c r="A139" s="25" t="str">
        <x:v>Temmuz 2026</x:v>
      </x:c>
      <x:c r="B139" s="25" t="str">
        <x:v>Yerli</x:v>
      </x:c>
      <x:c r="C139" s="25" t="str">
        <x:v>Türkçe</x:v>
      </x:c>
      <x:c r="D139" s="25" t="str">
        <x:v>Bilinirlik / İzlenme / Trafik</x:v>
      </x:c>
      <x:c r="E139" s="25" t="str">
        <x:v>Doktor Kampanyası</x:v>
      </x:c>
      <x:c r="F139" s="25" t="str">
        <x:v>Doruk Hastaneleri - SİNA ÖZEL Sağlık Hizmetleri A.ş</x:v>
      </x:c>
      <x:c r="G139" s="25" t="str">
        <x:v>TRY</x:v>
      </x:c>
      <x:c r="H139" s="25" t="str">
        <x:v>Doktor - Bilinirlik Kampanyası - Nilüfer</x:v>
      </x:c>
      <x:c r="I139" s="25" t="str">
        <x:v>​120249061996540399</x:v>
      </x:c>
      <x:c r="J139" s="25" t="str">
        <x:v>ACTIVE</x:v>
      </x:c>
      <x:c r="K139" s="25" t="str">
        <x:v>nilüfer - Erkan Avcı</x:v>
      </x:c>
      <x:c r="L139" s="25" t="str">
        <x:v>​120252512526450399</x:v>
      </x:c>
      <x:c r="M139" s="25" t="str">
        <x:v>ACTIVE</x:v>
      </x:c>
      <x:c r="N139" s="25" t="str">
        <x:v>REACH</x:v>
      </x:c>
      <x:c r="O139" s="27" t="n">
        <x:v>0</x:v>
      </x:c>
      <x:c r="P139" s="27" t="n">
        <x:v>0</x:v>
      </x:c>
      <x:c r="Q139" s="27" t="n">
        <x:v>100</x:v>
      </x:c>
      <x:c r="R139" s="27" t="n">
        <x:v>0</x:v>
      </x:c>
      <x:c r="S139" s="27" t="n">
        <x:v>2342.66</x:v>
      </x:c>
      <x:c r="T139" s="28" t="n">
        <x:v>258239</x:v>
      </x:c>
      <x:c r="U139" s="28" t="n">
        <x:v>244492</x:v>
      </x:c>
      <x:c r="V139" s="28" t="n">
        <x:v>72</x:v>
      </x:c>
      <x:c r="W139" s="28" t="n">
        <x:v>0</x:v>
      </x:c>
      <x:c r="X139" s="28" t="n">
        <x:v>0</x:v>
      </x:c>
      <x:c r="Y139" s="28" t="n">
        <x:v>0</x:v>
      </x:c>
      <x:c r="Z139" s="28" t="n">
        <x:v>0</x:v>
      </x:c>
      <x:c r="AA139" s="28" t="n">
        <x:v>9964</x:v>
      </x:c>
    </x:row>
    <x:row r="140">
      <x:c r="A140" s="25" t="str">
        <x:v>Ağustos 2026</x:v>
      </x:c>
      <x:c r="B140" s="25" t="str">
        <x:v>Yerli</x:v>
      </x:c>
      <x:c r="C140" s="25" t="str">
        <x:v>Türkçe</x:v>
      </x:c>
      <x:c r="D140" s="25" t="str">
        <x:v>Bilinirlik / İzlenme / Trafik</x:v>
      </x:c>
      <x:c r="E140" s="25" t="str">
        <x:v>Doktor Kampanyası</x:v>
      </x:c>
      <x:c r="F140" s="25" t="str">
        <x:v>Doruk Hastaneleri - SİNA ÖZEL Sağlık Hizmetleri A.ş</x:v>
      </x:c>
      <x:c r="G140" s="25" t="str">
        <x:v>TRY</x:v>
      </x:c>
      <x:c r="H140" s="25" t="str">
        <x:v>Doktor - Bilinirlik Kampanyası - Nilüfer</x:v>
      </x:c>
      <x:c r="I140" s="25" t="str">
        <x:v>​120249061996540399</x:v>
      </x:c>
      <x:c r="J140" s="25" t="str">
        <x:v>ACTIVE</x:v>
      </x:c>
      <x:c r="K140" s="25" t="str">
        <x:v>nilüfer - Erkan Avcı</x:v>
      </x:c>
      <x:c r="L140" s="25" t="str">
        <x:v>​120252512526450399</x:v>
      </x:c>
      <x:c r="M140" s="25" t="str">
        <x:v>ACTIVE</x:v>
      </x:c>
      <x:c r="N140" s="25" t="str">
        <x:v>REACH</x:v>
      </x:c>
      <x:c r="O140" s="27" t="n">
        <x:v>0</x:v>
      </x:c>
      <x:c r="P140" s="27" t="n">
        <x:v>0</x:v>
      </x:c>
      <x:c r="Q140" s="27" t="n">
        <x:v>100</x:v>
      </x:c>
      <x:c r="R140" s="27" t="n">
        <x:v>0</x:v>
      </x:c>
      <x:c r="S140" s="27" t="n">
        <x:v>475.44</x:v>
      </x:c>
      <x:c r="T140" s="28" t="n">
        <x:v>56033</x:v>
      </x:c>
      <x:c r="U140" s="28" t="n">
        <x:v>55470</x:v>
      </x:c>
      <x:c r="V140" s="28" t="n">
        <x:v>12</x:v>
      </x:c>
      <x:c r="W140" s="28" t="n">
        <x:v>0</x:v>
      </x:c>
      <x:c r="X140" s="28" t="n">
        <x:v>0</x:v>
      </x:c>
      <x:c r="Y140" s="28" t="n">
        <x:v>0</x:v>
      </x:c>
      <x:c r="Z140" s="28" t="n">
        <x:v>0</x:v>
      </x:c>
      <x:c r="AA140" s="28" t="n">
        <x:v>2201</x:v>
      </x:c>
    </x:row>
    <x:row r="141">
      <x:c r="A141" s="25" t="str">
        <x:v>Temmuz 2026</x:v>
      </x:c>
      <x:c r="B141" s="25" t="str">
        <x:v>Yerli</x:v>
      </x:c>
      <x:c r="C141" s="25" t="str">
        <x:v>Türkçe</x:v>
      </x:c>
      <x:c r="D141" s="25" t="str">
        <x:v>Bilinirlik / İzlenme / Trafik</x:v>
      </x:c>
      <x:c r="E141" s="25" t="str">
        <x:v>Doktor Kampanyası</x:v>
      </x:c>
      <x:c r="F141" s="25" t="str">
        <x:v>Doruk Hastaneleri - SİNA ÖZEL Sağlık Hizmetleri A.ş</x:v>
      </x:c>
      <x:c r="G141" s="25" t="str">
        <x:v>TRY</x:v>
      </x:c>
      <x:c r="H141" s="25" t="str">
        <x:v>Doktor - Bilinirlik Kampanyası - Nilüfer</x:v>
      </x:c>
      <x:c r="I141" s="25" t="str">
        <x:v>​120249061996540399</x:v>
      </x:c>
      <x:c r="J141" s="25" t="str">
        <x:v>ACTIVE</x:v>
      </x:c>
      <x:c r="K141" s="25" t="str">
        <x:v>nilüfer - Ersun Topal</x:v>
      </x:c>
      <x:c r="L141" s="25" t="str">
        <x:v>​120250015917140399</x:v>
      </x:c>
      <x:c r="M141" s="25" t="str">
        <x:v>ACTIVE</x:v>
      </x:c>
      <x:c r="N141" s="25" t="str">
        <x:v>REACH</x:v>
      </x:c>
      <x:c r="O141" s="27" t="n">
        <x:v>0</x:v>
      </x:c>
      <x:c r="P141" s="27" t="n">
        <x:v>0</x:v>
      </x:c>
      <x:c r="Q141" s="27" t="n">
        <x:v>100</x:v>
      </x:c>
      <x:c r="R141" s="27" t="n">
        <x:v>0</x:v>
      </x:c>
      <x:c r="S141" s="27" t="n">
        <x:v>2350.8</x:v>
      </x:c>
      <x:c r="T141" s="28" t="n">
        <x:v>259928</x:v>
      </x:c>
      <x:c r="U141" s="28" t="n">
        <x:v>245967</x:v>
      </x:c>
      <x:c r="V141" s="28" t="n">
        <x:v>75</x:v>
      </x:c>
      <x:c r="W141" s="28" t="n">
        <x:v>0</x:v>
      </x:c>
      <x:c r="X141" s="28" t="n">
        <x:v>0</x:v>
      </x:c>
      <x:c r="Y141" s="28" t="n">
        <x:v>0</x:v>
      </x:c>
      <x:c r="Z141" s="28" t="n">
        <x:v>0</x:v>
      </x:c>
      <x:c r="AA141" s="28" t="n">
        <x:v>7256</x:v>
      </x:c>
    </x:row>
    <x:row r="142">
      <x:c r="A142" s="25" t="str">
        <x:v>Ağustos 2026</x:v>
      </x:c>
      <x:c r="B142" s="25" t="str">
        <x:v>Yerli</x:v>
      </x:c>
      <x:c r="C142" s="25" t="str">
        <x:v>Türkçe</x:v>
      </x:c>
      <x:c r="D142" s="25" t="str">
        <x:v>Bilinirlik / İzlenme / Trafik</x:v>
      </x:c>
      <x:c r="E142" s="25" t="str">
        <x:v>Doktor Kampanyası</x:v>
      </x:c>
      <x:c r="F142" s="25" t="str">
        <x:v>Doruk Hastaneleri - SİNA ÖZEL Sağlık Hizmetleri A.ş</x:v>
      </x:c>
      <x:c r="G142" s="25" t="str">
        <x:v>TRY</x:v>
      </x:c>
      <x:c r="H142" s="25" t="str">
        <x:v>Doktor - Bilinirlik Kampanyası - Nilüfer</x:v>
      </x:c>
      <x:c r="I142" s="25" t="str">
        <x:v>​120249061996540399</x:v>
      </x:c>
      <x:c r="J142" s="25" t="str">
        <x:v>ACTIVE</x:v>
      </x:c>
      <x:c r="K142" s="25" t="str">
        <x:v>nilüfer - Ersun Topal</x:v>
      </x:c>
      <x:c r="L142" s="25" t="str">
        <x:v>​120250015917140399</x:v>
      </x:c>
      <x:c r="M142" s="25" t="str">
        <x:v>ACTIVE</x:v>
      </x:c>
      <x:c r="N142" s="25" t="str">
        <x:v>REACH</x:v>
      </x:c>
      <x:c r="O142" s="27" t="n">
        <x:v>0</x:v>
      </x:c>
      <x:c r="P142" s="27" t="n">
        <x:v>0</x:v>
      </x:c>
      <x:c r="Q142" s="27" t="n">
        <x:v>100</x:v>
      </x:c>
      <x:c r="R142" s="27" t="n">
        <x:v>0</x:v>
      </x:c>
      <x:c r="S142" s="27" t="n">
        <x:v>458.85</x:v>
      </x:c>
      <x:c r="T142" s="28" t="n">
        <x:v>54202</x:v>
      </x:c>
      <x:c r="U142" s="28" t="n">
        <x:v>54049</x:v>
      </x:c>
      <x:c r="V142" s="28" t="n">
        <x:v>23</x:v>
      </x:c>
      <x:c r="W142" s="28" t="n">
        <x:v>0</x:v>
      </x:c>
      <x:c r="X142" s="28" t="n">
        <x:v>0</x:v>
      </x:c>
      <x:c r="Y142" s="28" t="n">
        <x:v>0</x:v>
      </x:c>
      <x:c r="Z142" s="28" t="n">
        <x:v>0</x:v>
      </x:c>
      <x:c r="AA142" s="28" t="n">
        <x:v>1474</x:v>
      </x:c>
    </x:row>
    <x:row r="143">
      <x:c r="A143" s="25" t="str">
        <x:v>Temmuz 2026</x:v>
      </x:c>
      <x:c r="B143" s="25" t="str">
        <x:v>Yerli</x:v>
      </x:c>
      <x:c r="C143" s="25" t="str">
        <x:v>Türkçe</x:v>
      </x:c>
      <x:c r="D143" s="25" t="str">
        <x:v>Bilinirlik / İzlenme / Trafik</x:v>
      </x:c>
      <x:c r="E143" s="25" t="str">
        <x:v>Doktor Kampanyası</x:v>
      </x:c>
      <x:c r="F143" s="25" t="str">
        <x:v>Doruk Hastaneleri - SİNA ÖZEL Sağlık Hizmetleri A.ş</x:v>
      </x:c>
      <x:c r="G143" s="25" t="str">
        <x:v>TRY</x:v>
      </x:c>
      <x:c r="H143" s="25" t="str">
        <x:v>Doktor - Bilinirlik Kampanyası - Nilüfer</x:v>
      </x:c>
      <x:c r="I143" s="25" t="str">
        <x:v>​120249061996540399</x:v>
      </x:c>
      <x:c r="J143" s="25" t="str">
        <x:v>ACTIVE</x:v>
      </x:c>
      <x:c r="K143" s="25" t="str">
        <x:v>nilüfer - Fatih Aydemir</x:v>
      </x:c>
      <x:c r="L143" s="25" t="str">
        <x:v>​120249677032050399</x:v>
      </x:c>
      <x:c r="M143" s="25" t="str">
        <x:v>ACTIVE</x:v>
      </x:c>
      <x:c r="N143" s="25" t="str">
        <x:v>REACH</x:v>
      </x:c>
      <x:c r="O143" s="27" t="n">
        <x:v>0</x:v>
      </x:c>
      <x:c r="P143" s="27" t="n">
        <x:v>0</x:v>
      </x:c>
      <x:c r="Q143" s="27" t="n">
        <x:v>100</x:v>
      </x:c>
      <x:c r="R143" s="27" t="n">
        <x:v>0</x:v>
      </x:c>
      <x:c r="S143" s="27" t="n">
        <x:v>2365.88</x:v>
      </x:c>
      <x:c r="T143" s="28" t="n">
        <x:v>259900</x:v>
      </x:c>
      <x:c r="U143" s="28" t="n">
        <x:v>237932</x:v>
      </x:c>
      <x:c r="V143" s="28" t="n">
        <x:v>62</x:v>
      </x:c>
      <x:c r="W143" s="28" t="n">
        <x:v>0</x:v>
      </x:c>
      <x:c r="X143" s="28" t="n">
        <x:v>0</x:v>
      </x:c>
      <x:c r="Y143" s="28" t="n">
        <x:v>0</x:v>
      </x:c>
      <x:c r="Z143" s="28" t="n">
        <x:v>0</x:v>
      </x:c>
      <x:c r="AA143" s="28" t="n">
        <x:v>7000</x:v>
      </x:c>
    </x:row>
    <x:row r="144">
      <x:c r="A144" s="25" t="str">
        <x:v>Ağustos 2026</x:v>
      </x:c>
      <x:c r="B144" s="25" t="str">
        <x:v>Yerli</x:v>
      </x:c>
      <x:c r="C144" s="25" t="str">
        <x:v>Türkçe</x:v>
      </x:c>
      <x:c r="D144" s="25" t="str">
        <x:v>Bilinirlik / İzlenme / Trafik</x:v>
      </x:c>
      <x:c r="E144" s="25" t="str">
        <x:v>Doktor Kampanyası</x:v>
      </x:c>
      <x:c r="F144" s="25" t="str">
        <x:v>Doruk Hastaneleri - SİNA ÖZEL Sağlık Hizmetleri A.ş</x:v>
      </x:c>
      <x:c r="G144" s="25" t="str">
        <x:v>TRY</x:v>
      </x:c>
      <x:c r="H144" s="25" t="str">
        <x:v>Doktor - Bilinirlik Kampanyası - Nilüfer</x:v>
      </x:c>
      <x:c r="I144" s="25" t="str">
        <x:v>​120249061996540399</x:v>
      </x:c>
      <x:c r="J144" s="25" t="str">
        <x:v>ACTIVE</x:v>
      </x:c>
      <x:c r="K144" s="25" t="str">
        <x:v>nilüfer - Fatih Aydemir</x:v>
      </x:c>
      <x:c r="L144" s="25" t="str">
        <x:v>​120249677032050399</x:v>
      </x:c>
      <x:c r="M144" s="25" t="str">
        <x:v>ACTIVE</x:v>
      </x:c>
      <x:c r="N144" s="25" t="str">
        <x:v>REACH</x:v>
      </x:c>
      <x:c r="O144" s="27" t="n">
        <x:v>0</x:v>
      </x:c>
      <x:c r="P144" s="27" t="n">
        <x:v>0</x:v>
      </x:c>
      <x:c r="Q144" s="27" t="n">
        <x:v>100</x:v>
      </x:c>
      <x:c r="R144" s="27" t="n">
        <x:v>0</x:v>
      </x:c>
      <x:c r="S144" s="27" t="n">
        <x:v>469</x:v>
      </x:c>
      <x:c r="T144" s="28" t="n">
        <x:v>55187</x:v>
      </x:c>
      <x:c r="U144" s="28" t="n">
        <x:v>53872</x:v>
      </x:c>
      <x:c r="V144" s="28" t="n">
        <x:v>15</x:v>
      </x:c>
      <x:c r="W144" s="28" t="n">
        <x:v>0</x:v>
      </x:c>
      <x:c r="X144" s="28" t="n">
        <x:v>0</x:v>
      </x:c>
      <x:c r="Y144" s="28" t="n">
        <x:v>0</x:v>
      </x:c>
      <x:c r="Z144" s="28" t="n">
        <x:v>0</x:v>
      </x:c>
      <x:c r="AA144" s="28" t="n">
        <x:v>1522</x:v>
      </x:c>
    </x:row>
    <x:row r="145">
      <x:c r="A145" s="25" t="str">
        <x:v>Temmuz 2026</x:v>
      </x:c>
      <x:c r="B145" s="25" t="str">
        <x:v>Yerli</x:v>
      </x:c>
      <x:c r="C145" s="25" t="str">
        <x:v>Türkçe</x:v>
      </x:c>
      <x:c r="D145" s="25" t="str">
        <x:v>Bilinirlik / İzlenme / Trafik</x:v>
      </x:c>
      <x:c r="E145" s="25" t="str">
        <x:v>Doktor Kampanyası</x:v>
      </x:c>
      <x:c r="F145" s="25" t="str">
        <x:v>Doruk Hastaneleri - SİNA ÖZEL Sağlık Hizmetleri A.ş</x:v>
      </x:c>
      <x:c r="G145" s="25" t="str">
        <x:v>TRY</x:v>
      </x:c>
      <x:c r="H145" s="25" t="str">
        <x:v>Doktor - Bilinirlik Kampanyası - Nilüfer</x:v>
      </x:c>
      <x:c r="I145" s="25" t="str">
        <x:v>​120249061996540399</x:v>
      </x:c>
      <x:c r="J145" s="25" t="str">
        <x:v>ACTIVE</x:v>
      </x:c>
      <x:c r="K145" s="25" t="str">
        <x:v>nilüfer - Fatih Gök</x:v>
      </x:c>
      <x:c r="L145" s="25" t="str">
        <x:v>​120249678889860399</x:v>
      </x:c>
      <x:c r="M145" s="25" t="str">
        <x:v>ACTIVE</x:v>
      </x:c>
      <x:c r="N145" s="25" t="str">
        <x:v>REACH</x:v>
      </x:c>
      <x:c r="O145" s="27" t="n">
        <x:v>0</x:v>
      </x:c>
      <x:c r="P145" s="27" t="n">
        <x:v>0</x:v>
      </x:c>
      <x:c r="Q145" s="27" t="n">
        <x:v>100</x:v>
      </x:c>
      <x:c r="R145" s="27" t="n">
        <x:v>0</x:v>
      </x:c>
      <x:c r="S145" s="27" t="n">
        <x:v>2343.68</x:v>
      </x:c>
      <x:c r="T145" s="28" t="n">
        <x:v>258137</x:v>
      </x:c>
      <x:c r="U145" s="28" t="n">
        <x:v>227976</x:v>
      </x:c>
      <x:c r="V145" s="28" t="n">
        <x:v>231</x:v>
      </x:c>
      <x:c r="W145" s="28" t="n">
        <x:v>0</x:v>
      </x:c>
      <x:c r="X145" s="28" t="n">
        <x:v>0</x:v>
      </x:c>
      <x:c r="Y145" s="28" t="n">
        <x:v>0</x:v>
      </x:c>
      <x:c r="Z145" s="28" t="n">
        <x:v>0</x:v>
      </x:c>
      <x:c r="AA145" s="28" t="n">
        <x:v>10124</x:v>
      </x:c>
    </x:row>
    <x:row r="146">
      <x:c r="A146" s="25" t="str">
        <x:v>Ağustos 2026</x:v>
      </x:c>
      <x:c r="B146" s="25" t="str">
        <x:v>Yerli</x:v>
      </x:c>
      <x:c r="C146" s="25" t="str">
        <x:v>Türkçe</x:v>
      </x:c>
      <x:c r="D146" s="25" t="str">
        <x:v>Bilinirlik / İzlenme / Trafik</x:v>
      </x:c>
      <x:c r="E146" s="25" t="str">
        <x:v>Doktor Kampanyası</x:v>
      </x:c>
      <x:c r="F146" s="25" t="str">
        <x:v>Doruk Hastaneleri - SİNA ÖZEL Sağlık Hizmetleri A.ş</x:v>
      </x:c>
      <x:c r="G146" s="25" t="str">
        <x:v>TRY</x:v>
      </x:c>
      <x:c r="H146" s="25" t="str">
        <x:v>Doktor - Bilinirlik Kampanyası - Nilüfer</x:v>
      </x:c>
      <x:c r="I146" s="25" t="str">
        <x:v>​120249061996540399</x:v>
      </x:c>
      <x:c r="J146" s="25" t="str">
        <x:v>ACTIVE</x:v>
      </x:c>
      <x:c r="K146" s="25" t="str">
        <x:v>nilüfer - Fatih Gök</x:v>
      </x:c>
      <x:c r="L146" s="25" t="str">
        <x:v>​120249678889860399</x:v>
      </x:c>
      <x:c r="M146" s="25" t="str">
        <x:v>ACTIVE</x:v>
      </x:c>
      <x:c r="N146" s="25" t="str">
        <x:v>REACH</x:v>
      </x:c>
      <x:c r="O146" s="27" t="n">
        <x:v>0</x:v>
      </x:c>
      <x:c r="P146" s="27" t="n">
        <x:v>0</x:v>
      </x:c>
      <x:c r="Q146" s="27" t="n">
        <x:v>100</x:v>
      </x:c>
      <x:c r="R146" s="27" t="n">
        <x:v>0</x:v>
      </x:c>
      <x:c r="S146" s="27" t="n">
        <x:v>463.62</x:v>
      </x:c>
      <x:c r="T146" s="28" t="n">
        <x:v>54966</x:v>
      </x:c>
      <x:c r="U146" s="28" t="n">
        <x:v>54032</x:v>
      </x:c>
      <x:c r="V146" s="28" t="n">
        <x:v>58</x:v>
      </x:c>
      <x:c r="W146" s="28" t="n">
        <x:v>0</x:v>
      </x:c>
      <x:c r="X146" s="28" t="n">
        <x:v>0</x:v>
      </x:c>
      <x:c r="Y146" s="28" t="n">
        <x:v>0</x:v>
      </x:c>
      <x:c r="Z146" s="28" t="n">
        <x:v>0</x:v>
      </x:c>
      <x:c r="AA146" s="28" t="n">
        <x:v>2406</x:v>
      </x:c>
    </x:row>
    <x:row r="147">
      <x:c r="A147" s="25" t="str">
        <x:v>Temmuz 2026</x:v>
      </x:c>
      <x:c r="B147" s="25" t="str">
        <x:v>Yerli</x:v>
      </x:c>
      <x:c r="C147" s="25" t="str">
        <x:v>Türkçe</x:v>
      </x:c>
      <x:c r="D147" s="25" t="str">
        <x:v>Bilinirlik / İzlenme / Trafik</x:v>
      </x:c>
      <x:c r="E147" s="25" t="str">
        <x:v>Doktor Kampanyası</x:v>
      </x:c>
      <x:c r="F147" s="25" t="str">
        <x:v>Doruk Hastaneleri - SİNA ÖZEL Sağlık Hizmetleri A.ş</x:v>
      </x:c>
      <x:c r="G147" s="25" t="str">
        <x:v>TRY</x:v>
      </x:c>
      <x:c r="H147" s="25" t="str">
        <x:v>Doktor - Bilinirlik Kampanyası - Nilüfer</x:v>
      </x:c>
      <x:c r="I147" s="25" t="str">
        <x:v>​120249061996540399</x:v>
      </x:c>
      <x:c r="J147" s="25" t="str">
        <x:v>ACTIVE</x:v>
      </x:c>
      <x:c r="K147" s="25" t="str">
        <x:v>nilüfer - Fatma Güray</x:v>
      </x:c>
      <x:c r="L147" s="25" t="str">
        <x:v>​120250370636130399</x:v>
      </x:c>
      <x:c r="M147" s="25" t="str">
        <x:v>ACTIVE</x:v>
      </x:c>
      <x:c r="N147" s="25" t="str">
        <x:v>REACH</x:v>
      </x:c>
      <x:c r="O147" s="27" t="n">
        <x:v>0</x:v>
      </x:c>
      <x:c r="P147" s="27" t="n">
        <x:v>0</x:v>
      </x:c>
      <x:c r="Q147" s="27" t="n">
        <x:v>100</x:v>
      </x:c>
      <x:c r="R147" s="27" t="n">
        <x:v>0</x:v>
      </x:c>
      <x:c r="S147" s="27" t="n">
        <x:v>2363.91</x:v>
      </x:c>
      <x:c r="T147" s="28" t="n">
        <x:v>258972</x:v>
      </x:c>
      <x:c r="U147" s="28" t="n">
        <x:v>247122</x:v>
      </x:c>
      <x:c r="V147" s="28" t="n">
        <x:v>150</x:v>
      </x:c>
      <x:c r="W147" s="28" t="n">
        <x:v>0</x:v>
      </x:c>
      <x:c r="X147" s="28" t="n">
        <x:v>0</x:v>
      </x:c>
      <x:c r="Y147" s="28" t="n">
        <x:v>0</x:v>
      </x:c>
      <x:c r="Z147" s="28" t="n">
        <x:v>0</x:v>
      </x:c>
      <x:c r="AA147" s="28" t="n">
        <x:v>12477</x:v>
      </x:c>
    </x:row>
    <x:row r="148">
      <x:c r="A148" s="25" t="str">
        <x:v>Ağustos 2026</x:v>
      </x:c>
      <x:c r="B148" s="25" t="str">
        <x:v>Yerli</x:v>
      </x:c>
      <x:c r="C148" s="25" t="str">
        <x:v>Türkçe</x:v>
      </x:c>
      <x:c r="D148" s="25" t="str">
        <x:v>Bilinirlik / İzlenme / Trafik</x:v>
      </x:c>
      <x:c r="E148" s="25" t="str">
        <x:v>Doktor Kampanyası</x:v>
      </x:c>
      <x:c r="F148" s="25" t="str">
        <x:v>Doruk Hastaneleri - SİNA ÖZEL Sağlık Hizmetleri A.ş</x:v>
      </x:c>
      <x:c r="G148" s="25" t="str">
        <x:v>TRY</x:v>
      </x:c>
      <x:c r="H148" s="25" t="str">
        <x:v>Doktor - Bilinirlik Kampanyası - Nilüfer</x:v>
      </x:c>
      <x:c r="I148" s="25" t="str">
        <x:v>​120249061996540399</x:v>
      </x:c>
      <x:c r="J148" s="25" t="str">
        <x:v>ACTIVE</x:v>
      </x:c>
      <x:c r="K148" s="25" t="str">
        <x:v>nilüfer - Fatma Güray</x:v>
      </x:c>
      <x:c r="L148" s="25" t="str">
        <x:v>​120250370636130399</x:v>
      </x:c>
      <x:c r="M148" s="25" t="str">
        <x:v>ACTIVE</x:v>
      </x:c>
      <x:c r="N148" s="25" t="str">
        <x:v>REACH</x:v>
      </x:c>
      <x:c r="O148" s="27" t="n">
        <x:v>0</x:v>
      </x:c>
      <x:c r="P148" s="27" t="n">
        <x:v>0</x:v>
      </x:c>
      <x:c r="Q148" s="27" t="n">
        <x:v>100</x:v>
      </x:c>
      <x:c r="R148" s="27" t="n">
        <x:v>0</x:v>
      </x:c>
      <x:c r="S148" s="27" t="n">
        <x:v>458.95</x:v>
      </x:c>
      <x:c r="T148" s="28" t="n">
        <x:v>53923</x:v>
      </x:c>
      <x:c r="U148" s="28" t="n">
        <x:v>49434</x:v>
      </x:c>
      <x:c r="V148" s="28" t="n">
        <x:v>47</x:v>
      </x:c>
      <x:c r="W148" s="28" t="n">
        <x:v>0</x:v>
      </x:c>
      <x:c r="X148" s="28" t="n">
        <x:v>0</x:v>
      </x:c>
      <x:c r="Y148" s="28" t="n">
        <x:v>0</x:v>
      </x:c>
      <x:c r="Z148" s="28" t="n">
        <x:v>0</x:v>
      </x:c>
      <x:c r="AA148" s="28" t="n">
        <x:v>3419</x:v>
      </x:c>
    </x:row>
    <x:row r="149">
      <x:c r="A149" s="25" t="str">
        <x:v>Temmuz 2026</x:v>
      </x:c>
      <x:c r="B149" s="25" t="str">
        <x:v>Yerli</x:v>
      </x:c>
      <x:c r="C149" s="25" t="str">
        <x:v>Türkçe</x:v>
      </x:c>
      <x:c r="D149" s="25" t="str">
        <x:v>Bilinirlik / İzlenme / Trafik</x:v>
      </x:c>
      <x:c r="E149" s="25" t="str">
        <x:v>Doktor Kampanyası</x:v>
      </x:c>
      <x:c r="F149" s="25" t="str">
        <x:v>Doruk Hastaneleri - SİNA ÖZEL Sağlık Hizmetleri A.ş</x:v>
      </x:c>
      <x:c r="G149" s="25" t="str">
        <x:v>TRY</x:v>
      </x:c>
      <x:c r="H149" s="25" t="str">
        <x:v>Doktor - Bilinirlik Kampanyası - Nilüfer</x:v>
      </x:c>
      <x:c r="I149" s="25" t="str">
        <x:v>​120249061996540399</x:v>
      </x:c>
      <x:c r="J149" s="25" t="str">
        <x:v>ACTIVE</x:v>
      </x:c>
      <x:c r="K149" s="25" t="str">
        <x:v>nilüfer - Feray Alkan</x:v>
      </x:c>
      <x:c r="L149" s="25" t="str">
        <x:v>​120250139840910399</x:v>
      </x:c>
      <x:c r="M149" s="25" t="str">
        <x:v>ACTIVE</x:v>
      </x:c>
      <x:c r="N149" s="25" t="str">
        <x:v>REACH</x:v>
      </x:c>
      <x:c r="O149" s="27" t="n">
        <x:v>0</x:v>
      </x:c>
      <x:c r="P149" s="27" t="n">
        <x:v>0</x:v>
      </x:c>
      <x:c r="Q149" s="27" t="n">
        <x:v>100</x:v>
      </x:c>
      <x:c r="R149" s="27" t="n">
        <x:v>0</x:v>
      </x:c>
      <x:c r="S149" s="27" t="n">
        <x:v>2338.82</x:v>
      </x:c>
      <x:c r="T149" s="28" t="n">
        <x:v>259573</x:v>
      </x:c>
      <x:c r="U149" s="28" t="n">
        <x:v>247950</x:v>
      </x:c>
      <x:c r="V149" s="28" t="n">
        <x:v>138</x:v>
      </x:c>
      <x:c r="W149" s="28" t="n">
        <x:v>0</x:v>
      </x:c>
      <x:c r="X149" s="28" t="n">
        <x:v>0</x:v>
      </x:c>
      <x:c r="Y149" s="28" t="n">
        <x:v>0</x:v>
      </x:c>
      <x:c r="Z149" s="28" t="n">
        <x:v>0</x:v>
      </x:c>
      <x:c r="AA149" s="28" t="n">
        <x:v>10745</x:v>
      </x:c>
    </x:row>
    <x:row r="150">
      <x:c r="A150" s="25" t="str">
        <x:v>Ağustos 2026</x:v>
      </x:c>
      <x:c r="B150" s="25" t="str">
        <x:v>Yerli</x:v>
      </x:c>
      <x:c r="C150" s="25" t="str">
        <x:v>Türkçe</x:v>
      </x:c>
      <x:c r="D150" s="25" t="str">
        <x:v>Bilinirlik / İzlenme / Trafik</x:v>
      </x:c>
      <x:c r="E150" s="25" t="str">
        <x:v>Doktor Kampanyası</x:v>
      </x:c>
      <x:c r="F150" s="25" t="str">
        <x:v>Doruk Hastaneleri - SİNA ÖZEL Sağlık Hizmetleri A.ş</x:v>
      </x:c>
      <x:c r="G150" s="25" t="str">
        <x:v>TRY</x:v>
      </x:c>
      <x:c r="H150" s="25" t="str">
        <x:v>Doktor - Bilinirlik Kampanyası - Nilüfer</x:v>
      </x:c>
      <x:c r="I150" s="25" t="str">
        <x:v>​120249061996540399</x:v>
      </x:c>
      <x:c r="J150" s="25" t="str">
        <x:v>ACTIVE</x:v>
      </x:c>
      <x:c r="K150" s="25" t="str">
        <x:v>nilüfer - Feray Alkan</x:v>
      </x:c>
      <x:c r="L150" s="25" t="str">
        <x:v>​120250139840910399</x:v>
      </x:c>
      <x:c r="M150" s="25" t="str">
        <x:v>ACTIVE</x:v>
      </x:c>
      <x:c r="N150" s="25" t="str">
        <x:v>REACH</x:v>
      </x:c>
      <x:c r="O150" s="27" t="n">
        <x:v>0</x:v>
      </x:c>
      <x:c r="P150" s="27" t="n">
        <x:v>0</x:v>
      </x:c>
      <x:c r="Q150" s="27" t="n">
        <x:v>100</x:v>
      </x:c>
      <x:c r="R150" s="27" t="n">
        <x:v>0</x:v>
      </x:c>
      <x:c r="S150" s="27" t="n">
        <x:v>461.55</x:v>
      </x:c>
      <x:c r="T150" s="28" t="n">
        <x:v>55439</x:v>
      </x:c>
      <x:c r="U150" s="28" t="n">
        <x:v>54091</x:v>
      </x:c>
      <x:c r="V150" s="28" t="n">
        <x:v>46</x:v>
      </x:c>
      <x:c r="W150" s="28" t="n">
        <x:v>0</x:v>
      </x:c>
      <x:c r="X150" s="28" t="n">
        <x:v>0</x:v>
      </x:c>
      <x:c r="Y150" s="28" t="n">
        <x:v>0</x:v>
      </x:c>
      <x:c r="Z150" s="28" t="n">
        <x:v>0</x:v>
      </x:c>
      <x:c r="AA150" s="28" t="n">
        <x:v>3122</x:v>
      </x:c>
    </x:row>
    <x:row r="151">
      <x:c r="A151" s="25" t="str">
        <x:v>Temmuz 2026</x:v>
      </x:c>
      <x:c r="B151" s="25" t="str">
        <x:v>Yerli</x:v>
      </x:c>
      <x:c r="C151" s="25" t="str">
        <x:v>Türkçe</x:v>
      </x:c>
      <x:c r="D151" s="25" t="str">
        <x:v>Bilinirlik / İzlenme / Trafik</x:v>
      </x:c>
      <x:c r="E151" s="25" t="str">
        <x:v>Doktor Kampanyası</x:v>
      </x:c>
      <x:c r="F151" s="25" t="str">
        <x:v>Doruk Hastaneleri - SİNA ÖZEL Sağlık Hizmetleri A.ş</x:v>
      </x:c>
      <x:c r="G151" s="25" t="str">
        <x:v>TRY</x:v>
      </x:c>
      <x:c r="H151" s="25" t="str">
        <x:v>Doktor - Bilinirlik Kampanyası - Nilüfer</x:v>
      </x:c>
      <x:c r="I151" s="25" t="str">
        <x:v>​120249061996540399</x:v>
      </x:c>
      <x:c r="J151" s="25" t="str">
        <x:v>ACTIVE</x:v>
      </x:c>
      <x:c r="K151" s="25" t="str">
        <x:v>nilüfer - Feyza Bayram</x:v>
      </x:c>
      <x:c r="L151" s="25" t="str">
        <x:v>​120250370672630399</x:v>
      </x:c>
      <x:c r="M151" s="25" t="str">
        <x:v>ACTIVE</x:v>
      </x:c>
      <x:c r="N151" s="25" t="str">
        <x:v>REACH</x:v>
      </x:c>
      <x:c r="O151" s="27" t="n">
        <x:v>0</x:v>
      </x:c>
      <x:c r="P151" s="27" t="n">
        <x:v>0</x:v>
      </x:c>
      <x:c r="Q151" s="27" t="n">
        <x:v>100</x:v>
      </x:c>
      <x:c r="R151" s="27" t="n">
        <x:v>0</x:v>
      </x:c>
      <x:c r="S151" s="27" t="n">
        <x:v>2287.84</x:v>
      </x:c>
      <x:c r="T151" s="28" t="n">
        <x:v>256958</x:v>
      </x:c>
      <x:c r="U151" s="28" t="n">
        <x:v>214284</x:v>
      </x:c>
      <x:c r="V151" s="28" t="n">
        <x:v>293</x:v>
      </x:c>
      <x:c r="W151" s="28" t="n">
        <x:v>0</x:v>
      </x:c>
      <x:c r="X151" s="28" t="n">
        <x:v>0</x:v>
      </x:c>
      <x:c r="Y151" s="28" t="n">
        <x:v>0</x:v>
      </x:c>
      <x:c r="Z151" s="28" t="n">
        <x:v>0</x:v>
      </x:c>
      <x:c r="AA151" s="28" t="n">
        <x:v>11939</x:v>
      </x:c>
    </x:row>
    <x:row r="152">
      <x:c r="A152" s="25" t="str">
        <x:v>Ağustos 2026</x:v>
      </x:c>
      <x:c r="B152" s="25" t="str">
        <x:v>Yerli</x:v>
      </x:c>
      <x:c r="C152" s="25" t="str">
        <x:v>Türkçe</x:v>
      </x:c>
      <x:c r="D152" s="25" t="str">
        <x:v>Bilinirlik / İzlenme / Trafik</x:v>
      </x:c>
      <x:c r="E152" s="25" t="str">
        <x:v>Doktor Kampanyası</x:v>
      </x:c>
      <x:c r="F152" s="25" t="str">
        <x:v>Doruk Hastaneleri - SİNA ÖZEL Sağlık Hizmetleri A.ş</x:v>
      </x:c>
      <x:c r="G152" s="25" t="str">
        <x:v>TRY</x:v>
      </x:c>
      <x:c r="H152" s="25" t="str">
        <x:v>Doktor - Bilinirlik Kampanyası - Nilüfer</x:v>
      </x:c>
      <x:c r="I152" s="25" t="str">
        <x:v>​120249061996540399</x:v>
      </x:c>
      <x:c r="J152" s="25" t="str">
        <x:v>ACTIVE</x:v>
      </x:c>
      <x:c r="K152" s="25" t="str">
        <x:v>nilüfer - Feyza Bayram</x:v>
      </x:c>
      <x:c r="L152" s="25" t="str">
        <x:v>​120250370672630399</x:v>
      </x:c>
      <x:c r="M152" s="25" t="str">
        <x:v>ACTIVE</x:v>
      </x:c>
      <x:c r="N152" s="25" t="str">
        <x:v>REACH</x:v>
      </x:c>
      <x:c r="O152" s="27" t="n">
        <x:v>0</x:v>
      </x:c>
      <x:c r="P152" s="27" t="n">
        <x:v>0</x:v>
      </x:c>
      <x:c r="Q152" s="27" t="n">
        <x:v>100</x:v>
      </x:c>
      <x:c r="R152" s="27" t="n">
        <x:v>0</x:v>
      </x:c>
      <x:c r="S152" s="27" t="n">
        <x:v>468.49</x:v>
      </x:c>
      <x:c r="T152" s="28" t="n">
        <x:v>56572</x:v>
      </x:c>
      <x:c r="U152" s="28" t="n">
        <x:v>55269</x:v>
      </x:c>
      <x:c r="V152" s="28" t="n">
        <x:v>65</x:v>
      </x:c>
      <x:c r="W152" s="28" t="n">
        <x:v>0</x:v>
      </x:c>
      <x:c r="X152" s="28" t="n">
        <x:v>0</x:v>
      </x:c>
      <x:c r="Y152" s="28" t="n">
        <x:v>0</x:v>
      </x:c>
      <x:c r="Z152" s="28" t="n">
        <x:v>0</x:v>
      </x:c>
      <x:c r="AA152" s="28" t="n">
        <x:v>3024</x:v>
      </x:c>
    </x:row>
    <x:row r="153">
      <x:c r="A153" s="25" t="str">
        <x:v>Temmuz 2026</x:v>
      </x:c>
      <x:c r="B153" s="25" t="str">
        <x:v>Yerli</x:v>
      </x:c>
      <x:c r="C153" s="25" t="str">
        <x:v>Türkçe</x:v>
      </x:c>
      <x:c r="D153" s="25" t="str">
        <x:v>Bilinirlik / İzlenme / Trafik</x:v>
      </x:c>
      <x:c r="E153" s="25" t="str">
        <x:v>Doktor Kampanyası</x:v>
      </x:c>
      <x:c r="F153" s="25" t="str">
        <x:v>Doruk Hastaneleri - SİNA ÖZEL Sağlık Hizmetleri A.ş</x:v>
      </x:c>
      <x:c r="G153" s="25" t="str">
        <x:v>TRY</x:v>
      </x:c>
      <x:c r="H153" s="25" t="str">
        <x:v>Doktor - Bilinirlik Kampanyası - Nilüfer</x:v>
      </x:c>
      <x:c r="I153" s="25" t="str">
        <x:v>​120249061996540399</x:v>
      </x:c>
      <x:c r="J153" s="25" t="str">
        <x:v>ACTIVE</x:v>
      </x:c>
      <x:c r="K153" s="25" t="str">
        <x:v>nilüfer - Filiz Gözeten Yetiker</x:v>
      </x:c>
      <x:c r="L153" s="25" t="str">
        <x:v>​120252512881130399</x:v>
      </x:c>
      <x:c r="M153" s="25" t="str">
        <x:v>ACTIVE</x:v>
      </x:c>
      <x:c r="N153" s="25" t="str">
        <x:v>REACH</x:v>
      </x:c>
      <x:c r="O153" s="27" t="n">
        <x:v>0</x:v>
      </x:c>
      <x:c r="P153" s="27" t="n">
        <x:v>0</x:v>
      </x:c>
      <x:c r="Q153" s="27" t="n">
        <x:v>100</x:v>
      </x:c>
      <x:c r="R153" s="27" t="n">
        <x:v>0</x:v>
      </x:c>
      <x:c r="S153" s="27" t="n">
        <x:v>2292.44</x:v>
      </x:c>
      <x:c r="T153" s="28" t="n">
        <x:v>254788</x:v>
      </x:c>
      <x:c r="U153" s="28" t="n">
        <x:v>237956</x:v>
      </x:c>
      <x:c r="V153" s="28" t="n">
        <x:v>92</x:v>
      </x:c>
      <x:c r="W153" s="28" t="n">
        <x:v>0</x:v>
      </x:c>
      <x:c r="X153" s="28" t="n">
        <x:v>0</x:v>
      </x:c>
      <x:c r="Y153" s="28" t="n">
        <x:v>0</x:v>
      </x:c>
      <x:c r="Z153" s="28" t="n">
        <x:v>0</x:v>
      </x:c>
      <x:c r="AA153" s="28" t="n">
        <x:v>9224</x:v>
      </x:c>
    </x:row>
    <x:row r="154">
      <x:c r="A154" s="25" t="str">
        <x:v>Ağustos 2026</x:v>
      </x:c>
      <x:c r="B154" s="25" t="str">
        <x:v>Yerli</x:v>
      </x:c>
      <x:c r="C154" s="25" t="str">
        <x:v>Türkçe</x:v>
      </x:c>
      <x:c r="D154" s="25" t="str">
        <x:v>Bilinirlik / İzlenme / Trafik</x:v>
      </x:c>
      <x:c r="E154" s="25" t="str">
        <x:v>Doktor Kampanyası</x:v>
      </x:c>
      <x:c r="F154" s="25" t="str">
        <x:v>Doruk Hastaneleri - SİNA ÖZEL Sağlık Hizmetleri A.ş</x:v>
      </x:c>
      <x:c r="G154" s="25" t="str">
        <x:v>TRY</x:v>
      </x:c>
      <x:c r="H154" s="25" t="str">
        <x:v>Doktor - Bilinirlik Kampanyası - Nilüfer</x:v>
      </x:c>
      <x:c r="I154" s="25" t="str">
        <x:v>​120249061996540399</x:v>
      </x:c>
      <x:c r="J154" s="25" t="str">
        <x:v>ACTIVE</x:v>
      </x:c>
      <x:c r="K154" s="25" t="str">
        <x:v>nilüfer - Filiz Gözeten Yetiker</x:v>
      </x:c>
      <x:c r="L154" s="25" t="str">
        <x:v>​120252512881130399</x:v>
      </x:c>
      <x:c r="M154" s="25" t="str">
        <x:v>ACTIVE</x:v>
      </x:c>
      <x:c r="N154" s="25" t="str">
        <x:v>REACH</x:v>
      </x:c>
      <x:c r="O154" s="27" t="n">
        <x:v>0</x:v>
      </x:c>
      <x:c r="P154" s="27" t="n">
        <x:v>0</x:v>
      </x:c>
      <x:c r="Q154" s="27" t="n">
        <x:v>100</x:v>
      </x:c>
      <x:c r="R154" s="27" t="n">
        <x:v>0</x:v>
      </x:c>
      <x:c r="S154" s="27" t="n">
        <x:v>463.16</x:v>
      </x:c>
      <x:c r="T154" s="28" t="n">
        <x:v>54914</x:v>
      </x:c>
      <x:c r="U154" s="28" t="n">
        <x:v>53831</x:v>
      </x:c>
      <x:c r="V154" s="28" t="n">
        <x:v>20</x:v>
      </x:c>
      <x:c r="W154" s="28" t="n">
        <x:v>0</x:v>
      </x:c>
      <x:c r="X154" s="28" t="n">
        <x:v>0</x:v>
      </x:c>
      <x:c r="Y154" s="28" t="n">
        <x:v>0</x:v>
      </x:c>
      <x:c r="Z154" s="28" t="n">
        <x:v>0</x:v>
      </x:c>
      <x:c r="AA154" s="28" t="n">
        <x:v>2080</x:v>
      </x:c>
    </x:row>
    <x:row r="155">
      <x:c r="A155" s="25" t="str">
        <x:v>Temmuz 2026</x:v>
      </x:c>
      <x:c r="B155" s="25" t="str">
        <x:v>Yerli</x:v>
      </x:c>
      <x:c r="C155" s="25" t="str">
        <x:v>Türkçe</x:v>
      </x:c>
      <x:c r="D155" s="25" t="str">
        <x:v>Bilinirlik / İzlenme / Trafik</x:v>
      </x:c>
      <x:c r="E155" s="25" t="str">
        <x:v>Doktor Kampanyası</x:v>
      </x:c>
      <x:c r="F155" s="25" t="str">
        <x:v>Doruk Hastaneleri - SİNA ÖZEL Sağlık Hizmetleri A.ş</x:v>
      </x:c>
      <x:c r="G155" s="25" t="str">
        <x:v>TRY</x:v>
      </x:c>
      <x:c r="H155" s="25" t="str">
        <x:v>Doktor - Bilinirlik Kampanyası - Nilüfer</x:v>
      </x:c>
      <x:c r="I155" s="25" t="str">
        <x:v>​120249061996540399</x:v>
      </x:c>
      <x:c r="J155" s="25" t="str">
        <x:v>ACTIVE</x:v>
      </x:c>
      <x:c r="K155" s="25" t="str">
        <x:v>nilüfer - Hanife Zerrin Yazıcı</x:v>
      </x:c>
      <x:c r="L155" s="25" t="str">
        <x:v>​120250012439320399</x:v>
      </x:c>
      <x:c r="M155" s="25" t="str">
        <x:v>ACTIVE</x:v>
      </x:c>
      <x:c r="N155" s="25" t="str">
        <x:v>REACH</x:v>
      </x:c>
      <x:c r="O155" s="27" t="n">
        <x:v>0</x:v>
      </x:c>
      <x:c r="P155" s="27" t="n">
        <x:v>0</x:v>
      </x:c>
      <x:c r="Q155" s="27" t="n">
        <x:v>100</x:v>
      </x:c>
      <x:c r="R155" s="27" t="n">
        <x:v>0</x:v>
      </x:c>
      <x:c r="S155" s="27" t="n">
        <x:v>2314.65</x:v>
      </x:c>
      <x:c r="T155" s="28" t="n">
        <x:v>257630</x:v>
      </x:c>
      <x:c r="U155" s="28" t="n">
        <x:v>229567</x:v>
      </x:c>
      <x:c r="V155" s="28" t="n">
        <x:v>207</x:v>
      </x:c>
      <x:c r="W155" s="28" t="n">
        <x:v>0</x:v>
      </x:c>
      <x:c r="X155" s="28" t="n">
        <x:v>0</x:v>
      </x:c>
      <x:c r="Y155" s="28" t="n">
        <x:v>0</x:v>
      </x:c>
      <x:c r="Z155" s="28" t="n">
        <x:v>0</x:v>
      </x:c>
      <x:c r="AA155" s="28" t="n">
        <x:v>10053</x:v>
      </x:c>
    </x:row>
    <x:row r="156">
      <x:c r="A156" s="25" t="str">
        <x:v>Ağustos 2026</x:v>
      </x:c>
      <x:c r="B156" s="25" t="str">
        <x:v>Yerli</x:v>
      </x:c>
      <x:c r="C156" s="25" t="str">
        <x:v>Türkçe</x:v>
      </x:c>
      <x:c r="D156" s="25" t="str">
        <x:v>Bilinirlik / İzlenme / Trafik</x:v>
      </x:c>
      <x:c r="E156" s="25" t="str">
        <x:v>Doktor Kampanyası</x:v>
      </x:c>
      <x:c r="F156" s="25" t="str">
        <x:v>Doruk Hastaneleri - SİNA ÖZEL Sağlık Hizmetleri A.ş</x:v>
      </x:c>
      <x:c r="G156" s="25" t="str">
        <x:v>TRY</x:v>
      </x:c>
      <x:c r="H156" s="25" t="str">
        <x:v>Doktor - Bilinirlik Kampanyası - Nilüfer</x:v>
      </x:c>
      <x:c r="I156" s="25" t="str">
        <x:v>​120249061996540399</x:v>
      </x:c>
      <x:c r="J156" s="25" t="str">
        <x:v>ACTIVE</x:v>
      </x:c>
      <x:c r="K156" s="25" t="str">
        <x:v>nilüfer - Hanife Zerrin Yazıcı</x:v>
      </x:c>
      <x:c r="L156" s="25" t="str">
        <x:v>​120250012439320399</x:v>
      </x:c>
      <x:c r="M156" s="25" t="str">
        <x:v>ACTIVE</x:v>
      </x:c>
      <x:c r="N156" s="25" t="str">
        <x:v>REACH</x:v>
      </x:c>
      <x:c r="O156" s="27" t="n">
        <x:v>0</x:v>
      </x:c>
      <x:c r="P156" s="27" t="n">
        <x:v>0</x:v>
      </x:c>
      <x:c r="Q156" s="27" t="n">
        <x:v>100</x:v>
      </x:c>
      <x:c r="R156" s="27" t="n">
        <x:v>0</x:v>
      </x:c>
      <x:c r="S156" s="27" t="n">
        <x:v>461.44</x:v>
      </x:c>
      <x:c r="T156" s="28" t="n">
        <x:v>54757</x:v>
      </x:c>
      <x:c r="U156" s="28" t="n">
        <x:v>54566</x:v>
      </x:c>
      <x:c r="V156" s="28" t="n">
        <x:v>37</x:v>
      </x:c>
      <x:c r="W156" s="28" t="n">
        <x:v>0</x:v>
      </x:c>
      <x:c r="X156" s="28" t="n">
        <x:v>0</x:v>
      </x:c>
      <x:c r="Y156" s="28" t="n">
        <x:v>0</x:v>
      </x:c>
      <x:c r="Z156" s="28" t="n">
        <x:v>0</x:v>
      </x:c>
      <x:c r="AA156" s="28" t="n">
        <x:v>2331</x:v>
      </x:c>
    </x:row>
    <x:row r="157">
      <x:c r="A157" s="25" t="str">
        <x:v>Temmuz 2026</x:v>
      </x:c>
      <x:c r="B157" s="25" t="str">
        <x:v>Yerli</x:v>
      </x:c>
      <x:c r="C157" s="25" t="str">
        <x:v>Türkçe</x:v>
      </x:c>
      <x:c r="D157" s="25" t="str">
        <x:v>Bilinirlik / İzlenme / Trafik</x:v>
      </x:c>
      <x:c r="E157" s="25" t="str">
        <x:v>Doktor Kampanyası</x:v>
      </x:c>
      <x:c r="F157" s="25" t="str">
        <x:v>Doruk Hastaneleri - SİNA ÖZEL Sağlık Hizmetleri A.ş</x:v>
      </x:c>
      <x:c r="G157" s="25" t="str">
        <x:v>TRY</x:v>
      </x:c>
      <x:c r="H157" s="25" t="str">
        <x:v>Doktor - Bilinirlik Kampanyası - Nilüfer</x:v>
      </x:c>
      <x:c r="I157" s="25" t="str">
        <x:v>​120249061996540399</x:v>
      </x:c>
      <x:c r="J157" s="25" t="str">
        <x:v>ACTIVE</x:v>
      </x:c>
      <x:c r="K157" s="25" t="str">
        <x:v>nilüfer - Hasan Vatansever</x:v>
      </x:c>
      <x:c r="L157" s="25" t="str">
        <x:v>​120250139863230399</x:v>
      </x:c>
      <x:c r="M157" s="25" t="str">
        <x:v>ACTIVE</x:v>
      </x:c>
      <x:c r="N157" s="25" t="str">
        <x:v>REACH</x:v>
      </x:c>
      <x:c r="O157" s="27" t="n">
        <x:v>0</x:v>
      </x:c>
      <x:c r="P157" s="27" t="n">
        <x:v>0</x:v>
      </x:c>
      <x:c r="Q157" s="27" t="n">
        <x:v>100</x:v>
      </x:c>
      <x:c r="R157" s="27" t="n">
        <x:v>0</x:v>
      </x:c>
      <x:c r="S157" s="27" t="n">
        <x:v>2354.36</x:v>
      </x:c>
      <x:c r="T157" s="28" t="n">
        <x:v>260837</x:v>
      </x:c>
      <x:c r="U157" s="28" t="n">
        <x:v>231963</x:v>
      </x:c>
      <x:c r="V157" s="28" t="n">
        <x:v>184</x:v>
      </x:c>
      <x:c r="W157" s="28" t="n">
        <x:v>0</x:v>
      </x:c>
      <x:c r="X157" s="28" t="n">
        <x:v>0</x:v>
      </x:c>
      <x:c r="Y157" s="28" t="n">
        <x:v>0</x:v>
      </x:c>
      <x:c r="Z157" s="28" t="n">
        <x:v>0</x:v>
      </x:c>
      <x:c r="AA157" s="28" t="n">
        <x:v>11299</x:v>
      </x:c>
    </x:row>
    <x:row r="158">
      <x:c r="A158" s="25" t="str">
        <x:v>Ağustos 2026</x:v>
      </x:c>
      <x:c r="B158" s="25" t="str">
        <x:v>Yerli</x:v>
      </x:c>
      <x:c r="C158" s="25" t="str">
        <x:v>Türkçe</x:v>
      </x:c>
      <x:c r="D158" s="25" t="str">
        <x:v>Bilinirlik / İzlenme / Trafik</x:v>
      </x:c>
      <x:c r="E158" s="25" t="str">
        <x:v>Doktor Kampanyası</x:v>
      </x:c>
      <x:c r="F158" s="25" t="str">
        <x:v>Doruk Hastaneleri - SİNA ÖZEL Sağlık Hizmetleri A.ş</x:v>
      </x:c>
      <x:c r="G158" s="25" t="str">
        <x:v>TRY</x:v>
      </x:c>
      <x:c r="H158" s="25" t="str">
        <x:v>Doktor - Bilinirlik Kampanyası - Nilüfer</x:v>
      </x:c>
      <x:c r="I158" s="25" t="str">
        <x:v>​120249061996540399</x:v>
      </x:c>
      <x:c r="J158" s="25" t="str">
        <x:v>ACTIVE</x:v>
      </x:c>
      <x:c r="K158" s="25" t="str">
        <x:v>nilüfer - Hasan Vatansever</x:v>
      </x:c>
      <x:c r="L158" s="25" t="str">
        <x:v>​120250139863230399</x:v>
      </x:c>
      <x:c r="M158" s="25" t="str">
        <x:v>ACTIVE</x:v>
      </x:c>
      <x:c r="N158" s="25" t="str">
        <x:v>REACH</x:v>
      </x:c>
      <x:c r="O158" s="27" t="n">
        <x:v>0</x:v>
      </x:c>
      <x:c r="P158" s="27" t="n">
        <x:v>0</x:v>
      </x:c>
      <x:c r="Q158" s="27" t="n">
        <x:v>100</x:v>
      </x:c>
      <x:c r="R158" s="27" t="n">
        <x:v>0</x:v>
      </x:c>
      <x:c r="S158" s="27" t="n">
        <x:v>459.37</x:v>
      </x:c>
      <x:c r="T158" s="28" t="n">
        <x:v>54274</x:v>
      </x:c>
      <x:c r="U158" s="28" t="n">
        <x:v>53289</x:v>
      </x:c>
      <x:c r="V158" s="28" t="n">
        <x:v>45</x:v>
      </x:c>
      <x:c r="W158" s="28" t="n">
        <x:v>0</x:v>
      </x:c>
      <x:c r="X158" s="28" t="n">
        <x:v>0</x:v>
      </x:c>
      <x:c r="Y158" s="28" t="n">
        <x:v>0</x:v>
      </x:c>
      <x:c r="Z158" s="28" t="n">
        <x:v>0</x:v>
      </x:c>
      <x:c r="AA158" s="28" t="n">
        <x:v>2720</x:v>
      </x:c>
    </x:row>
    <x:row r="159">
      <x:c r="A159" s="25" t="str">
        <x:v>Temmuz 2026</x:v>
      </x:c>
      <x:c r="B159" s="25" t="str">
        <x:v>Yerli</x:v>
      </x:c>
      <x:c r="C159" s="25" t="str">
        <x:v>Türkçe</x:v>
      </x:c>
      <x:c r="D159" s="25" t="str">
        <x:v>Bilinirlik / İzlenme / Trafik</x:v>
      </x:c>
      <x:c r="E159" s="25" t="str">
        <x:v>Doktor Kampanyası</x:v>
      </x:c>
      <x:c r="F159" s="25" t="str">
        <x:v>Doruk Hastaneleri - SİNA ÖZEL Sağlık Hizmetleri A.ş</x:v>
      </x:c>
      <x:c r="G159" s="25" t="str">
        <x:v>TRY</x:v>
      </x:c>
      <x:c r="H159" s="25" t="str">
        <x:v>Doktor - Bilinirlik Kampanyası - Nilüfer</x:v>
      </x:c>
      <x:c r="I159" s="25" t="str">
        <x:v>​120249061996540399</x:v>
      </x:c>
      <x:c r="J159" s="25" t="str">
        <x:v>ACTIVE</x:v>
      </x:c>
      <x:c r="K159" s="25" t="str">
        <x:v>nilüfer - İrfan Atasoy</x:v>
      </x:c>
      <x:c r="L159" s="25" t="str">
        <x:v>​120250028838690399</x:v>
      </x:c>
      <x:c r="M159" s="25" t="str">
        <x:v>ACTIVE</x:v>
      </x:c>
      <x:c r="N159" s="25" t="str">
        <x:v>REACH</x:v>
      </x:c>
      <x:c r="O159" s="27" t="n">
        <x:v>0</x:v>
      </x:c>
      <x:c r="P159" s="27" t="n">
        <x:v>0</x:v>
      </x:c>
      <x:c r="Q159" s="27" t="n">
        <x:v>100</x:v>
      </x:c>
      <x:c r="R159" s="27" t="n">
        <x:v>0</x:v>
      </x:c>
      <x:c r="S159" s="27" t="n">
        <x:v>2356.41</x:v>
      </x:c>
      <x:c r="T159" s="28" t="n">
        <x:v>259706</x:v>
      </x:c>
      <x:c r="U159" s="28" t="n">
        <x:v>238621</x:v>
      </x:c>
      <x:c r="V159" s="28" t="n">
        <x:v>142</x:v>
      </x:c>
      <x:c r="W159" s="28" t="n">
        <x:v>0</x:v>
      </x:c>
      <x:c r="X159" s="28" t="n">
        <x:v>0</x:v>
      </x:c>
      <x:c r="Y159" s="28" t="n">
        <x:v>0</x:v>
      </x:c>
      <x:c r="Z159" s="28" t="n">
        <x:v>0</x:v>
      </x:c>
      <x:c r="AA159" s="28" t="n">
        <x:v>11986</x:v>
      </x:c>
    </x:row>
    <x:row r="160">
      <x:c r="A160" s="25" t="str">
        <x:v>Ağustos 2026</x:v>
      </x:c>
      <x:c r="B160" s="25" t="str">
        <x:v>Yerli</x:v>
      </x:c>
      <x:c r="C160" s="25" t="str">
        <x:v>Türkçe</x:v>
      </x:c>
      <x:c r="D160" s="25" t="str">
        <x:v>Bilinirlik / İzlenme / Trafik</x:v>
      </x:c>
      <x:c r="E160" s="25" t="str">
        <x:v>Doktor Kampanyası</x:v>
      </x:c>
      <x:c r="F160" s="25" t="str">
        <x:v>Doruk Hastaneleri - SİNA ÖZEL Sağlık Hizmetleri A.ş</x:v>
      </x:c>
      <x:c r="G160" s="25" t="str">
        <x:v>TRY</x:v>
      </x:c>
      <x:c r="H160" s="25" t="str">
        <x:v>Doktor - Bilinirlik Kampanyası - Nilüfer</x:v>
      </x:c>
      <x:c r="I160" s="25" t="str">
        <x:v>​120249061996540399</x:v>
      </x:c>
      <x:c r="J160" s="25" t="str">
        <x:v>ACTIVE</x:v>
      </x:c>
      <x:c r="K160" s="25" t="str">
        <x:v>nilüfer - İrfan Atasoy</x:v>
      </x:c>
      <x:c r="L160" s="25" t="str">
        <x:v>​120250028838690399</x:v>
      </x:c>
      <x:c r="M160" s="25" t="str">
        <x:v>ACTIVE</x:v>
      </x:c>
      <x:c r="N160" s="25" t="str">
        <x:v>REACH</x:v>
      </x:c>
      <x:c r="O160" s="27" t="n">
        <x:v>0</x:v>
      </x:c>
      <x:c r="P160" s="27" t="n">
        <x:v>0</x:v>
      </x:c>
      <x:c r="Q160" s="27" t="n">
        <x:v>100</x:v>
      </x:c>
      <x:c r="R160" s="27" t="n">
        <x:v>0</x:v>
      </x:c>
      <x:c r="S160" s="27" t="n">
        <x:v>476</x:v>
      </x:c>
      <x:c r="T160" s="28" t="n">
        <x:v>56227</x:v>
      </x:c>
      <x:c r="U160" s="28" t="n">
        <x:v>55831</x:v>
      </x:c>
      <x:c r="V160" s="28" t="n">
        <x:v>22</x:v>
      </x:c>
      <x:c r="W160" s="28" t="n">
        <x:v>0</x:v>
      </x:c>
      <x:c r="X160" s="28" t="n">
        <x:v>0</x:v>
      </x:c>
      <x:c r="Y160" s="28" t="n">
        <x:v>0</x:v>
      </x:c>
      <x:c r="Z160" s="28" t="n">
        <x:v>0</x:v>
      </x:c>
      <x:c r="AA160" s="28" t="n">
        <x:v>2641</x:v>
      </x:c>
    </x:row>
    <x:row r="161">
      <x:c r="A161" s="25" t="str">
        <x:v>Temmuz 2026</x:v>
      </x:c>
      <x:c r="B161" s="25" t="str">
        <x:v>Yerli</x:v>
      </x:c>
      <x:c r="C161" s="25" t="str">
        <x:v>Türkçe</x:v>
      </x:c>
      <x:c r="D161" s="25" t="str">
        <x:v>Bilinirlik / İzlenme / Trafik</x:v>
      </x:c>
      <x:c r="E161" s="25" t="str">
        <x:v>Doktor Kampanyası</x:v>
      </x:c>
      <x:c r="F161" s="25" t="str">
        <x:v>Doruk Hastaneleri - SİNA ÖZEL Sağlık Hizmetleri A.ş</x:v>
      </x:c>
      <x:c r="G161" s="25" t="str">
        <x:v>TRY</x:v>
      </x:c>
      <x:c r="H161" s="25" t="str">
        <x:v>Doktor - Bilinirlik Kampanyası - Nilüfer</x:v>
      </x:c>
      <x:c r="I161" s="25" t="str">
        <x:v>​120249061996540399</x:v>
      </x:c>
      <x:c r="J161" s="25" t="str">
        <x:v>ACTIVE</x:v>
      </x:c>
      <x:c r="K161" s="25" t="str">
        <x:v>nilüfer - Kamil Dilek</x:v>
      </x:c>
      <x:c r="L161" s="25" t="str">
        <x:v>​120250369890950399</x:v>
      </x:c>
      <x:c r="M161" s="25" t="str">
        <x:v>ACTIVE</x:v>
      </x:c>
      <x:c r="N161" s="25" t="str">
        <x:v>REACH</x:v>
      </x:c>
      <x:c r="O161" s="27" t="n">
        <x:v>0</x:v>
      </x:c>
      <x:c r="P161" s="27" t="n">
        <x:v>0</x:v>
      </x:c>
      <x:c r="Q161" s="27" t="n">
        <x:v>100</x:v>
      </x:c>
      <x:c r="R161" s="27" t="n">
        <x:v>0</x:v>
      </x:c>
      <x:c r="S161" s="27" t="n">
        <x:v>2295.65</x:v>
      </x:c>
      <x:c r="T161" s="28" t="n">
        <x:v>254277</x:v>
      </x:c>
      <x:c r="U161" s="28" t="n">
        <x:v>227742</x:v>
      </x:c>
      <x:c r="V161" s="28" t="n">
        <x:v>224</x:v>
      </x:c>
      <x:c r="W161" s="28" t="n">
        <x:v>0</x:v>
      </x:c>
      <x:c r="X161" s="28" t="n">
        <x:v>0</x:v>
      </x:c>
      <x:c r="Y161" s="28" t="n">
        <x:v>0</x:v>
      </x:c>
      <x:c r="Z161" s="28" t="n">
        <x:v>0</x:v>
      </x:c>
      <x:c r="AA161" s="28" t="n">
        <x:v>12965</x:v>
      </x:c>
    </x:row>
    <x:row r="162">
      <x:c r="A162" s="25" t="str">
        <x:v>Ağustos 2026</x:v>
      </x:c>
      <x:c r="B162" s="25" t="str">
        <x:v>Yerli</x:v>
      </x:c>
      <x:c r="C162" s="25" t="str">
        <x:v>Türkçe</x:v>
      </x:c>
      <x:c r="D162" s="25" t="str">
        <x:v>Bilinirlik / İzlenme / Trafik</x:v>
      </x:c>
      <x:c r="E162" s="25" t="str">
        <x:v>Doktor Kampanyası</x:v>
      </x:c>
      <x:c r="F162" s="25" t="str">
        <x:v>Doruk Hastaneleri - SİNA ÖZEL Sağlık Hizmetleri A.ş</x:v>
      </x:c>
      <x:c r="G162" s="25" t="str">
        <x:v>TRY</x:v>
      </x:c>
      <x:c r="H162" s="25" t="str">
        <x:v>Doktor - Bilinirlik Kampanyası - Nilüfer</x:v>
      </x:c>
      <x:c r="I162" s="25" t="str">
        <x:v>​120249061996540399</x:v>
      </x:c>
      <x:c r="J162" s="25" t="str">
        <x:v>ACTIVE</x:v>
      </x:c>
      <x:c r="K162" s="25" t="str">
        <x:v>nilüfer - Kamil Dilek</x:v>
      </x:c>
      <x:c r="L162" s="25" t="str">
        <x:v>​120250369890950399</x:v>
      </x:c>
      <x:c r="M162" s="25" t="str">
        <x:v>ACTIVE</x:v>
      </x:c>
      <x:c r="N162" s="25" t="str">
        <x:v>REACH</x:v>
      </x:c>
      <x:c r="O162" s="27" t="n">
        <x:v>0</x:v>
      </x:c>
      <x:c r="P162" s="27" t="n">
        <x:v>0</x:v>
      </x:c>
      <x:c r="Q162" s="27" t="n">
        <x:v>100</x:v>
      </x:c>
      <x:c r="R162" s="27" t="n">
        <x:v>0</x:v>
      </x:c>
      <x:c r="S162" s="27" t="n">
        <x:v>463.7</x:v>
      </x:c>
      <x:c r="T162" s="28" t="n">
        <x:v>55740</x:v>
      </x:c>
      <x:c r="U162" s="28" t="n">
        <x:v>53132</x:v>
      </x:c>
      <x:c r="V162" s="28" t="n">
        <x:v>89</x:v>
      </x:c>
      <x:c r="W162" s="28" t="n">
        <x:v>0</x:v>
      </x:c>
      <x:c r="X162" s="28" t="n">
        <x:v>0</x:v>
      </x:c>
      <x:c r="Y162" s="28" t="n">
        <x:v>0</x:v>
      </x:c>
      <x:c r="Z162" s="28" t="n">
        <x:v>0</x:v>
      </x:c>
      <x:c r="AA162" s="28" t="n">
        <x:v>3851</x:v>
      </x:c>
    </x:row>
    <x:row r="163">
      <x:c r="A163" s="25" t="str">
        <x:v>Temmuz 2026</x:v>
      </x:c>
      <x:c r="B163" s="25" t="str">
        <x:v>Yerli</x:v>
      </x:c>
      <x:c r="C163" s="25" t="str">
        <x:v>Türkçe</x:v>
      </x:c>
      <x:c r="D163" s="25" t="str">
        <x:v>Bilinirlik / İzlenme / Trafik</x:v>
      </x:c>
      <x:c r="E163" s="25" t="str">
        <x:v>Doktor Kampanyası</x:v>
      </x:c>
      <x:c r="F163" s="25" t="str">
        <x:v>Doruk Hastaneleri - SİNA ÖZEL Sağlık Hizmetleri A.ş</x:v>
      </x:c>
      <x:c r="G163" s="25" t="str">
        <x:v>TRY</x:v>
      </x:c>
      <x:c r="H163" s="25" t="str">
        <x:v>Doktor - Bilinirlik Kampanyası - Nilüfer</x:v>
      </x:c>
      <x:c r="I163" s="25" t="str">
        <x:v>​120249061996540399</x:v>
      </x:c>
      <x:c r="J163" s="25" t="str">
        <x:v>ACTIVE</x:v>
      </x:c>
      <x:c r="K163" s="25" t="str">
        <x:v>nilüfer - Kemal Köroğlu</x:v>
      </x:c>
      <x:c r="L163" s="25" t="str">
        <x:v>​120250370742110399</x:v>
      </x:c>
      <x:c r="M163" s="25" t="str">
        <x:v>ACTIVE</x:v>
      </x:c>
      <x:c r="N163" s="25" t="str">
        <x:v>REACH</x:v>
      </x:c>
      <x:c r="O163" s="27" t="n">
        <x:v>0</x:v>
      </x:c>
      <x:c r="P163" s="27" t="n">
        <x:v>0</x:v>
      </x:c>
      <x:c r="Q163" s="27" t="n">
        <x:v>100</x:v>
      </x:c>
      <x:c r="R163" s="27" t="n">
        <x:v>0</x:v>
      </x:c>
      <x:c r="S163" s="27" t="n">
        <x:v>2325.69</x:v>
      </x:c>
      <x:c r="T163" s="28" t="n">
        <x:v>256793</x:v>
      </x:c>
      <x:c r="U163" s="28" t="n">
        <x:v>225549</x:v>
      </x:c>
      <x:c r="V163" s="28" t="n">
        <x:v>194</x:v>
      </x:c>
      <x:c r="W163" s="28" t="n">
        <x:v>0</x:v>
      </x:c>
      <x:c r="X163" s="28" t="n">
        <x:v>0</x:v>
      </x:c>
      <x:c r="Y163" s="28" t="n">
        <x:v>0</x:v>
      </x:c>
      <x:c r="Z163" s="28" t="n">
        <x:v>0</x:v>
      </x:c>
      <x:c r="AA163" s="28" t="n">
        <x:v>9429</x:v>
      </x:c>
    </x:row>
    <x:row r="164">
      <x:c r="A164" s="25" t="str">
        <x:v>Ağustos 2026</x:v>
      </x:c>
      <x:c r="B164" s="25" t="str">
        <x:v>Yerli</x:v>
      </x:c>
      <x:c r="C164" s="25" t="str">
        <x:v>Türkçe</x:v>
      </x:c>
      <x:c r="D164" s="25" t="str">
        <x:v>Bilinirlik / İzlenme / Trafik</x:v>
      </x:c>
      <x:c r="E164" s="25" t="str">
        <x:v>Doktor Kampanyası</x:v>
      </x:c>
      <x:c r="F164" s="25" t="str">
        <x:v>Doruk Hastaneleri - SİNA ÖZEL Sağlık Hizmetleri A.ş</x:v>
      </x:c>
      <x:c r="G164" s="25" t="str">
        <x:v>TRY</x:v>
      </x:c>
      <x:c r="H164" s="25" t="str">
        <x:v>Doktor - Bilinirlik Kampanyası - Nilüfer</x:v>
      </x:c>
      <x:c r="I164" s="25" t="str">
        <x:v>​120249061996540399</x:v>
      </x:c>
      <x:c r="J164" s="25" t="str">
        <x:v>ACTIVE</x:v>
      </x:c>
      <x:c r="K164" s="25" t="str">
        <x:v>nilüfer - Kemal Köroğlu</x:v>
      </x:c>
      <x:c r="L164" s="25" t="str">
        <x:v>​120250370742110399</x:v>
      </x:c>
      <x:c r="M164" s="25" t="str">
        <x:v>ACTIVE</x:v>
      </x:c>
      <x:c r="N164" s="25" t="str">
        <x:v>REACH</x:v>
      </x:c>
      <x:c r="O164" s="27" t="n">
        <x:v>0</x:v>
      </x:c>
      <x:c r="P164" s="27" t="n">
        <x:v>0</x:v>
      </x:c>
      <x:c r="Q164" s="27" t="n">
        <x:v>100</x:v>
      </x:c>
      <x:c r="R164" s="27" t="n">
        <x:v>0</x:v>
      </x:c>
      <x:c r="S164" s="27" t="n">
        <x:v>472.84</x:v>
      </x:c>
      <x:c r="T164" s="28" t="n">
        <x:v>55813</x:v>
      </x:c>
      <x:c r="U164" s="28" t="n">
        <x:v>53481</x:v>
      </x:c>
      <x:c r="V164" s="28" t="n">
        <x:v>37</x:v>
      </x:c>
      <x:c r="W164" s="28" t="n">
        <x:v>0</x:v>
      </x:c>
      <x:c r="X164" s="28" t="n">
        <x:v>0</x:v>
      </x:c>
      <x:c r="Y164" s="28" t="n">
        <x:v>0</x:v>
      </x:c>
      <x:c r="Z164" s="28" t="n">
        <x:v>0</x:v>
      </x:c>
      <x:c r="AA164" s="28" t="n">
        <x:v>2209</x:v>
      </x:c>
    </x:row>
    <x:row r="165">
      <x:c r="A165" s="25" t="str">
        <x:v>Temmuz 2026</x:v>
      </x:c>
      <x:c r="B165" s="25" t="str">
        <x:v>Yerli</x:v>
      </x:c>
      <x:c r="C165" s="25" t="str">
        <x:v>Türkçe</x:v>
      </x:c>
      <x:c r="D165" s="25" t="str">
        <x:v>Bilinirlik / İzlenme / Trafik</x:v>
      </x:c>
      <x:c r="E165" s="25" t="str">
        <x:v>Doktor Kampanyası</x:v>
      </x:c>
      <x:c r="F165" s="25" t="str">
        <x:v>Doruk Hastaneleri - SİNA ÖZEL Sağlık Hizmetleri A.ş</x:v>
      </x:c>
      <x:c r="G165" s="25" t="str">
        <x:v>TRY</x:v>
      </x:c>
      <x:c r="H165" s="25" t="str">
        <x:v>Doktor - Bilinirlik Kampanyası - Nilüfer</x:v>
      </x:c>
      <x:c r="I165" s="25" t="str">
        <x:v>​120249061996540399</x:v>
      </x:c>
      <x:c r="J165" s="25" t="str">
        <x:v>ACTIVE</x:v>
      </x:c>
      <x:c r="K165" s="25" t="str">
        <x:v>nilüfer - Mehmet Bayrak</x:v>
      </x:c>
      <x:c r="L165" s="25" t="str">
        <x:v>​120250370795600399</x:v>
      </x:c>
      <x:c r="M165" s="25" t="str">
        <x:v>ACTIVE</x:v>
      </x:c>
      <x:c r="N165" s="25" t="str">
        <x:v>REACH</x:v>
      </x:c>
      <x:c r="O165" s="27" t="n">
        <x:v>0</x:v>
      </x:c>
      <x:c r="P165" s="27" t="n">
        <x:v>0</x:v>
      </x:c>
      <x:c r="Q165" s="27" t="n">
        <x:v>100</x:v>
      </x:c>
      <x:c r="R165" s="27" t="n">
        <x:v>0</x:v>
      </x:c>
      <x:c r="S165" s="27" t="n">
        <x:v>2264.72</x:v>
      </x:c>
      <x:c r="T165" s="28" t="n">
        <x:v>256682</x:v>
      </x:c>
      <x:c r="U165" s="28" t="n">
        <x:v>211455</x:v>
      </x:c>
      <x:c r="V165" s="28" t="n">
        <x:v>238</x:v>
      </x:c>
      <x:c r="W165" s="28" t="n">
        <x:v>0</x:v>
      </x:c>
      <x:c r="X165" s="28" t="n">
        <x:v>0</x:v>
      </x:c>
      <x:c r="Y165" s="28" t="n">
        <x:v>0</x:v>
      </x:c>
      <x:c r="Z165" s="28" t="n">
        <x:v>0</x:v>
      </x:c>
      <x:c r="AA165" s="28" t="n">
        <x:v>10766</x:v>
      </x:c>
    </x:row>
    <x:row r="166">
      <x:c r="A166" s="25" t="str">
        <x:v>Ağustos 2026</x:v>
      </x:c>
      <x:c r="B166" s="25" t="str">
        <x:v>Yerli</x:v>
      </x:c>
      <x:c r="C166" s="25" t="str">
        <x:v>Türkçe</x:v>
      </x:c>
      <x:c r="D166" s="25" t="str">
        <x:v>Bilinirlik / İzlenme / Trafik</x:v>
      </x:c>
      <x:c r="E166" s="25" t="str">
        <x:v>Doktor Kampanyası</x:v>
      </x:c>
      <x:c r="F166" s="25" t="str">
        <x:v>Doruk Hastaneleri - SİNA ÖZEL Sağlık Hizmetleri A.ş</x:v>
      </x:c>
      <x:c r="G166" s="25" t="str">
        <x:v>TRY</x:v>
      </x:c>
      <x:c r="H166" s="25" t="str">
        <x:v>Doktor - Bilinirlik Kampanyası - Nilüfer</x:v>
      </x:c>
      <x:c r="I166" s="25" t="str">
        <x:v>​120249061996540399</x:v>
      </x:c>
      <x:c r="J166" s="25" t="str">
        <x:v>ACTIVE</x:v>
      </x:c>
      <x:c r="K166" s="25" t="str">
        <x:v>nilüfer - Mehmet Bayrak</x:v>
      </x:c>
      <x:c r="L166" s="25" t="str">
        <x:v>​120250370795600399</x:v>
      </x:c>
      <x:c r="M166" s="25" t="str">
        <x:v>ACTIVE</x:v>
      </x:c>
      <x:c r="N166" s="25" t="str">
        <x:v>REACH</x:v>
      </x:c>
      <x:c r="O166" s="27" t="n">
        <x:v>0</x:v>
      </x:c>
      <x:c r="P166" s="27" t="n">
        <x:v>0</x:v>
      </x:c>
      <x:c r="Q166" s="27" t="n">
        <x:v>100</x:v>
      </x:c>
      <x:c r="R166" s="27" t="n">
        <x:v>0</x:v>
      </x:c>
      <x:c r="S166" s="27" t="n">
        <x:v>452.33</x:v>
      </x:c>
      <x:c r="T166" s="28" t="n">
        <x:v>54826</x:v>
      </x:c>
      <x:c r="U166" s="28" t="n">
        <x:v>51537</x:v>
      </x:c>
      <x:c r="V166" s="28" t="n">
        <x:v>78</x:v>
      </x:c>
      <x:c r="W166" s="28" t="n">
        <x:v>0</x:v>
      </x:c>
      <x:c r="X166" s="28" t="n">
        <x:v>0</x:v>
      </x:c>
      <x:c r="Y166" s="28" t="n">
        <x:v>0</x:v>
      </x:c>
      <x:c r="Z166" s="28" t="n">
        <x:v>0</x:v>
      </x:c>
      <x:c r="AA166" s="28" t="n">
        <x:v>2735</x:v>
      </x:c>
    </x:row>
    <x:row r="167">
      <x:c r="A167" s="25" t="str">
        <x:v>Temmuz 2026</x:v>
      </x:c>
      <x:c r="B167" s="25" t="str">
        <x:v>Yerli</x:v>
      </x:c>
      <x:c r="C167" s="25" t="str">
        <x:v>Türkçe</x:v>
      </x:c>
      <x:c r="D167" s="25" t="str">
        <x:v>Bilinirlik / İzlenme / Trafik</x:v>
      </x:c>
      <x:c r="E167" s="25" t="str">
        <x:v>Doktor Kampanyası</x:v>
      </x:c>
      <x:c r="F167" s="25" t="str">
        <x:v>Doruk Hastaneleri - SİNA ÖZEL Sağlık Hizmetleri A.ş</x:v>
      </x:c>
      <x:c r="G167" s="25" t="str">
        <x:v>TRY</x:v>
      </x:c>
      <x:c r="H167" s="25" t="str">
        <x:v>Doktor - Bilinirlik Kampanyası - Nilüfer</x:v>
      </x:c>
      <x:c r="I167" s="25" t="str">
        <x:v>​120249061996540399</x:v>
      </x:c>
      <x:c r="J167" s="25" t="str">
        <x:v>ACTIVE</x:v>
      </x:c>
      <x:c r="K167" s="25" t="str">
        <x:v>nilüfer - Mehmet Renan Özakgün</x:v>
      </x:c>
      <x:c r="L167" s="25" t="str">
        <x:v>​120250370209780399</x:v>
      </x:c>
      <x:c r="M167" s="25" t="str">
        <x:v>ACTIVE</x:v>
      </x:c>
      <x:c r="N167" s="25" t="str">
        <x:v>REACH</x:v>
      </x:c>
      <x:c r="O167" s="27" t="n">
        <x:v>0</x:v>
      </x:c>
      <x:c r="P167" s="27" t="n">
        <x:v>0</x:v>
      </x:c>
      <x:c r="Q167" s="27" t="n">
        <x:v>100</x:v>
      </x:c>
      <x:c r="R167" s="27" t="n">
        <x:v>0</x:v>
      </x:c>
      <x:c r="S167" s="27" t="n">
        <x:v>2362.03</x:v>
      </x:c>
      <x:c r="T167" s="28" t="n">
        <x:v>259337</x:v>
      </x:c>
      <x:c r="U167" s="28" t="n">
        <x:v>233762</x:v>
      </x:c>
      <x:c r="V167" s="28" t="n">
        <x:v>95</x:v>
      </x:c>
      <x:c r="W167" s="28" t="n">
        <x:v>0</x:v>
      </x:c>
      <x:c r="X167" s="28" t="n">
        <x:v>0</x:v>
      </x:c>
      <x:c r="Y167" s="28" t="n">
        <x:v>0</x:v>
      </x:c>
      <x:c r="Z167" s="28" t="n">
        <x:v>0</x:v>
      </x:c>
      <x:c r="AA167" s="28" t="n">
        <x:v>9625</x:v>
      </x:c>
    </x:row>
    <x:row r="168">
      <x:c r="A168" s="25" t="str">
        <x:v>Ağustos 2026</x:v>
      </x:c>
      <x:c r="B168" s="25" t="str">
        <x:v>Yerli</x:v>
      </x:c>
      <x:c r="C168" s="25" t="str">
        <x:v>Türkçe</x:v>
      </x:c>
      <x:c r="D168" s="25" t="str">
        <x:v>Bilinirlik / İzlenme / Trafik</x:v>
      </x:c>
      <x:c r="E168" s="25" t="str">
        <x:v>Doktor Kampanyası</x:v>
      </x:c>
      <x:c r="F168" s="25" t="str">
        <x:v>Doruk Hastaneleri - SİNA ÖZEL Sağlık Hizmetleri A.ş</x:v>
      </x:c>
      <x:c r="G168" s="25" t="str">
        <x:v>TRY</x:v>
      </x:c>
      <x:c r="H168" s="25" t="str">
        <x:v>Doktor - Bilinirlik Kampanyası - Nilüfer</x:v>
      </x:c>
      <x:c r="I168" s="25" t="str">
        <x:v>​120249061996540399</x:v>
      </x:c>
      <x:c r="J168" s="25" t="str">
        <x:v>ACTIVE</x:v>
      </x:c>
      <x:c r="K168" s="25" t="str">
        <x:v>nilüfer - Mehmet Renan Özakgün</x:v>
      </x:c>
      <x:c r="L168" s="25" t="str">
        <x:v>​120250370209780399</x:v>
      </x:c>
      <x:c r="M168" s="25" t="str">
        <x:v>ACTIVE</x:v>
      </x:c>
      <x:c r="N168" s="25" t="str">
        <x:v>REACH</x:v>
      </x:c>
      <x:c r="O168" s="27" t="n">
        <x:v>0</x:v>
      </x:c>
      <x:c r="P168" s="27" t="n">
        <x:v>0</x:v>
      </x:c>
      <x:c r="Q168" s="27" t="n">
        <x:v>100</x:v>
      </x:c>
      <x:c r="R168" s="27" t="n">
        <x:v>0</x:v>
      </x:c>
      <x:c r="S168" s="27" t="n">
        <x:v>445.94</x:v>
      </x:c>
      <x:c r="T168" s="28" t="n">
        <x:v>52327</x:v>
      </x:c>
      <x:c r="U168" s="28" t="n">
        <x:v>51301</x:v>
      </x:c>
      <x:c r="V168" s="28" t="n">
        <x:v>19</x:v>
      </x:c>
      <x:c r="W168" s="28" t="n">
        <x:v>0</x:v>
      </x:c>
      <x:c r="X168" s="28" t="n">
        <x:v>0</x:v>
      </x:c>
      <x:c r="Y168" s="28" t="n">
        <x:v>0</x:v>
      </x:c>
      <x:c r="Z168" s="28" t="n">
        <x:v>0</x:v>
      </x:c>
      <x:c r="AA168" s="28" t="n">
        <x:v>2227</x:v>
      </x:c>
    </x:row>
    <x:row r="169">
      <x:c r="A169" s="25" t="str">
        <x:v>Temmuz 2026</x:v>
      </x:c>
      <x:c r="B169" s="25" t="str">
        <x:v>Yerli</x:v>
      </x:c>
      <x:c r="C169" s="25" t="str">
        <x:v>Türkçe</x:v>
      </x:c>
      <x:c r="D169" s="25" t="str">
        <x:v>Bilinirlik / İzlenme / Trafik</x:v>
      </x:c>
      <x:c r="E169" s="25" t="str">
        <x:v>Doktor Kampanyası</x:v>
      </x:c>
      <x:c r="F169" s="25" t="str">
        <x:v>Doruk Hastaneleri - SİNA ÖZEL Sağlık Hizmetleri A.ş</x:v>
      </x:c>
      <x:c r="G169" s="25" t="str">
        <x:v>TRY</x:v>
      </x:c>
      <x:c r="H169" s="25" t="str">
        <x:v>Doktor - Bilinirlik Kampanyası - Nilüfer</x:v>
      </x:c>
      <x:c r="I169" s="25" t="str">
        <x:v>​120249061996540399</x:v>
      </x:c>
      <x:c r="J169" s="25" t="str">
        <x:v>ACTIVE</x:v>
      </x:c>
      <x:c r="K169" s="25" t="str">
        <x:v>nilüfer - Melike Yıldırım</x:v>
      </x:c>
      <x:c r="L169" s="25" t="str">
        <x:v>​120250373494480399</x:v>
      </x:c>
      <x:c r="M169" s="25" t="str">
        <x:v>ACTIVE</x:v>
      </x:c>
      <x:c r="N169" s="25" t="str">
        <x:v>REACH</x:v>
      </x:c>
      <x:c r="O169" s="27" t="n">
        <x:v>0</x:v>
      </x:c>
      <x:c r="P169" s="27" t="n">
        <x:v>0</x:v>
      </x:c>
      <x:c r="Q169" s="27" t="n">
        <x:v>100</x:v>
      </x:c>
      <x:c r="R169" s="27" t="n">
        <x:v>0</x:v>
      </x:c>
      <x:c r="S169" s="27" t="n">
        <x:v>2336.44</x:v>
      </x:c>
      <x:c r="T169" s="28" t="n">
        <x:v>259792</x:v>
      </x:c>
      <x:c r="U169" s="28" t="n">
        <x:v>243130</x:v>
      </x:c>
      <x:c r="V169" s="28" t="n">
        <x:v>149</x:v>
      </x:c>
      <x:c r="W169" s="28" t="n">
        <x:v>0</x:v>
      </x:c>
      <x:c r="X169" s="28" t="n">
        <x:v>0</x:v>
      </x:c>
      <x:c r="Y169" s="28" t="n">
        <x:v>0</x:v>
      </x:c>
      <x:c r="Z169" s="28" t="n">
        <x:v>0</x:v>
      </x:c>
      <x:c r="AA169" s="28" t="n">
        <x:v>10271</x:v>
      </x:c>
    </x:row>
    <x:row r="170">
      <x:c r="A170" s="25" t="str">
        <x:v>Ağustos 2026</x:v>
      </x:c>
      <x:c r="B170" s="25" t="str">
        <x:v>Yerli</x:v>
      </x:c>
      <x:c r="C170" s="25" t="str">
        <x:v>Türkçe</x:v>
      </x:c>
      <x:c r="D170" s="25" t="str">
        <x:v>Bilinirlik / İzlenme / Trafik</x:v>
      </x:c>
      <x:c r="E170" s="25" t="str">
        <x:v>Doktor Kampanyası</x:v>
      </x:c>
      <x:c r="F170" s="25" t="str">
        <x:v>Doruk Hastaneleri - SİNA ÖZEL Sağlık Hizmetleri A.ş</x:v>
      </x:c>
      <x:c r="G170" s="25" t="str">
        <x:v>TRY</x:v>
      </x:c>
      <x:c r="H170" s="25" t="str">
        <x:v>Doktor - Bilinirlik Kampanyası - Nilüfer</x:v>
      </x:c>
      <x:c r="I170" s="25" t="str">
        <x:v>​120249061996540399</x:v>
      </x:c>
      <x:c r="J170" s="25" t="str">
        <x:v>ACTIVE</x:v>
      </x:c>
      <x:c r="K170" s="25" t="str">
        <x:v>nilüfer - Melike Yıldırım</x:v>
      </x:c>
      <x:c r="L170" s="25" t="str">
        <x:v>​120250373494480399</x:v>
      </x:c>
      <x:c r="M170" s="25" t="str">
        <x:v>ACTIVE</x:v>
      </x:c>
      <x:c r="N170" s="25" t="str">
        <x:v>REACH</x:v>
      </x:c>
      <x:c r="O170" s="27" t="n">
        <x:v>0</x:v>
      </x:c>
      <x:c r="P170" s="27" t="n">
        <x:v>0</x:v>
      </x:c>
      <x:c r="Q170" s="27" t="n">
        <x:v>100</x:v>
      </x:c>
      <x:c r="R170" s="27" t="n">
        <x:v>0</x:v>
      </x:c>
      <x:c r="S170" s="27" t="n">
        <x:v>458.92</x:v>
      </x:c>
      <x:c r="T170" s="28" t="n">
        <x:v>55988</x:v>
      </x:c>
      <x:c r="U170" s="28" t="n">
        <x:v>55988</x:v>
      </x:c>
      <x:c r="V170" s="28" t="n">
        <x:v>71</x:v>
      </x:c>
      <x:c r="W170" s="28" t="n">
        <x:v>0</x:v>
      </x:c>
      <x:c r="X170" s="28" t="n">
        <x:v>0</x:v>
      </x:c>
      <x:c r="Y170" s="28" t="n">
        <x:v>0</x:v>
      </x:c>
      <x:c r="Z170" s="28" t="n">
        <x:v>0</x:v>
      </x:c>
      <x:c r="AA170" s="28" t="n">
        <x:v>2919</x:v>
      </x:c>
    </x:row>
    <x:row r="171">
      <x:c r="A171" s="25" t="str">
        <x:v>Temmuz 2026</x:v>
      </x:c>
      <x:c r="B171" s="25" t="str">
        <x:v>Yerli</x:v>
      </x:c>
      <x:c r="C171" s="25" t="str">
        <x:v>Türkçe</x:v>
      </x:c>
      <x:c r="D171" s="25" t="str">
        <x:v>Bilinirlik / İzlenme / Trafik</x:v>
      </x:c>
      <x:c r="E171" s="25" t="str">
        <x:v>Doktor Kampanyası</x:v>
      </x:c>
      <x:c r="F171" s="25" t="str">
        <x:v>Doruk Hastaneleri - SİNA ÖZEL Sağlık Hizmetleri A.ş</x:v>
      </x:c>
      <x:c r="G171" s="25" t="str">
        <x:v>TRY</x:v>
      </x:c>
      <x:c r="H171" s="25" t="str">
        <x:v>Doktor - Bilinirlik Kampanyası - Nilüfer</x:v>
      </x:c>
      <x:c r="I171" s="25" t="str">
        <x:v>​120249061996540399</x:v>
      </x:c>
      <x:c r="J171" s="25" t="str">
        <x:v>ACTIVE</x:v>
      </x:c>
      <x:c r="K171" s="25" t="str">
        <x:v>nilüfer - Meltem Öner</x:v>
      </x:c>
      <x:c r="L171" s="25" t="str">
        <x:v>​120250013535020399</x:v>
      </x:c>
      <x:c r="M171" s="25" t="str">
        <x:v>ACTIVE</x:v>
      </x:c>
      <x:c r="N171" s="25" t="str">
        <x:v>REACH</x:v>
      </x:c>
      <x:c r="O171" s="27" t="n">
        <x:v>0</x:v>
      </x:c>
      <x:c r="P171" s="27" t="n">
        <x:v>0</x:v>
      </x:c>
      <x:c r="Q171" s="27" t="n">
        <x:v>100</x:v>
      </x:c>
      <x:c r="R171" s="27" t="n">
        <x:v>0</x:v>
      </x:c>
      <x:c r="S171" s="27" t="n">
        <x:v>2378.55</x:v>
      </x:c>
      <x:c r="T171" s="28" t="n">
        <x:v>260977</x:v>
      </x:c>
      <x:c r="U171" s="28" t="n">
        <x:v>241940</x:v>
      </x:c>
      <x:c r="V171" s="28" t="n">
        <x:v>189</x:v>
      </x:c>
      <x:c r="W171" s="28" t="n">
        <x:v>0</x:v>
      </x:c>
      <x:c r="X171" s="28" t="n">
        <x:v>0</x:v>
      </x:c>
      <x:c r="Y171" s="28" t="n">
        <x:v>0</x:v>
      </x:c>
      <x:c r="Z171" s="28" t="n">
        <x:v>0</x:v>
      </x:c>
      <x:c r="AA171" s="28" t="n">
        <x:v>8108</x:v>
      </x:c>
    </x:row>
    <x:row r="172">
      <x:c r="A172" s="25" t="str">
        <x:v>Ağustos 2026</x:v>
      </x:c>
      <x:c r="B172" s="25" t="str">
        <x:v>Yerli</x:v>
      </x:c>
      <x:c r="C172" s="25" t="str">
        <x:v>Türkçe</x:v>
      </x:c>
      <x:c r="D172" s="25" t="str">
        <x:v>Bilinirlik / İzlenme / Trafik</x:v>
      </x:c>
      <x:c r="E172" s="25" t="str">
        <x:v>Doktor Kampanyası</x:v>
      </x:c>
      <x:c r="F172" s="25" t="str">
        <x:v>Doruk Hastaneleri - SİNA ÖZEL Sağlık Hizmetleri A.ş</x:v>
      </x:c>
      <x:c r="G172" s="25" t="str">
        <x:v>TRY</x:v>
      </x:c>
      <x:c r="H172" s="25" t="str">
        <x:v>Doktor - Bilinirlik Kampanyası - Nilüfer</x:v>
      </x:c>
      <x:c r="I172" s="25" t="str">
        <x:v>​120249061996540399</x:v>
      </x:c>
      <x:c r="J172" s="25" t="str">
        <x:v>ACTIVE</x:v>
      </x:c>
      <x:c r="K172" s="25" t="str">
        <x:v>nilüfer - Meltem Öner</x:v>
      </x:c>
      <x:c r="L172" s="25" t="str">
        <x:v>​120250013535020399</x:v>
      </x:c>
      <x:c r="M172" s="25" t="str">
        <x:v>ACTIVE</x:v>
      </x:c>
      <x:c r="N172" s="25" t="str">
        <x:v>REACH</x:v>
      </x:c>
      <x:c r="O172" s="27" t="n">
        <x:v>0</x:v>
      </x:c>
      <x:c r="P172" s="27" t="n">
        <x:v>0</x:v>
      </x:c>
      <x:c r="Q172" s="27" t="n">
        <x:v>100</x:v>
      </x:c>
      <x:c r="R172" s="27" t="n">
        <x:v>0</x:v>
      </x:c>
      <x:c r="S172" s="27" t="n">
        <x:v>465.46</x:v>
      </x:c>
      <x:c r="T172" s="28" t="n">
        <x:v>54558</x:v>
      </x:c>
      <x:c r="U172" s="28" t="n">
        <x:v>54426</x:v>
      </x:c>
      <x:c r="V172" s="28" t="n">
        <x:v>39</x:v>
      </x:c>
      <x:c r="W172" s="28" t="n">
        <x:v>0</x:v>
      </x:c>
      <x:c r="X172" s="28" t="n">
        <x:v>0</x:v>
      </x:c>
      <x:c r="Y172" s="28" t="n">
        <x:v>0</x:v>
      </x:c>
      <x:c r="Z172" s="28" t="n">
        <x:v>0</x:v>
      </x:c>
      <x:c r="AA172" s="28" t="n">
        <x:v>1819</x:v>
      </x:c>
    </x:row>
    <x:row r="173">
      <x:c r="A173" s="25" t="str">
        <x:v>Temmuz 2026</x:v>
      </x:c>
      <x:c r="B173" s="25" t="str">
        <x:v>Yerli</x:v>
      </x:c>
      <x:c r="C173" s="25" t="str">
        <x:v>Türkçe</x:v>
      </x:c>
      <x:c r="D173" s="25" t="str">
        <x:v>Bilinirlik / İzlenme / Trafik</x:v>
      </x:c>
      <x:c r="E173" s="25" t="str">
        <x:v>Doktor Kampanyası</x:v>
      </x:c>
      <x:c r="F173" s="25" t="str">
        <x:v>Doruk Hastaneleri - SİNA ÖZEL Sağlık Hizmetleri A.ş</x:v>
      </x:c>
      <x:c r="G173" s="25" t="str">
        <x:v>TRY</x:v>
      </x:c>
      <x:c r="H173" s="25" t="str">
        <x:v>Doktor - Bilinirlik Kampanyası - Nilüfer</x:v>
      </x:c>
      <x:c r="I173" s="25" t="str">
        <x:v>​120249061996540399</x:v>
      </x:c>
      <x:c r="J173" s="25" t="str">
        <x:v>ACTIVE</x:v>
      </x:c>
      <x:c r="K173" s="25" t="str">
        <x:v>nilüfer - Merve Kahraman</x:v>
      </x:c>
      <x:c r="L173" s="25" t="str">
        <x:v>​120250373606480399</x:v>
      </x:c>
      <x:c r="M173" s="25" t="str">
        <x:v>ACTIVE</x:v>
      </x:c>
      <x:c r="N173" s="25" t="str">
        <x:v>REACH</x:v>
      </x:c>
      <x:c r="O173" s="27" t="n">
        <x:v>0</x:v>
      </x:c>
      <x:c r="P173" s="27" t="n">
        <x:v>0</x:v>
      </x:c>
      <x:c r="Q173" s="27" t="n">
        <x:v>100</x:v>
      </x:c>
      <x:c r="R173" s="27" t="n">
        <x:v>0</x:v>
      </x:c>
      <x:c r="S173" s="27" t="n">
        <x:v>2295.33</x:v>
      </x:c>
      <x:c r="T173" s="28" t="n">
        <x:v>257979</x:v>
      </x:c>
      <x:c r="U173" s="28" t="n">
        <x:v>214419</x:v>
      </x:c>
      <x:c r="V173" s="28" t="n">
        <x:v>238</x:v>
      </x:c>
      <x:c r="W173" s="28" t="n">
        <x:v>0</x:v>
      </x:c>
      <x:c r="X173" s="28" t="n">
        <x:v>0</x:v>
      </x:c>
      <x:c r="Y173" s="28" t="n">
        <x:v>0</x:v>
      </x:c>
      <x:c r="Z173" s="28" t="n">
        <x:v>0</x:v>
      </x:c>
      <x:c r="AA173" s="28" t="n">
        <x:v>15300</x:v>
      </x:c>
    </x:row>
    <x:row r="174">
      <x:c r="A174" s="25" t="str">
        <x:v>Ağustos 2026</x:v>
      </x:c>
      <x:c r="B174" s="25" t="str">
        <x:v>Yerli</x:v>
      </x:c>
      <x:c r="C174" s="25" t="str">
        <x:v>Türkçe</x:v>
      </x:c>
      <x:c r="D174" s="25" t="str">
        <x:v>Bilinirlik / İzlenme / Trafik</x:v>
      </x:c>
      <x:c r="E174" s="25" t="str">
        <x:v>Doktor Kampanyası</x:v>
      </x:c>
      <x:c r="F174" s="25" t="str">
        <x:v>Doruk Hastaneleri - SİNA ÖZEL Sağlık Hizmetleri A.ş</x:v>
      </x:c>
      <x:c r="G174" s="25" t="str">
        <x:v>TRY</x:v>
      </x:c>
      <x:c r="H174" s="25" t="str">
        <x:v>Doktor - Bilinirlik Kampanyası - Nilüfer</x:v>
      </x:c>
      <x:c r="I174" s="25" t="str">
        <x:v>​120249061996540399</x:v>
      </x:c>
      <x:c r="J174" s="25" t="str">
        <x:v>ACTIVE</x:v>
      </x:c>
      <x:c r="K174" s="25" t="str">
        <x:v>nilüfer - Merve Kahraman</x:v>
      </x:c>
      <x:c r="L174" s="25" t="str">
        <x:v>​120250373606480399</x:v>
      </x:c>
      <x:c r="M174" s="25" t="str">
        <x:v>ACTIVE</x:v>
      </x:c>
      <x:c r="N174" s="25" t="str">
        <x:v>REACH</x:v>
      </x:c>
      <x:c r="O174" s="27" t="n">
        <x:v>0</x:v>
      </x:c>
      <x:c r="P174" s="27" t="n">
        <x:v>0</x:v>
      </x:c>
      <x:c r="Q174" s="27" t="n">
        <x:v>100</x:v>
      </x:c>
      <x:c r="R174" s="27" t="n">
        <x:v>0</x:v>
      </x:c>
      <x:c r="S174" s="27" t="n">
        <x:v>461.18</x:v>
      </x:c>
      <x:c r="T174" s="28" t="n">
        <x:v>56020</x:v>
      </x:c>
      <x:c r="U174" s="28" t="n">
        <x:v>52111</x:v>
      </x:c>
      <x:c r="V174" s="28" t="n">
        <x:v>48</x:v>
      </x:c>
      <x:c r="W174" s="28" t="n">
        <x:v>0</x:v>
      </x:c>
      <x:c r="X174" s="28" t="n">
        <x:v>0</x:v>
      </x:c>
      <x:c r="Y174" s="28" t="n">
        <x:v>0</x:v>
      </x:c>
      <x:c r="Z174" s="28" t="n">
        <x:v>0</x:v>
      </x:c>
      <x:c r="AA174" s="28" t="n">
        <x:v>3735</x:v>
      </x:c>
    </x:row>
    <x:row r="175">
      <x:c r="A175" s="25" t="str">
        <x:v>Temmuz 2026</x:v>
      </x:c>
      <x:c r="B175" s="25" t="str">
        <x:v>Yerli</x:v>
      </x:c>
      <x:c r="C175" s="25" t="str">
        <x:v>Türkçe</x:v>
      </x:c>
      <x:c r="D175" s="25" t="str">
        <x:v>Bilinirlik / İzlenme / Trafik</x:v>
      </x:c>
      <x:c r="E175" s="25" t="str">
        <x:v>Doktor Kampanyası</x:v>
      </x:c>
      <x:c r="F175" s="25" t="str">
        <x:v>Doruk Hastaneleri - SİNA ÖZEL Sağlık Hizmetleri A.ş</x:v>
      </x:c>
      <x:c r="G175" s="25" t="str">
        <x:v>TRY</x:v>
      </x:c>
      <x:c r="H175" s="25" t="str">
        <x:v>Doktor - Bilinirlik Kampanyası - Nilüfer</x:v>
      </x:c>
      <x:c r="I175" s="25" t="str">
        <x:v>​120249061996540399</x:v>
      </x:c>
      <x:c r="J175" s="25" t="str">
        <x:v>ACTIVE</x:v>
      </x:c>
      <x:c r="K175" s="25" t="str">
        <x:v>nilüfer - Mete Şişman</x:v>
      </x:c>
      <x:c r="L175" s="25" t="str">
        <x:v>​120250016550420399</x:v>
      </x:c>
      <x:c r="M175" s="25" t="str">
        <x:v>ACTIVE</x:v>
      </x:c>
      <x:c r="N175" s="25" t="str">
        <x:v>REACH</x:v>
      </x:c>
      <x:c r="O175" s="27" t="n">
        <x:v>0</x:v>
      </x:c>
      <x:c r="P175" s="27" t="n">
        <x:v>0</x:v>
      </x:c>
      <x:c r="Q175" s="27" t="n">
        <x:v>100</x:v>
      </x:c>
      <x:c r="R175" s="27" t="n">
        <x:v>0</x:v>
      </x:c>
      <x:c r="S175" s="27" t="n">
        <x:v>2342.22</x:v>
      </x:c>
      <x:c r="T175" s="28" t="n">
        <x:v>255776</x:v>
      </x:c>
      <x:c r="U175" s="28" t="n">
        <x:v>229850</x:v>
      </x:c>
      <x:c r="V175" s="28" t="n">
        <x:v>132</x:v>
      </x:c>
      <x:c r="W175" s="28" t="n">
        <x:v>0</x:v>
      </x:c>
      <x:c r="X175" s="28" t="n">
        <x:v>0</x:v>
      </x:c>
      <x:c r="Y175" s="28" t="n">
        <x:v>0</x:v>
      </x:c>
      <x:c r="Z175" s="28" t="n">
        <x:v>0</x:v>
      </x:c>
      <x:c r="AA175" s="28" t="n">
        <x:v>8456</x:v>
      </x:c>
    </x:row>
    <x:row r="176">
      <x:c r="A176" s="25" t="str">
        <x:v>Ağustos 2026</x:v>
      </x:c>
      <x:c r="B176" s="25" t="str">
        <x:v>Yerli</x:v>
      </x:c>
      <x:c r="C176" s="25" t="str">
        <x:v>Türkçe</x:v>
      </x:c>
      <x:c r="D176" s="25" t="str">
        <x:v>Bilinirlik / İzlenme / Trafik</x:v>
      </x:c>
      <x:c r="E176" s="25" t="str">
        <x:v>Doktor Kampanyası</x:v>
      </x:c>
      <x:c r="F176" s="25" t="str">
        <x:v>Doruk Hastaneleri - SİNA ÖZEL Sağlık Hizmetleri A.ş</x:v>
      </x:c>
      <x:c r="G176" s="25" t="str">
        <x:v>TRY</x:v>
      </x:c>
      <x:c r="H176" s="25" t="str">
        <x:v>Doktor - Bilinirlik Kampanyası - Nilüfer</x:v>
      </x:c>
      <x:c r="I176" s="25" t="str">
        <x:v>​120249061996540399</x:v>
      </x:c>
      <x:c r="J176" s="25" t="str">
        <x:v>ACTIVE</x:v>
      </x:c>
      <x:c r="K176" s="25" t="str">
        <x:v>nilüfer - Mete Şişman</x:v>
      </x:c>
      <x:c r="L176" s="25" t="str">
        <x:v>​120250016550420399</x:v>
      </x:c>
      <x:c r="M176" s="25" t="str">
        <x:v>ACTIVE</x:v>
      </x:c>
      <x:c r="N176" s="25" t="str">
        <x:v>REACH</x:v>
      </x:c>
      <x:c r="O176" s="27" t="n">
        <x:v>0</x:v>
      </x:c>
      <x:c r="P176" s="27" t="n">
        <x:v>0</x:v>
      </x:c>
      <x:c r="Q176" s="27" t="n">
        <x:v>100</x:v>
      </x:c>
      <x:c r="R176" s="27" t="n">
        <x:v>0</x:v>
      </x:c>
      <x:c r="S176" s="27" t="n">
        <x:v>466.98</x:v>
      </x:c>
      <x:c r="T176" s="28" t="n">
        <x:v>54476</x:v>
      </x:c>
      <x:c r="U176" s="28" t="n">
        <x:v>52865</x:v>
      </x:c>
      <x:c r="V176" s="28" t="n">
        <x:v>24</x:v>
      </x:c>
      <x:c r="W176" s="28" t="n">
        <x:v>0</x:v>
      </x:c>
      <x:c r="X176" s="28" t="n">
        <x:v>0</x:v>
      </x:c>
      <x:c r="Y176" s="28" t="n">
        <x:v>0</x:v>
      </x:c>
      <x:c r="Z176" s="28" t="n">
        <x:v>0</x:v>
      </x:c>
      <x:c r="AA176" s="28" t="n">
        <x:v>2159</x:v>
      </x:c>
    </x:row>
    <x:row r="177">
      <x:c r="A177" s="25" t="str">
        <x:v>Temmuz 2026</x:v>
      </x:c>
      <x:c r="B177" s="25" t="str">
        <x:v>Yerli</x:v>
      </x:c>
      <x:c r="C177" s="25" t="str">
        <x:v>Türkçe</x:v>
      </x:c>
      <x:c r="D177" s="25" t="str">
        <x:v>Bilinirlik / İzlenme / Trafik</x:v>
      </x:c>
      <x:c r="E177" s="25" t="str">
        <x:v>Doktor Kampanyası</x:v>
      </x:c>
      <x:c r="F177" s="25" t="str">
        <x:v>Doruk Hastaneleri - SİNA ÖZEL Sağlık Hizmetleri A.ş</x:v>
      </x:c>
      <x:c r="G177" s="25" t="str">
        <x:v>TRY</x:v>
      </x:c>
      <x:c r="H177" s="25" t="str">
        <x:v>Doktor - Bilinirlik Kampanyası - Nilüfer</x:v>
      </x:c>
      <x:c r="I177" s="25" t="str">
        <x:v>​120249061996540399</x:v>
      </x:c>
      <x:c r="J177" s="25" t="str">
        <x:v>ACTIVE</x:v>
      </x:c>
      <x:c r="K177" s="25" t="str">
        <x:v>nilüfer - Murat Pekgöz</x:v>
      </x:c>
      <x:c r="L177" s="25" t="str">
        <x:v>​120250014089650399</x:v>
      </x:c>
      <x:c r="M177" s="25" t="str">
        <x:v>ACTIVE</x:v>
      </x:c>
      <x:c r="N177" s="25" t="str">
        <x:v>REACH</x:v>
      </x:c>
      <x:c r="O177" s="27" t="n">
        <x:v>0</x:v>
      </x:c>
      <x:c r="P177" s="27" t="n">
        <x:v>0</x:v>
      </x:c>
      <x:c r="Q177" s="27" t="n">
        <x:v>100</x:v>
      </x:c>
      <x:c r="R177" s="27" t="n">
        <x:v>0</x:v>
      </x:c>
      <x:c r="S177" s="27" t="n">
        <x:v>2336.96</x:v>
      </x:c>
      <x:c r="T177" s="28" t="n">
        <x:v>256805</x:v>
      </x:c>
      <x:c r="U177" s="28" t="n">
        <x:v>245714</x:v>
      </x:c>
      <x:c r="V177" s="28" t="n">
        <x:v>61</x:v>
      </x:c>
      <x:c r="W177" s="28" t="n">
        <x:v>0</x:v>
      </x:c>
      <x:c r="X177" s="28" t="n">
        <x:v>0</x:v>
      </x:c>
      <x:c r="Y177" s="28" t="n">
        <x:v>0</x:v>
      </x:c>
      <x:c r="Z177" s="28" t="n">
        <x:v>0</x:v>
      </x:c>
      <x:c r="AA177" s="28" t="n">
        <x:v>8378</x:v>
      </x:c>
    </x:row>
    <x:row r="178">
      <x:c r="A178" s="25" t="str">
        <x:v>Ağustos 2026</x:v>
      </x:c>
      <x:c r="B178" s="25" t="str">
        <x:v>Yerli</x:v>
      </x:c>
      <x:c r="C178" s="25" t="str">
        <x:v>Türkçe</x:v>
      </x:c>
      <x:c r="D178" s="25" t="str">
        <x:v>Bilinirlik / İzlenme / Trafik</x:v>
      </x:c>
      <x:c r="E178" s="25" t="str">
        <x:v>Doktor Kampanyası</x:v>
      </x:c>
      <x:c r="F178" s="25" t="str">
        <x:v>Doruk Hastaneleri - SİNA ÖZEL Sağlık Hizmetleri A.ş</x:v>
      </x:c>
      <x:c r="G178" s="25" t="str">
        <x:v>TRY</x:v>
      </x:c>
      <x:c r="H178" s="25" t="str">
        <x:v>Doktor - Bilinirlik Kampanyası - Nilüfer</x:v>
      </x:c>
      <x:c r="I178" s="25" t="str">
        <x:v>​120249061996540399</x:v>
      </x:c>
      <x:c r="J178" s="25" t="str">
        <x:v>ACTIVE</x:v>
      </x:c>
      <x:c r="K178" s="25" t="str">
        <x:v>nilüfer - Murat Pekgöz</x:v>
      </x:c>
      <x:c r="L178" s="25" t="str">
        <x:v>​120250014089650399</x:v>
      </x:c>
      <x:c r="M178" s="25" t="str">
        <x:v>ACTIVE</x:v>
      </x:c>
      <x:c r="N178" s="25" t="str">
        <x:v>REACH</x:v>
      </x:c>
      <x:c r="O178" s="27" t="n">
        <x:v>0</x:v>
      </x:c>
      <x:c r="P178" s="27" t="n">
        <x:v>0</x:v>
      </x:c>
      <x:c r="Q178" s="27" t="n">
        <x:v>100</x:v>
      </x:c>
      <x:c r="R178" s="27" t="n">
        <x:v>0</x:v>
      </x:c>
      <x:c r="S178" s="27" t="n">
        <x:v>476.39</x:v>
      </x:c>
      <x:c r="T178" s="28" t="n">
        <x:v>55784</x:v>
      </x:c>
      <x:c r="U178" s="28" t="n">
        <x:v>55784</x:v>
      </x:c>
      <x:c r="V178" s="28" t="n">
        <x:v>14</x:v>
      </x:c>
      <x:c r="W178" s="28" t="n">
        <x:v>0</x:v>
      </x:c>
      <x:c r="X178" s="28" t="n">
        <x:v>0</x:v>
      </x:c>
      <x:c r="Y178" s="28" t="n">
        <x:v>0</x:v>
      </x:c>
      <x:c r="Z178" s="28" t="n">
        <x:v>0</x:v>
      </x:c>
      <x:c r="AA178" s="28" t="n">
        <x:v>1988</x:v>
      </x:c>
    </x:row>
    <x:row r="179">
      <x:c r="A179" s="25" t="str">
        <x:v>Temmuz 2026</x:v>
      </x:c>
      <x:c r="B179" s="25" t="str">
        <x:v>Yerli</x:v>
      </x:c>
      <x:c r="C179" s="25" t="str">
        <x:v>Türkçe</x:v>
      </x:c>
      <x:c r="D179" s="25" t="str">
        <x:v>Bilinirlik / İzlenme / Trafik</x:v>
      </x:c>
      <x:c r="E179" s="25" t="str">
        <x:v>Doktor Kampanyası</x:v>
      </x:c>
      <x:c r="F179" s="25" t="str">
        <x:v>Doruk Hastaneleri - SİNA ÖZEL Sağlık Hizmetleri A.ş</x:v>
      </x:c>
      <x:c r="G179" s="25" t="str">
        <x:v>TRY</x:v>
      </x:c>
      <x:c r="H179" s="25" t="str">
        <x:v>Doktor - Bilinirlik Kampanyası - Nilüfer</x:v>
      </x:c>
      <x:c r="I179" s="25" t="str">
        <x:v>​120249061996540399</x:v>
      </x:c>
      <x:c r="J179" s="25" t="str">
        <x:v>ACTIVE</x:v>
      </x:c>
      <x:c r="K179" s="25" t="str">
        <x:v>nilüfer - Nejat Bıyıklı</x:v>
      </x:c>
      <x:c r="L179" s="25" t="str">
        <x:v>​120250013155480399</x:v>
      </x:c>
      <x:c r="M179" s="25" t="str">
        <x:v>ACTIVE</x:v>
      </x:c>
      <x:c r="N179" s="25" t="str">
        <x:v>REACH</x:v>
      </x:c>
      <x:c r="O179" s="27" t="n">
        <x:v>0</x:v>
      </x:c>
      <x:c r="P179" s="27" t="n">
        <x:v>0</x:v>
      </x:c>
      <x:c r="Q179" s="27" t="n">
        <x:v>100</x:v>
      </x:c>
      <x:c r="R179" s="27" t="n">
        <x:v>0</x:v>
      </x:c>
      <x:c r="S179" s="27" t="n">
        <x:v>2282.98</x:v>
      </x:c>
      <x:c r="T179" s="28" t="n">
        <x:v>254717</x:v>
      </x:c>
      <x:c r="U179" s="28" t="n">
        <x:v>214595</x:v>
      </x:c>
      <x:c r="V179" s="28" t="n">
        <x:v>350</x:v>
      </x:c>
      <x:c r="W179" s="28" t="n">
        <x:v>0</x:v>
      </x:c>
      <x:c r="X179" s="28" t="n">
        <x:v>0</x:v>
      </x:c>
      <x:c r="Y179" s="28" t="n">
        <x:v>0</x:v>
      </x:c>
      <x:c r="Z179" s="28" t="n">
        <x:v>0</x:v>
      </x:c>
      <x:c r="AA179" s="28" t="n">
        <x:v>13985</x:v>
      </x:c>
    </x:row>
    <x:row r="180">
      <x:c r="A180" s="25" t="str">
        <x:v>Ağustos 2026</x:v>
      </x:c>
      <x:c r="B180" s="25" t="str">
        <x:v>Yerli</x:v>
      </x:c>
      <x:c r="C180" s="25" t="str">
        <x:v>Türkçe</x:v>
      </x:c>
      <x:c r="D180" s="25" t="str">
        <x:v>Bilinirlik / İzlenme / Trafik</x:v>
      </x:c>
      <x:c r="E180" s="25" t="str">
        <x:v>Doktor Kampanyası</x:v>
      </x:c>
      <x:c r="F180" s="25" t="str">
        <x:v>Doruk Hastaneleri - SİNA ÖZEL Sağlık Hizmetleri A.ş</x:v>
      </x:c>
      <x:c r="G180" s="25" t="str">
        <x:v>TRY</x:v>
      </x:c>
      <x:c r="H180" s="25" t="str">
        <x:v>Doktor - Bilinirlik Kampanyası - Nilüfer</x:v>
      </x:c>
      <x:c r="I180" s="25" t="str">
        <x:v>​120249061996540399</x:v>
      </x:c>
      <x:c r="J180" s="25" t="str">
        <x:v>ACTIVE</x:v>
      </x:c>
      <x:c r="K180" s="25" t="str">
        <x:v>nilüfer - Nejat Bıyıklı</x:v>
      </x:c>
      <x:c r="L180" s="25" t="str">
        <x:v>​120250013155480399</x:v>
      </x:c>
      <x:c r="M180" s="25" t="str">
        <x:v>ACTIVE</x:v>
      </x:c>
      <x:c r="N180" s="25" t="str">
        <x:v>REACH</x:v>
      </x:c>
      <x:c r="O180" s="27" t="n">
        <x:v>0</x:v>
      </x:c>
      <x:c r="P180" s="27" t="n">
        <x:v>0</x:v>
      </x:c>
      <x:c r="Q180" s="27" t="n">
        <x:v>100</x:v>
      </x:c>
      <x:c r="R180" s="27" t="n">
        <x:v>0</x:v>
      </x:c>
      <x:c r="S180" s="27" t="n">
        <x:v>471.21</x:v>
      </x:c>
      <x:c r="T180" s="28" t="n">
        <x:v>55757</x:v>
      </x:c>
      <x:c r="U180" s="28" t="n">
        <x:v>54243</x:v>
      </x:c>
      <x:c r="V180" s="28" t="n">
        <x:v>78</x:v>
      </x:c>
      <x:c r="W180" s="28" t="n">
        <x:v>0</x:v>
      </x:c>
      <x:c r="X180" s="28" t="n">
        <x:v>0</x:v>
      </x:c>
      <x:c r="Y180" s="28" t="n">
        <x:v>0</x:v>
      </x:c>
      <x:c r="Z180" s="28" t="n">
        <x:v>0</x:v>
      </x:c>
      <x:c r="AA180" s="28" t="n">
        <x:v>3292</x:v>
      </x:c>
    </x:row>
    <x:row r="181">
      <x:c r="A181" s="25" t="str">
        <x:v>Temmuz 2026</x:v>
      </x:c>
      <x:c r="B181" s="25" t="str">
        <x:v>Yerli</x:v>
      </x:c>
      <x:c r="C181" s="25" t="str">
        <x:v>Türkçe</x:v>
      </x:c>
      <x:c r="D181" s="25" t="str">
        <x:v>Bilinirlik / İzlenme / Trafik</x:v>
      </x:c>
      <x:c r="E181" s="25" t="str">
        <x:v>Doktor Kampanyası</x:v>
      </x:c>
      <x:c r="F181" s="25" t="str">
        <x:v>Doruk Hastaneleri - SİNA ÖZEL Sağlık Hizmetleri A.ş</x:v>
      </x:c>
      <x:c r="G181" s="25" t="str">
        <x:v>TRY</x:v>
      </x:c>
      <x:c r="H181" s="25" t="str">
        <x:v>Doktor - Bilinirlik Kampanyası - Nilüfer</x:v>
      </x:c>
      <x:c r="I181" s="25" t="str">
        <x:v>​120249061996540399</x:v>
      </x:c>
      <x:c r="J181" s="25" t="str">
        <x:v>ACTIVE</x:v>
      </x:c>
      <x:c r="K181" s="25" t="str">
        <x:v>nilüfer - Nesibe Gül Yüksel Aslıer</x:v>
      </x:c>
      <x:c r="L181" s="25" t="str">
        <x:v>​120252512656600399</x:v>
      </x:c>
      <x:c r="M181" s="25" t="str">
        <x:v>ACTIVE</x:v>
      </x:c>
      <x:c r="N181" s="25" t="str">
        <x:v>REACH</x:v>
      </x:c>
      <x:c r="O181" s="27" t="n">
        <x:v>0</x:v>
      </x:c>
      <x:c r="P181" s="27" t="n">
        <x:v>0</x:v>
      </x:c>
      <x:c r="Q181" s="27" t="n">
        <x:v>100</x:v>
      </x:c>
      <x:c r="R181" s="27" t="n">
        <x:v>0</x:v>
      </x:c>
      <x:c r="S181" s="27" t="n">
        <x:v>2313.18</x:v>
      </x:c>
      <x:c r="T181" s="28" t="n">
        <x:v>257061</x:v>
      </x:c>
      <x:c r="U181" s="28" t="n">
        <x:v>245041</x:v>
      </x:c>
      <x:c r="V181" s="28" t="n">
        <x:v>114</x:v>
      </x:c>
      <x:c r="W181" s="28" t="n">
        <x:v>0</x:v>
      </x:c>
      <x:c r="X181" s="28" t="n">
        <x:v>0</x:v>
      </x:c>
      <x:c r="Y181" s="28" t="n">
        <x:v>0</x:v>
      </x:c>
      <x:c r="Z181" s="28" t="n">
        <x:v>0</x:v>
      </x:c>
      <x:c r="AA181" s="28" t="n">
        <x:v>11446</x:v>
      </x:c>
    </x:row>
    <x:row r="182">
      <x:c r="A182" s="25" t="str">
        <x:v>Ağustos 2026</x:v>
      </x:c>
      <x:c r="B182" s="25" t="str">
        <x:v>Yerli</x:v>
      </x:c>
      <x:c r="C182" s="25" t="str">
        <x:v>Türkçe</x:v>
      </x:c>
      <x:c r="D182" s="25" t="str">
        <x:v>Bilinirlik / İzlenme / Trafik</x:v>
      </x:c>
      <x:c r="E182" s="25" t="str">
        <x:v>Doktor Kampanyası</x:v>
      </x:c>
      <x:c r="F182" s="25" t="str">
        <x:v>Doruk Hastaneleri - SİNA ÖZEL Sağlık Hizmetleri A.ş</x:v>
      </x:c>
      <x:c r="G182" s="25" t="str">
        <x:v>TRY</x:v>
      </x:c>
      <x:c r="H182" s="25" t="str">
        <x:v>Doktor - Bilinirlik Kampanyası - Nilüfer</x:v>
      </x:c>
      <x:c r="I182" s="25" t="str">
        <x:v>​120249061996540399</x:v>
      </x:c>
      <x:c r="J182" s="25" t="str">
        <x:v>ACTIVE</x:v>
      </x:c>
      <x:c r="K182" s="25" t="str">
        <x:v>nilüfer - Nesibe Gül Yüksel Aslıer</x:v>
      </x:c>
      <x:c r="L182" s="25" t="str">
        <x:v>​120252512656600399</x:v>
      </x:c>
      <x:c r="M182" s="25" t="str">
        <x:v>ACTIVE</x:v>
      </x:c>
      <x:c r="N182" s="25" t="str">
        <x:v>REACH</x:v>
      </x:c>
      <x:c r="O182" s="27" t="n">
        <x:v>0</x:v>
      </x:c>
      <x:c r="P182" s="27" t="n">
        <x:v>0</x:v>
      </x:c>
      <x:c r="Q182" s="27" t="n">
        <x:v>100</x:v>
      </x:c>
      <x:c r="R182" s="27" t="n">
        <x:v>0</x:v>
      </x:c>
      <x:c r="S182" s="27" t="n">
        <x:v>466.93</x:v>
      </x:c>
      <x:c r="T182" s="28" t="n">
        <x:v>55291</x:v>
      </x:c>
      <x:c r="U182" s="28" t="n">
        <x:v>55291</x:v>
      </x:c>
      <x:c r="V182" s="28" t="n">
        <x:v>25</x:v>
      </x:c>
      <x:c r="W182" s="28" t="n">
        <x:v>0</x:v>
      </x:c>
      <x:c r="X182" s="28" t="n">
        <x:v>0</x:v>
      </x:c>
      <x:c r="Y182" s="28" t="n">
        <x:v>0</x:v>
      </x:c>
      <x:c r="Z182" s="28" t="n">
        <x:v>0</x:v>
      </x:c>
      <x:c r="AA182" s="28" t="n">
        <x:v>2755</x:v>
      </x:c>
    </x:row>
    <x:row r="183">
      <x:c r="A183" s="25" t="str">
        <x:v>Temmuz 2026</x:v>
      </x:c>
      <x:c r="B183" s="25" t="str">
        <x:v>Yerli</x:v>
      </x:c>
      <x:c r="C183" s="25" t="str">
        <x:v>Türkçe</x:v>
      </x:c>
      <x:c r="D183" s="25" t="str">
        <x:v>Bilinirlik / İzlenme / Trafik</x:v>
      </x:c>
      <x:c r="E183" s="25" t="str">
        <x:v>Doktor Kampanyası</x:v>
      </x:c>
      <x:c r="F183" s="25" t="str">
        <x:v>Doruk Hastaneleri - SİNA ÖZEL Sağlık Hizmetleri A.ş</x:v>
      </x:c>
      <x:c r="G183" s="25" t="str">
        <x:v>TRY</x:v>
      </x:c>
      <x:c r="H183" s="25" t="str">
        <x:v>Doktor - Bilinirlik Kampanyası - Nilüfer</x:v>
      </x:c>
      <x:c r="I183" s="25" t="str">
        <x:v>​120249061996540399</x:v>
      </x:c>
      <x:c r="J183" s="25" t="str">
        <x:v>ACTIVE</x:v>
      </x:c>
      <x:c r="K183" s="25" t="str">
        <x:v>nilüfer - Osman Tiryakioğlu</x:v>
      </x:c>
      <x:c r="L183" s="25" t="str">
        <x:v>​120252512242560399</x:v>
      </x:c>
      <x:c r="M183" s="25" t="str">
        <x:v>ACTIVE</x:v>
      </x:c>
      <x:c r="N183" s="25" t="str">
        <x:v>REACH</x:v>
      </x:c>
      <x:c r="O183" s="27" t="n">
        <x:v>0</x:v>
      </x:c>
      <x:c r="P183" s="27" t="n">
        <x:v>0</x:v>
      </x:c>
      <x:c r="Q183" s="27" t="n">
        <x:v>100</x:v>
      </x:c>
      <x:c r="R183" s="27" t="n">
        <x:v>0</x:v>
      </x:c>
      <x:c r="S183" s="27" t="n">
        <x:v>2326.99</x:v>
      </x:c>
      <x:c r="T183" s="28" t="n">
        <x:v>258185</x:v>
      </x:c>
      <x:c r="U183" s="28" t="n">
        <x:v>233558</x:v>
      </x:c>
      <x:c r="V183" s="28" t="n">
        <x:v>98</x:v>
      </x:c>
      <x:c r="W183" s="28" t="n">
        <x:v>0</x:v>
      </x:c>
      <x:c r="X183" s="28" t="n">
        <x:v>0</x:v>
      </x:c>
      <x:c r="Y183" s="28" t="n">
        <x:v>0</x:v>
      </x:c>
      <x:c r="Z183" s="28" t="n">
        <x:v>0</x:v>
      </x:c>
      <x:c r="AA183" s="28" t="n">
        <x:v>9975</x:v>
      </x:c>
    </x:row>
    <x:row r="184">
      <x:c r="A184" s="25" t="str">
        <x:v>Ağustos 2026</x:v>
      </x:c>
      <x:c r="B184" s="25" t="str">
        <x:v>Yerli</x:v>
      </x:c>
      <x:c r="C184" s="25" t="str">
        <x:v>Türkçe</x:v>
      </x:c>
      <x:c r="D184" s="25" t="str">
        <x:v>Bilinirlik / İzlenme / Trafik</x:v>
      </x:c>
      <x:c r="E184" s="25" t="str">
        <x:v>Doktor Kampanyası</x:v>
      </x:c>
      <x:c r="F184" s="25" t="str">
        <x:v>Doruk Hastaneleri - SİNA ÖZEL Sağlık Hizmetleri A.ş</x:v>
      </x:c>
      <x:c r="G184" s="25" t="str">
        <x:v>TRY</x:v>
      </x:c>
      <x:c r="H184" s="25" t="str">
        <x:v>Doktor - Bilinirlik Kampanyası - Nilüfer</x:v>
      </x:c>
      <x:c r="I184" s="25" t="str">
        <x:v>​120249061996540399</x:v>
      </x:c>
      <x:c r="J184" s="25" t="str">
        <x:v>ACTIVE</x:v>
      </x:c>
      <x:c r="K184" s="25" t="str">
        <x:v>nilüfer - Osman Tiryakioğlu</x:v>
      </x:c>
      <x:c r="L184" s="25" t="str">
        <x:v>​120252512242560399</x:v>
      </x:c>
      <x:c r="M184" s="25" t="str">
        <x:v>ACTIVE</x:v>
      </x:c>
      <x:c r="N184" s="25" t="str">
        <x:v>REACH</x:v>
      </x:c>
      <x:c r="O184" s="27" t="n">
        <x:v>0</x:v>
      </x:c>
      <x:c r="P184" s="27" t="n">
        <x:v>0</x:v>
      </x:c>
      <x:c r="Q184" s="27" t="n">
        <x:v>100</x:v>
      </x:c>
      <x:c r="R184" s="27" t="n">
        <x:v>0</x:v>
      </x:c>
      <x:c r="S184" s="27" t="n">
        <x:v>457.64</x:v>
      </x:c>
      <x:c r="T184" s="28" t="n">
        <x:v>54279</x:v>
      </x:c>
      <x:c r="U184" s="28" t="n">
        <x:v>52073</x:v>
      </x:c>
      <x:c r="V184" s="28" t="n">
        <x:v>16</x:v>
      </x:c>
      <x:c r="W184" s="28" t="n">
        <x:v>0</x:v>
      </x:c>
      <x:c r="X184" s="28" t="n">
        <x:v>0</x:v>
      </x:c>
      <x:c r="Y184" s="28" t="n">
        <x:v>0</x:v>
      </x:c>
      <x:c r="Z184" s="28" t="n">
        <x:v>0</x:v>
      </x:c>
      <x:c r="AA184" s="28" t="n">
        <x:v>2663</x:v>
      </x:c>
    </x:row>
    <x:row r="185">
      <x:c r="A185" s="25" t="str">
        <x:v>Temmuz 2026</x:v>
      </x:c>
      <x:c r="B185" s="25" t="str">
        <x:v>Yerli</x:v>
      </x:c>
      <x:c r="C185" s="25" t="str">
        <x:v>Türkçe</x:v>
      </x:c>
      <x:c r="D185" s="25" t="str">
        <x:v>Bilinirlik / İzlenme / Trafik</x:v>
      </x:c>
      <x:c r="E185" s="25" t="str">
        <x:v>Doktor Kampanyası</x:v>
      </x:c>
      <x:c r="F185" s="25" t="str">
        <x:v>Doruk Hastaneleri - SİNA ÖZEL Sağlık Hizmetleri A.ş</x:v>
      </x:c>
      <x:c r="G185" s="25" t="str">
        <x:v>TRY</x:v>
      </x:c>
      <x:c r="H185" s="25" t="str">
        <x:v>Doktor - Bilinirlik Kampanyası - Nilüfer</x:v>
      </x:c>
      <x:c r="I185" s="25" t="str">
        <x:v>​120249061996540399</x:v>
      </x:c>
      <x:c r="J185" s="25" t="str">
        <x:v>ACTIVE</x:v>
      </x:c>
      <x:c r="K185" s="25" t="str">
        <x:v>nilüfer - Ömer Yalkın</x:v>
      </x:c>
      <x:c r="L185" s="25" t="str">
        <x:v>​120250017034220399</x:v>
      </x:c>
      <x:c r="M185" s="25" t="str">
        <x:v>ACTIVE</x:v>
      </x:c>
      <x:c r="N185" s="25" t="str">
        <x:v>REACH</x:v>
      </x:c>
      <x:c r="O185" s="27" t="n">
        <x:v>0</x:v>
      </x:c>
      <x:c r="P185" s="27" t="n">
        <x:v>0</x:v>
      </x:c>
      <x:c r="Q185" s="27" t="n">
        <x:v>100</x:v>
      </x:c>
      <x:c r="R185" s="27" t="n">
        <x:v>0</x:v>
      </x:c>
      <x:c r="S185" s="27" t="n">
        <x:v>2368.68</x:v>
      </x:c>
      <x:c r="T185" s="28" t="n">
        <x:v>258895</x:v>
      </x:c>
      <x:c r="U185" s="28" t="n">
        <x:v>235253</x:v>
      </x:c>
      <x:c r="V185" s="28" t="n">
        <x:v>205</x:v>
      </x:c>
      <x:c r="W185" s="28" t="n">
        <x:v>0</x:v>
      </x:c>
      <x:c r="X185" s="28" t="n">
        <x:v>0</x:v>
      </x:c>
      <x:c r="Y185" s="28" t="n">
        <x:v>0</x:v>
      </x:c>
      <x:c r="Z185" s="28" t="n">
        <x:v>0</x:v>
      </x:c>
      <x:c r="AA185" s="28" t="n">
        <x:v>9954</x:v>
      </x:c>
    </x:row>
    <x:row r="186">
      <x:c r="A186" s="25" t="str">
        <x:v>Ağustos 2026</x:v>
      </x:c>
      <x:c r="B186" s="25" t="str">
        <x:v>Yerli</x:v>
      </x:c>
      <x:c r="C186" s="25" t="str">
        <x:v>Türkçe</x:v>
      </x:c>
      <x:c r="D186" s="25" t="str">
        <x:v>Bilinirlik / İzlenme / Trafik</x:v>
      </x:c>
      <x:c r="E186" s="25" t="str">
        <x:v>Doktor Kampanyası</x:v>
      </x:c>
      <x:c r="F186" s="25" t="str">
        <x:v>Doruk Hastaneleri - SİNA ÖZEL Sağlık Hizmetleri A.ş</x:v>
      </x:c>
      <x:c r="G186" s="25" t="str">
        <x:v>TRY</x:v>
      </x:c>
      <x:c r="H186" s="25" t="str">
        <x:v>Doktor - Bilinirlik Kampanyası - Nilüfer</x:v>
      </x:c>
      <x:c r="I186" s="25" t="str">
        <x:v>​120249061996540399</x:v>
      </x:c>
      <x:c r="J186" s="25" t="str">
        <x:v>ACTIVE</x:v>
      </x:c>
      <x:c r="K186" s="25" t="str">
        <x:v>nilüfer - Ömer Yalkın</x:v>
      </x:c>
      <x:c r="L186" s="25" t="str">
        <x:v>​120250017034220399</x:v>
      </x:c>
      <x:c r="M186" s="25" t="str">
        <x:v>ACTIVE</x:v>
      </x:c>
      <x:c r="N186" s="25" t="str">
        <x:v>REACH</x:v>
      </x:c>
      <x:c r="O186" s="27" t="n">
        <x:v>0</x:v>
      </x:c>
      <x:c r="P186" s="27" t="n">
        <x:v>0</x:v>
      </x:c>
      <x:c r="Q186" s="27" t="n">
        <x:v>100</x:v>
      </x:c>
      <x:c r="R186" s="27" t="n">
        <x:v>0</x:v>
      </x:c>
      <x:c r="S186" s="27" t="n">
        <x:v>467.89</x:v>
      </x:c>
      <x:c r="T186" s="28" t="n">
        <x:v>55358</x:v>
      </x:c>
      <x:c r="U186" s="28" t="n">
        <x:v>53524</x:v>
      </x:c>
      <x:c r="V186" s="28" t="n">
        <x:v>61</x:v>
      </x:c>
      <x:c r="W186" s="28" t="n">
        <x:v>0</x:v>
      </x:c>
      <x:c r="X186" s="28" t="n">
        <x:v>0</x:v>
      </x:c>
      <x:c r="Y186" s="28" t="n">
        <x:v>0</x:v>
      </x:c>
      <x:c r="Z186" s="28" t="n">
        <x:v>0</x:v>
      </x:c>
      <x:c r="AA186" s="28" t="n">
        <x:v>2774</x:v>
      </x:c>
    </x:row>
    <x:row r="187">
      <x:c r="A187" s="25" t="str">
        <x:v>Temmuz 2026</x:v>
      </x:c>
      <x:c r="B187" s="25" t="str">
        <x:v>Yerli</x:v>
      </x:c>
      <x:c r="C187" s="25" t="str">
        <x:v>Türkçe</x:v>
      </x:c>
      <x:c r="D187" s="25" t="str">
        <x:v>Bilinirlik / İzlenme / Trafik</x:v>
      </x:c>
      <x:c r="E187" s="25" t="str">
        <x:v>Doktor Kampanyası</x:v>
      </x:c>
      <x:c r="F187" s="25" t="str">
        <x:v>Doruk Hastaneleri - SİNA ÖZEL Sağlık Hizmetleri A.ş</x:v>
      </x:c>
      <x:c r="G187" s="25" t="str">
        <x:v>TRY</x:v>
      </x:c>
      <x:c r="H187" s="25" t="str">
        <x:v>Doktor - Bilinirlik Kampanyası - Nilüfer</x:v>
      </x:c>
      <x:c r="I187" s="25" t="str">
        <x:v>​120249061996540399</x:v>
      </x:c>
      <x:c r="J187" s="25" t="str">
        <x:v>ACTIVE</x:v>
      </x:c>
      <x:c r="K187" s="25" t="str">
        <x:v>nilüfer - Önder Akkaya</x:v>
      </x:c>
      <x:c r="L187" s="25" t="str">
        <x:v>​120250370266480399</x:v>
      </x:c>
      <x:c r="M187" s="25" t="str">
        <x:v>ACTIVE</x:v>
      </x:c>
      <x:c r="N187" s="25" t="str">
        <x:v>REACH</x:v>
      </x:c>
      <x:c r="O187" s="27" t="n">
        <x:v>0</x:v>
      </x:c>
      <x:c r="P187" s="27" t="n">
        <x:v>0</x:v>
      </x:c>
      <x:c r="Q187" s="27" t="n">
        <x:v>100</x:v>
      </x:c>
      <x:c r="R187" s="27" t="n">
        <x:v>0</x:v>
      </x:c>
      <x:c r="S187" s="27" t="n">
        <x:v>2273.04</x:v>
      </x:c>
      <x:c r="T187" s="28" t="n">
        <x:v>253038</x:v>
      </x:c>
      <x:c r="U187" s="28" t="n">
        <x:v>212066</x:v>
      </x:c>
      <x:c r="V187" s="28" t="n">
        <x:v>200</x:v>
      </x:c>
      <x:c r="W187" s="28" t="n">
        <x:v>0</x:v>
      </x:c>
      <x:c r="X187" s="28" t="n">
        <x:v>0</x:v>
      </x:c>
      <x:c r="Y187" s="28" t="n">
        <x:v>0</x:v>
      </x:c>
      <x:c r="Z187" s="28" t="n">
        <x:v>0</x:v>
      </x:c>
      <x:c r="AA187" s="28" t="n">
        <x:v>9955</x:v>
      </x:c>
    </x:row>
    <x:row r="188">
      <x:c r="A188" s="25" t="str">
        <x:v>Ağustos 2026</x:v>
      </x:c>
      <x:c r="B188" s="25" t="str">
        <x:v>Yerli</x:v>
      </x:c>
      <x:c r="C188" s="25" t="str">
        <x:v>Türkçe</x:v>
      </x:c>
      <x:c r="D188" s="25" t="str">
        <x:v>Bilinirlik / İzlenme / Trafik</x:v>
      </x:c>
      <x:c r="E188" s="25" t="str">
        <x:v>Doktor Kampanyası</x:v>
      </x:c>
      <x:c r="F188" s="25" t="str">
        <x:v>Doruk Hastaneleri - SİNA ÖZEL Sağlık Hizmetleri A.ş</x:v>
      </x:c>
      <x:c r="G188" s="25" t="str">
        <x:v>TRY</x:v>
      </x:c>
      <x:c r="H188" s="25" t="str">
        <x:v>Doktor - Bilinirlik Kampanyası - Nilüfer</x:v>
      </x:c>
      <x:c r="I188" s="25" t="str">
        <x:v>​120249061996540399</x:v>
      </x:c>
      <x:c r="J188" s="25" t="str">
        <x:v>ACTIVE</x:v>
      </x:c>
      <x:c r="K188" s="25" t="str">
        <x:v>nilüfer - Önder Akkaya</x:v>
      </x:c>
      <x:c r="L188" s="25" t="str">
        <x:v>​120250370266480399</x:v>
      </x:c>
      <x:c r="M188" s="25" t="str">
        <x:v>ACTIVE</x:v>
      </x:c>
      <x:c r="N188" s="25" t="str">
        <x:v>REACH</x:v>
      </x:c>
      <x:c r="O188" s="27" t="n">
        <x:v>0</x:v>
      </x:c>
      <x:c r="P188" s="27" t="n">
        <x:v>0</x:v>
      </x:c>
      <x:c r="Q188" s="27" t="n">
        <x:v>100</x:v>
      </x:c>
      <x:c r="R188" s="27" t="n">
        <x:v>0</x:v>
      </x:c>
      <x:c r="S188" s="27" t="n">
        <x:v>471.77</x:v>
      </x:c>
      <x:c r="T188" s="28" t="n">
        <x:v>56095</x:v>
      </x:c>
      <x:c r="U188" s="28" t="n">
        <x:v>52699</x:v>
      </x:c>
      <x:c r="V188" s="28" t="n">
        <x:v>48</x:v>
      </x:c>
      <x:c r="W188" s="28" t="n">
        <x:v>0</x:v>
      </x:c>
      <x:c r="X188" s="28" t="n">
        <x:v>0</x:v>
      </x:c>
      <x:c r="Y188" s="28" t="n">
        <x:v>0</x:v>
      </x:c>
      <x:c r="Z188" s="28" t="n">
        <x:v>0</x:v>
      </x:c>
      <x:c r="AA188" s="28" t="n">
        <x:v>2627</x:v>
      </x:c>
    </x:row>
    <x:row r="189">
      <x:c r="A189" s="25" t="str">
        <x:v>Temmuz 2026</x:v>
      </x:c>
      <x:c r="B189" s="25" t="str">
        <x:v>Yerli</x:v>
      </x:c>
      <x:c r="C189" s="25" t="str">
        <x:v>Türkçe</x:v>
      </x:c>
      <x:c r="D189" s="25" t="str">
        <x:v>Bilinirlik / İzlenme / Trafik</x:v>
      </x:c>
      <x:c r="E189" s="25" t="str">
        <x:v>Doktor Kampanyası</x:v>
      </x:c>
      <x:c r="F189" s="25" t="str">
        <x:v>Doruk Hastaneleri - SİNA ÖZEL Sağlık Hizmetleri A.ş</x:v>
      </x:c>
      <x:c r="G189" s="25" t="str">
        <x:v>TRY</x:v>
      </x:c>
      <x:c r="H189" s="25" t="str">
        <x:v>Doktor - Bilinirlik Kampanyası - Nilüfer</x:v>
      </x:c>
      <x:c r="I189" s="25" t="str">
        <x:v>​120249061996540399</x:v>
      </x:c>
      <x:c r="J189" s="25" t="str">
        <x:v>ACTIVE</x:v>
      </x:c>
      <x:c r="K189" s="25" t="str">
        <x:v>nilüfer - Özgecen Demirbaş</x:v>
      </x:c>
      <x:c r="L189" s="25" t="str">
        <x:v>​120249678013370399</x:v>
      </x:c>
      <x:c r="M189" s="25" t="str">
        <x:v>ACTIVE</x:v>
      </x:c>
      <x:c r="N189" s="25" t="str">
        <x:v>REACH</x:v>
      </x:c>
      <x:c r="O189" s="27" t="n">
        <x:v>0</x:v>
      </x:c>
      <x:c r="P189" s="27" t="n">
        <x:v>0</x:v>
      </x:c>
      <x:c r="Q189" s="27" t="n">
        <x:v>100</x:v>
      </x:c>
      <x:c r="R189" s="27" t="n">
        <x:v>0</x:v>
      </x:c>
      <x:c r="S189" s="27" t="n">
        <x:v>2357.59</x:v>
      </x:c>
      <x:c r="T189" s="28" t="n">
        <x:v>260765</x:v>
      </x:c>
      <x:c r="U189" s="28" t="n">
        <x:v>246909</x:v>
      </x:c>
      <x:c r="V189" s="28" t="n">
        <x:v>70</x:v>
      </x:c>
      <x:c r="W189" s="28" t="n">
        <x:v>0</x:v>
      </x:c>
      <x:c r="X189" s="28" t="n">
        <x:v>0</x:v>
      </x:c>
      <x:c r="Y189" s="28" t="n">
        <x:v>0</x:v>
      </x:c>
      <x:c r="Z189" s="28" t="n">
        <x:v>0</x:v>
      </x:c>
      <x:c r="AA189" s="28" t="n">
        <x:v>8856</x:v>
      </x:c>
    </x:row>
    <x:row r="190">
      <x:c r="A190" s="25" t="str">
        <x:v>Ağustos 2026</x:v>
      </x:c>
      <x:c r="B190" s="25" t="str">
        <x:v>Yerli</x:v>
      </x:c>
      <x:c r="C190" s="25" t="str">
        <x:v>Türkçe</x:v>
      </x:c>
      <x:c r="D190" s="25" t="str">
        <x:v>Bilinirlik / İzlenme / Trafik</x:v>
      </x:c>
      <x:c r="E190" s="25" t="str">
        <x:v>Doktor Kampanyası</x:v>
      </x:c>
      <x:c r="F190" s="25" t="str">
        <x:v>Doruk Hastaneleri - SİNA ÖZEL Sağlık Hizmetleri A.ş</x:v>
      </x:c>
      <x:c r="G190" s="25" t="str">
        <x:v>TRY</x:v>
      </x:c>
      <x:c r="H190" s="25" t="str">
        <x:v>Doktor - Bilinirlik Kampanyası - Nilüfer</x:v>
      </x:c>
      <x:c r="I190" s="25" t="str">
        <x:v>​120249061996540399</x:v>
      </x:c>
      <x:c r="J190" s="25" t="str">
        <x:v>ACTIVE</x:v>
      </x:c>
      <x:c r="K190" s="25" t="str">
        <x:v>nilüfer - Özgecen Demirbaş</x:v>
      </x:c>
      <x:c r="L190" s="25" t="str">
        <x:v>​120249678013370399</x:v>
      </x:c>
      <x:c r="M190" s="25" t="str">
        <x:v>ACTIVE</x:v>
      </x:c>
      <x:c r="N190" s="25" t="str">
        <x:v>REACH</x:v>
      </x:c>
      <x:c r="O190" s="27" t="n">
        <x:v>0</x:v>
      </x:c>
      <x:c r="P190" s="27" t="n">
        <x:v>0</x:v>
      </x:c>
      <x:c r="Q190" s="27" t="n">
        <x:v>100</x:v>
      </x:c>
      <x:c r="R190" s="27" t="n">
        <x:v>0</x:v>
      </x:c>
      <x:c r="S190" s="27" t="n">
        <x:v>475.07</x:v>
      </x:c>
      <x:c r="T190" s="28" t="n">
        <x:v>55687</x:v>
      </x:c>
      <x:c r="U190" s="28" t="n">
        <x:v>54545</x:v>
      </x:c>
      <x:c r="V190" s="28" t="n">
        <x:v>19</x:v>
      </x:c>
      <x:c r="W190" s="28" t="n">
        <x:v>0</x:v>
      </x:c>
      <x:c r="X190" s="28" t="n">
        <x:v>0</x:v>
      </x:c>
      <x:c r="Y190" s="28" t="n">
        <x:v>0</x:v>
      </x:c>
      <x:c r="Z190" s="28" t="n">
        <x:v>0</x:v>
      </x:c>
      <x:c r="AA190" s="28" t="n">
        <x:v>2010</x:v>
      </x:c>
    </x:row>
    <x:row r="191">
      <x:c r="A191" s="25" t="str">
        <x:v>Temmuz 2026</x:v>
      </x:c>
      <x:c r="B191" s="25" t="str">
        <x:v>Yerli</x:v>
      </x:c>
      <x:c r="C191" s="25" t="str">
        <x:v>Türkçe</x:v>
      </x:c>
      <x:c r="D191" s="25" t="str">
        <x:v>Bilinirlik / İzlenme / Trafik</x:v>
      </x:c>
      <x:c r="E191" s="25" t="str">
        <x:v>Doktor Kampanyası</x:v>
      </x:c>
      <x:c r="F191" s="25" t="str">
        <x:v>Doruk Hastaneleri - SİNA ÖZEL Sağlık Hizmetleri A.ş</x:v>
      </x:c>
      <x:c r="G191" s="25" t="str">
        <x:v>TRY</x:v>
      </x:c>
      <x:c r="H191" s="25" t="str">
        <x:v>Doktor - Bilinirlik Kampanyası - Nilüfer</x:v>
      </x:c>
      <x:c r="I191" s="25" t="str">
        <x:v>​120249061996540399</x:v>
      </x:c>
      <x:c r="J191" s="25" t="str">
        <x:v>ACTIVE</x:v>
      </x:c>
      <x:c r="K191" s="25" t="str">
        <x:v>nilüfer - Rıdvan Ali</x:v>
      </x:c>
      <x:c r="L191" s="25" t="str">
        <x:v>​120250139943010399</x:v>
      </x:c>
      <x:c r="M191" s="25" t="str">
        <x:v>ACTIVE</x:v>
      </x:c>
      <x:c r="N191" s="25" t="str">
        <x:v>REACH</x:v>
      </x:c>
      <x:c r="O191" s="27" t="n">
        <x:v>0</x:v>
      </x:c>
      <x:c r="P191" s="27" t="n">
        <x:v>0</x:v>
      </x:c>
      <x:c r="Q191" s="27" t="n">
        <x:v>100</x:v>
      </x:c>
      <x:c r="R191" s="27" t="n">
        <x:v>0</x:v>
      </x:c>
      <x:c r="S191" s="27" t="n">
        <x:v>2315.48</x:v>
      </x:c>
      <x:c r="T191" s="28" t="n">
        <x:v>253361</x:v>
      </x:c>
      <x:c r="U191" s="28" t="n">
        <x:v>238938</x:v>
      </x:c>
      <x:c r="V191" s="28" t="n">
        <x:v>76</x:v>
      </x:c>
      <x:c r="W191" s="28" t="n">
        <x:v>0</x:v>
      </x:c>
      <x:c r="X191" s="28" t="n">
        <x:v>0</x:v>
      </x:c>
      <x:c r="Y191" s="28" t="n">
        <x:v>0</x:v>
      </x:c>
      <x:c r="Z191" s="28" t="n">
        <x:v>0</x:v>
      </x:c>
      <x:c r="AA191" s="28" t="n">
        <x:v>8337</x:v>
      </x:c>
    </x:row>
    <x:row r="192">
      <x:c r="A192" s="25" t="str">
        <x:v>Ağustos 2026</x:v>
      </x:c>
      <x:c r="B192" s="25" t="str">
        <x:v>Yerli</x:v>
      </x:c>
      <x:c r="C192" s="25" t="str">
        <x:v>Türkçe</x:v>
      </x:c>
      <x:c r="D192" s="25" t="str">
        <x:v>Bilinirlik / İzlenme / Trafik</x:v>
      </x:c>
      <x:c r="E192" s="25" t="str">
        <x:v>Doktor Kampanyası</x:v>
      </x:c>
      <x:c r="F192" s="25" t="str">
        <x:v>Doruk Hastaneleri - SİNA ÖZEL Sağlık Hizmetleri A.ş</x:v>
      </x:c>
      <x:c r="G192" s="25" t="str">
        <x:v>TRY</x:v>
      </x:c>
      <x:c r="H192" s="25" t="str">
        <x:v>Doktor - Bilinirlik Kampanyası - Nilüfer</x:v>
      </x:c>
      <x:c r="I192" s="25" t="str">
        <x:v>​120249061996540399</x:v>
      </x:c>
      <x:c r="J192" s="25" t="str">
        <x:v>ACTIVE</x:v>
      </x:c>
      <x:c r="K192" s="25" t="str">
        <x:v>nilüfer - Rıdvan Ali</x:v>
      </x:c>
      <x:c r="L192" s="25" t="str">
        <x:v>​120250139943010399</x:v>
      </x:c>
      <x:c r="M192" s="25" t="str">
        <x:v>ACTIVE</x:v>
      </x:c>
      <x:c r="N192" s="25" t="str">
        <x:v>REACH</x:v>
      </x:c>
      <x:c r="O192" s="27" t="n">
        <x:v>0</x:v>
      </x:c>
      <x:c r="P192" s="27" t="n">
        <x:v>0</x:v>
      </x:c>
      <x:c r="Q192" s="27" t="n">
        <x:v>100</x:v>
      </x:c>
      <x:c r="R192" s="27" t="n">
        <x:v>0</x:v>
      </x:c>
      <x:c r="S192" s="27" t="n">
        <x:v>462.3</x:v>
      </x:c>
      <x:c r="T192" s="28" t="n">
        <x:v>54348</x:v>
      </x:c>
      <x:c r="U192" s="28" t="n">
        <x:v>52247</x:v>
      </x:c>
      <x:c r="V192" s="28" t="n">
        <x:v>20</x:v>
      </x:c>
      <x:c r="W192" s="28" t="n">
        <x:v>0</x:v>
      </x:c>
      <x:c r="X192" s="28" t="n">
        <x:v>0</x:v>
      </x:c>
      <x:c r="Y192" s="28" t="n">
        <x:v>0</x:v>
      </x:c>
      <x:c r="Z192" s="28" t="n">
        <x:v>0</x:v>
      </x:c>
      <x:c r="AA192" s="28" t="n">
        <x:v>2228</x:v>
      </x:c>
    </x:row>
    <x:row r="193">
      <x:c r="A193" s="25" t="str">
        <x:v>Temmuz 2026</x:v>
      </x:c>
      <x:c r="B193" s="25" t="str">
        <x:v>Yerli</x:v>
      </x:c>
      <x:c r="C193" s="25" t="str">
        <x:v>Türkçe</x:v>
      </x:c>
      <x:c r="D193" s="25" t="str">
        <x:v>Bilinirlik / İzlenme / Trafik</x:v>
      </x:c>
      <x:c r="E193" s="25" t="str">
        <x:v>Doktor Kampanyası</x:v>
      </x:c>
      <x:c r="F193" s="25" t="str">
        <x:v>Doruk Hastaneleri - SİNA ÖZEL Sağlık Hizmetleri A.ş</x:v>
      </x:c>
      <x:c r="G193" s="25" t="str">
        <x:v>TRY</x:v>
      </x:c>
      <x:c r="H193" s="25" t="str">
        <x:v>Doktor - Bilinirlik Kampanyası - Nilüfer</x:v>
      </x:c>
      <x:c r="I193" s="25" t="str">
        <x:v>​120249061996540399</x:v>
      </x:c>
      <x:c r="J193" s="25" t="str">
        <x:v>ACTIVE</x:v>
      </x:c>
      <x:c r="K193" s="25" t="str">
        <x:v>nilüfer - Sabahattin Karakaya</x:v>
      </x:c>
      <x:c r="L193" s="25" t="str">
        <x:v>​120249678913370399</x:v>
      </x:c>
      <x:c r="M193" s="25" t="str">
        <x:v>ACTIVE</x:v>
      </x:c>
      <x:c r="N193" s="25" t="str">
        <x:v>REACH</x:v>
      </x:c>
      <x:c r="O193" s="27" t="n">
        <x:v>0</x:v>
      </x:c>
      <x:c r="P193" s="27" t="n">
        <x:v>0</x:v>
      </x:c>
      <x:c r="Q193" s="27" t="n">
        <x:v>100</x:v>
      </x:c>
      <x:c r="R193" s="27" t="n">
        <x:v>0</x:v>
      </x:c>
      <x:c r="S193" s="27" t="n">
        <x:v>2339.32</x:v>
      </x:c>
      <x:c r="T193" s="28" t="n">
        <x:v>260750</x:v>
      </x:c>
      <x:c r="U193" s="28" t="n">
        <x:v>236724</x:v>
      </x:c>
      <x:c r="V193" s="28" t="n">
        <x:v>148</x:v>
      </x:c>
      <x:c r="W193" s="28" t="n">
        <x:v>0</x:v>
      </x:c>
      <x:c r="X193" s="28" t="n">
        <x:v>0</x:v>
      </x:c>
      <x:c r="Y193" s="28" t="n">
        <x:v>0</x:v>
      </x:c>
      <x:c r="Z193" s="28" t="n">
        <x:v>0</x:v>
      </x:c>
      <x:c r="AA193" s="28" t="n">
        <x:v>9533</x:v>
      </x:c>
    </x:row>
    <x:row r="194">
      <x:c r="A194" s="25" t="str">
        <x:v>Ağustos 2026</x:v>
      </x:c>
      <x:c r="B194" s="25" t="str">
        <x:v>Yerli</x:v>
      </x:c>
      <x:c r="C194" s="25" t="str">
        <x:v>Türkçe</x:v>
      </x:c>
      <x:c r="D194" s="25" t="str">
        <x:v>Bilinirlik / İzlenme / Trafik</x:v>
      </x:c>
      <x:c r="E194" s="25" t="str">
        <x:v>Doktor Kampanyası</x:v>
      </x:c>
      <x:c r="F194" s="25" t="str">
        <x:v>Doruk Hastaneleri - SİNA ÖZEL Sağlık Hizmetleri A.ş</x:v>
      </x:c>
      <x:c r="G194" s="25" t="str">
        <x:v>TRY</x:v>
      </x:c>
      <x:c r="H194" s="25" t="str">
        <x:v>Doktor - Bilinirlik Kampanyası - Nilüfer</x:v>
      </x:c>
      <x:c r="I194" s="25" t="str">
        <x:v>​120249061996540399</x:v>
      </x:c>
      <x:c r="J194" s="25" t="str">
        <x:v>ACTIVE</x:v>
      </x:c>
      <x:c r="K194" s="25" t="str">
        <x:v>nilüfer - Sabahattin Karakaya</x:v>
      </x:c>
      <x:c r="L194" s="25" t="str">
        <x:v>​120249678913370399</x:v>
      </x:c>
      <x:c r="M194" s="25" t="str">
        <x:v>ACTIVE</x:v>
      </x:c>
      <x:c r="N194" s="25" t="str">
        <x:v>REACH</x:v>
      </x:c>
      <x:c r="O194" s="27" t="n">
        <x:v>0</x:v>
      </x:c>
      <x:c r="P194" s="27" t="n">
        <x:v>0</x:v>
      </x:c>
      <x:c r="Q194" s="27" t="n">
        <x:v>100</x:v>
      </x:c>
      <x:c r="R194" s="27" t="n">
        <x:v>0</x:v>
      </x:c>
      <x:c r="S194" s="27" t="n">
        <x:v>460.2</x:v>
      </x:c>
      <x:c r="T194" s="28" t="n">
        <x:v>54788</x:v>
      </x:c>
      <x:c r="U194" s="28" t="n">
        <x:v>52714</x:v>
      </x:c>
      <x:c r="V194" s="28" t="n">
        <x:v>28</x:v>
      </x:c>
      <x:c r="W194" s="28" t="n">
        <x:v>0</x:v>
      </x:c>
      <x:c r="X194" s="28" t="n">
        <x:v>0</x:v>
      </x:c>
      <x:c r="Y194" s="28" t="n">
        <x:v>0</x:v>
      </x:c>
      <x:c r="Z194" s="28" t="n">
        <x:v>0</x:v>
      </x:c>
      <x:c r="AA194" s="28" t="n">
        <x:v>2162</x:v>
      </x:c>
    </x:row>
    <x:row r="195">
      <x:c r="A195" s="25" t="str">
        <x:v>Temmuz 2026</x:v>
      </x:c>
      <x:c r="B195" s="25" t="str">
        <x:v>Yerli</x:v>
      </x:c>
      <x:c r="C195" s="25" t="str">
        <x:v>Türkçe</x:v>
      </x:c>
      <x:c r="D195" s="25" t="str">
        <x:v>Bilinirlik / İzlenme / Trafik</x:v>
      </x:c>
      <x:c r="E195" s="25" t="str">
        <x:v>Doktor Kampanyası</x:v>
      </x:c>
      <x:c r="F195" s="25" t="str">
        <x:v>Doruk Hastaneleri - SİNA ÖZEL Sağlık Hizmetleri A.ş</x:v>
      </x:c>
      <x:c r="G195" s="25" t="str">
        <x:v>TRY</x:v>
      </x:c>
      <x:c r="H195" s="25" t="str">
        <x:v>Doktor - Bilinirlik Kampanyası - Nilüfer</x:v>
      </x:c>
      <x:c r="I195" s="25" t="str">
        <x:v>​120249061996540399</x:v>
      </x:c>
      <x:c r="J195" s="25" t="str">
        <x:v>ACTIVE</x:v>
      </x:c>
      <x:c r="K195" s="25" t="str">
        <x:v>nilüfer - Salih Kılıç</x:v>
      </x:c>
      <x:c r="L195" s="25" t="str">
        <x:v>​120250014497470399</x:v>
      </x:c>
      <x:c r="M195" s="25" t="str">
        <x:v>ACTIVE</x:v>
      </x:c>
      <x:c r="N195" s="25" t="str">
        <x:v>REACH</x:v>
      </x:c>
      <x:c r="O195" s="27" t="n">
        <x:v>0</x:v>
      </x:c>
      <x:c r="P195" s="27" t="n">
        <x:v>0</x:v>
      </x:c>
      <x:c r="Q195" s="27" t="n">
        <x:v>100</x:v>
      </x:c>
      <x:c r="R195" s="27" t="n">
        <x:v>0</x:v>
      </x:c>
      <x:c r="S195" s="27" t="n">
        <x:v>2299.6</x:v>
      </x:c>
      <x:c r="T195" s="28" t="n">
        <x:v>257260</x:v>
      </x:c>
      <x:c r="U195" s="28" t="n">
        <x:v>232219</x:v>
      </x:c>
      <x:c r="V195" s="28" t="n">
        <x:v>96</x:v>
      </x:c>
      <x:c r="W195" s="28" t="n">
        <x:v>0</x:v>
      </x:c>
      <x:c r="X195" s="28" t="n">
        <x:v>0</x:v>
      </x:c>
      <x:c r="Y195" s="28" t="n">
        <x:v>0</x:v>
      </x:c>
      <x:c r="Z195" s="28" t="n">
        <x:v>0</x:v>
      </x:c>
      <x:c r="AA195" s="28" t="n">
        <x:v>10845</x:v>
      </x:c>
    </x:row>
    <x:row r="196">
      <x:c r="A196" s="25" t="str">
        <x:v>Ağustos 2026</x:v>
      </x:c>
      <x:c r="B196" s="25" t="str">
        <x:v>Yerli</x:v>
      </x:c>
      <x:c r="C196" s="25" t="str">
        <x:v>Türkçe</x:v>
      </x:c>
      <x:c r="D196" s="25" t="str">
        <x:v>Bilinirlik / İzlenme / Trafik</x:v>
      </x:c>
      <x:c r="E196" s="25" t="str">
        <x:v>Doktor Kampanyası</x:v>
      </x:c>
      <x:c r="F196" s="25" t="str">
        <x:v>Doruk Hastaneleri - SİNA ÖZEL Sağlık Hizmetleri A.ş</x:v>
      </x:c>
      <x:c r="G196" s="25" t="str">
        <x:v>TRY</x:v>
      </x:c>
      <x:c r="H196" s="25" t="str">
        <x:v>Doktor - Bilinirlik Kampanyası - Nilüfer</x:v>
      </x:c>
      <x:c r="I196" s="25" t="str">
        <x:v>​120249061996540399</x:v>
      </x:c>
      <x:c r="J196" s="25" t="str">
        <x:v>ACTIVE</x:v>
      </x:c>
      <x:c r="K196" s="25" t="str">
        <x:v>nilüfer - Salih Kılıç</x:v>
      </x:c>
      <x:c r="L196" s="25" t="str">
        <x:v>​120250014497470399</x:v>
      </x:c>
      <x:c r="M196" s="25" t="str">
        <x:v>ACTIVE</x:v>
      </x:c>
      <x:c r="N196" s="25" t="str">
        <x:v>REACH</x:v>
      </x:c>
      <x:c r="O196" s="27" t="n">
        <x:v>0</x:v>
      </x:c>
      <x:c r="P196" s="27" t="n">
        <x:v>0</x:v>
      </x:c>
      <x:c r="Q196" s="27" t="n">
        <x:v>100</x:v>
      </x:c>
      <x:c r="R196" s="27" t="n">
        <x:v>0</x:v>
      </x:c>
      <x:c r="S196" s="27" t="n">
        <x:v>455.87</x:v>
      </x:c>
      <x:c r="T196" s="28" t="n">
        <x:v>54568</x:v>
      </x:c>
      <x:c r="U196" s="28" t="n">
        <x:v>52890</x:v>
      </x:c>
      <x:c r="V196" s="28" t="n">
        <x:v>27</x:v>
      </x:c>
      <x:c r="W196" s="28" t="n">
        <x:v>0</x:v>
      </x:c>
      <x:c r="X196" s="28" t="n">
        <x:v>0</x:v>
      </x:c>
      <x:c r="Y196" s="28" t="n">
        <x:v>0</x:v>
      </x:c>
      <x:c r="Z196" s="28" t="n">
        <x:v>0</x:v>
      </x:c>
      <x:c r="AA196" s="28" t="n">
        <x:v>2398</x:v>
      </x:c>
    </x:row>
    <x:row r="197">
      <x:c r="A197" s="25" t="str">
        <x:v>Temmuz 2026</x:v>
      </x:c>
      <x:c r="B197" s="25" t="str">
        <x:v>Yerli</x:v>
      </x:c>
      <x:c r="C197" s="25" t="str">
        <x:v>Türkçe</x:v>
      </x:c>
      <x:c r="D197" s="25" t="str">
        <x:v>Bilinirlik / İzlenme / Trafik</x:v>
      </x:c>
      <x:c r="E197" s="25" t="str">
        <x:v>Doktor Kampanyası</x:v>
      </x:c>
      <x:c r="F197" s="25" t="str">
        <x:v>Doruk Hastaneleri - SİNA ÖZEL Sağlık Hizmetleri A.ş</x:v>
      </x:c>
      <x:c r="G197" s="25" t="str">
        <x:v>TRY</x:v>
      </x:c>
      <x:c r="H197" s="25" t="str">
        <x:v>Doktor - Bilinirlik Kampanyası - Nilüfer</x:v>
      </x:c>
      <x:c r="I197" s="25" t="str">
        <x:v>​120249061996540399</x:v>
      </x:c>
      <x:c r="J197" s="25" t="str">
        <x:v>ACTIVE</x:v>
      </x:c>
      <x:c r="K197" s="25" t="str">
        <x:v>nilüfer - Seren Şeviker</x:v>
      </x:c>
      <x:c r="L197" s="25" t="str">
        <x:v>​120250370297860399</x:v>
      </x:c>
      <x:c r="M197" s="25" t="str">
        <x:v>ACTIVE</x:v>
      </x:c>
      <x:c r="N197" s="25" t="str">
        <x:v>REACH</x:v>
      </x:c>
      <x:c r="O197" s="27" t="n">
        <x:v>0</x:v>
      </x:c>
      <x:c r="P197" s="27" t="n">
        <x:v>0</x:v>
      </x:c>
      <x:c r="Q197" s="27" t="n">
        <x:v>100</x:v>
      </x:c>
      <x:c r="R197" s="27" t="n">
        <x:v>0</x:v>
      </x:c>
      <x:c r="S197" s="27" t="n">
        <x:v>2335.41</x:v>
      </x:c>
      <x:c r="T197" s="28" t="n">
        <x:v>254745</x:v>
      </x:c>
      <x:c r="U197" s="28" t="n">
        <x:v>230619</x:v>
      </x:c>
      <x:c r="V197" s="28" t="n">
        <x:v>119</x:v>
      </x:c>
      <x:c r="W197" s="28" t="n">
        <x:v>0</x:v>
      </x:c>
      <x:c r="X197" s="28" t="n">
        <x:v>0</x:v>
      </x:c>
      <x:c r="Y197" s="28" t="n">
        <x:v>0</x:v>
      </x:c>
      <x:c r="Z197" s="28" t="n">
        <x:v>0</x:v>
      </x:c>
      <x:c r="AA197" s="28" t="n">
        <x:v>8226</x:v>
      </x:c>
    </x:row>
    <x:row r="198">
      <x:c r="A198" s="25" t="str">
        <x:v>Ağustos 2026</x:v>
      </x:c>
      <x:c r="B198" s="25" t="str">
        <x:v>Yerli</x:v>
      </x:c>
      <x:c r="C198" s="25" t="str">
        <x:v>Türkçe</x:v>
      </x:c>
      <x:c r="D198" s="25" t="str">
        <x:v>Bilinirlik / İzlenme / Trafik</x:v>
      </x:c>
      <x:c r="E198" s="25" t="str">
        <x:v>Doktor Kampanyası</x:v>
      </x:c>
      <x:c r="F198" s="25" t="str">
        <x:v>Doruk Hastaneleri - SİNA ÖZEL Sağlık Hizmetleri A.ş</x:v>
      </x:c>
      <x:c r="G198" s="25" t="str">
        <x:v>TRY</x:v>
      </x:c>
      <x:c r="H198" s="25" t="str">
        <x:v>Doktor - Bilinirlik Kampanyası - Nilüfer</x:v>
      </x:c>
      <x:c r="I198" s="25" t="str">
        <x:v>​120249061996540399</x:v>
      </x:c>
      <x:c r="J198" s="25" t="str">
        <x:v>ACTIVE</x:v>
      </x:c>
      <x:c r="K198" s="25" t="str">
        <x:v>nilüfer - Seren Şeviker</x:v>
      </x:c>
      <x:c r="L198" s="25" t="str">
        <x:v>​120250370297860399</x:v>
      </x:c>
      <x:c r="M198" s="25" t="str">
        <x:v>ACTIVE</x:v>
      </x:c>
      <x:c r="N198" s="25" t="str">
        <x:v>REACH</x:v>
      </x:c>
      <x:c r="O198" s="27" t="n">
        <x:v>0</x:v>
      </x:c>
      <x:c r="P198" s="27" t="n">
        <x:v>0</x:v>
      </x:c>
      <x:c r="Q198" s="27" t="n">
        <x:v>100</x:v>
      </x:c>
      <x:c r="R198" s="27" t="n">
        <x:v>0</x:v>
      </x:c>
      <x:c r="S198" s="27" t="n">
        <x:v>462.05</x:v>
      </x:c>
      <x:c r="T198" s="28" t="n">
        <x:v>54001</x:v>
      </x:c>
      <x:c r="U198" s="28" t="n">
        <x:v>50913</x:v>
      </x:c>
      <x:c r="V198" s="28" t="n">
        <x:v>24</x:v>
      </x:c>
      <x:c r="W198" s="28" t="n">
        <x:v>0</x:v>
      </x:c>
      <x:c r="X198" s="28" t="n">
        <x:v>0</x:v>
      </x:c>
      <x:c r="Y198" s="28" t="n">
        <x:v>0</x:v>
      </x:c>
      <x:c r="Z198" s="28" t="n">
        <x:v>0</x:v>
      </x:c>
      <x:c r="AA198" s="28" t="n">
        <x:v>2310</x:v>
      </x:c>
    </x:row>
    <x:row r="199">
      <x:c r="A199" s="25" t="str">
        <x:v>Temmuz 2026</x:v>
      </x:c>
      <x:c r="B199" s="25" t="str">
        <x:v>Yerli</x:v>
      </x:c>
      <x:c r="C199" s="25" t="str">
        <x:v>Türkçe</x:v>
      </x:c>
      <x:c r="D199" s="25" t="str">
        <x:v>Bilinirlik / İzlenme / Trafik</x:v>
      </x:c>
      <x:c r="E199" s="25" t="str">
        <x:v>Doktor Kampanyası</x:v>
      </x:c>
      <x:c r="F199" s="25" t="str">
        <x:v>Doruk Hastaneleri - SİNA ÖZEL Sağlık Hizmetleri A.ş</x:v>
      </x:c>
      <x:c r="G199" s="25" t="str">
        <x:v>TRY</x:v>
      </x:c>
      <x:c r="H199" s="25" t="str">
        <x:v>Doktor - Bilinirlik Kampanyası - Nilüfer</x:v>
      </x:c>
      <x:c r="I199" s="25" t="str">
        <x:v>​120249061996540399</x:v>
      </x:c>
      <x:c r="J199" s="25" t="str">
        <x:v>ACTIVE</x:v>
      </x:c>
      <x:c r="K199" s="25" t="str">
        <x:v>nilüfer - Serkan Fatih Yeğen</x:v>
      </x:c>
      <x:c r="L199" s="25" t="str">
        <x:v>​120250017424400399</x:v>
      </x:c>
      <x:c r="M199" s="25" t="str">
        <x:v>ACTIVE</x:v>
      </x:c>
      <x:c r="N199" s="25" t="str">
        <x:v>REACH</x:v>
      </x:c>
      <x:c r="O199" s="27" t="n">
        <x:v>0</x:v>
      </x:c>
      <x:c r="P199" s="27" t="n">
        <x:v>0</x:v>
      </x:c>
      <x:c r="Q199" s="27" t="n">
        <x:v>100</x:v>
      </x:c>
      <x:c r="R199" s="27" t="n">
        <x:v>0</x:v>
      </x:c>
      <x:c r="S199" s="27" t="n">
        <x:v>2287.43</x:v>
      </x:c>
      <x:c r="T199" s="28" t="n">
        <x:v>257829</x:v>
      </x:c>
      <x:c r="U199" s="28" t="n">
        <x:v>208442</x:v>
      </x:c>
      <x:c r="V199" s="28" t="n">
        <x:v>396</x:v>
      </x:c>
      <x:c r="W199" s="28" t="n">
        <x:v>0</x:v>
      </x:c>
      <x:c r="X199" s="28" t="n">
        <x:v>0</x:v>
      </x:c>
      <x:c r="Y199" s="28" t="n">
        <x:v>0</x:v>
      </x:c>
      <x:c r="Z199" s="28" t="n">
        <x:v>0</x:v>
      </x:c>
      <x:c r="AA199" s="28" t="n">
        <x:v>13776</x:v>
      </x:c>
    </x:row>
    <x:row r="200">
      <x:c r="A200" s="25" t="str">
        <x:v>Ağustos 2026</x:v>
      </x:c>
      <x:c r="B200" s="25" t="str">
        <x:v>Yerli</x:v>
      </x:c>
      <x:c r="C200" s="25" t="str">
        <x:v>Türkçe</x:v>
      </x:c>
      <x:c r="D200" s="25" t="str">
        <x:v>Bilinirlik / İzlenme / Trafik</x:v>
      </x:c>
      <x:c r="E200" s="25" t="str">
        <x:v>Doktor Kampanyası</x:v>
      </x:c>
      <x:c r="F200" s="25" t="str">
        <x:v>Doruk Hastaneleri - SİNA ÖZEL Sağlık Hizmetleri A.ş</x:v>
      </x:c>
      <x:c r="G200" s="25" t="str">
        <x:v>TRY</x:v>
      </x:c>
      <x:c r="H200" s="25" t="str">
        <x:v>Doktor - Bilinirlik Kampanyası - Nilüfer</x:v>
      </x:c>
      <x:c r="I200" s="25" t="str">
        <x:v>​120249061996540399</x:v>
      </x:c>
      <x:c r="J200" s="25" t="str">
        <x:v>ACTIVE</x:v>
      </x:c>
      <x:c r="K200" s="25" t="str">
        <x:v>nilüfer - Serkan Fatih Yeğen</x:v>
      </x:c>
      <x:c r="L200" s="25" t="str">
        <x:v>​120250017424400399</x:v>
      </x:c>
      <x:c r="M200" s="25" t="str">
        <x:v>ACTIVE</x:v>
      </x:c>
      <x:c r="N200" s="25" t="str">
        <x:v>REACH</x:v>
      </x:c>
      <x:c r="O200" s="27" t="n">
        <x:v>0</x:v>
      </x:c>
      <x:c r="P200" s="27" t="n">
        <x:v>0</x:v>
      </x:c>
      <x:c r="Q200" s="27" t="n">
        <x:v>100</x:v>
      </x:c>
      <x:c r="R200" s="27" t="n">
        <x:v>0</x:v>
      </x:c>
      <x:c r="S200" s="27" t="n">
        <x:v>461.15</x:v>
      </x:c>
      <x:c r="T200" s="28" t="n">
        <x:v>55527</x:v>
      </x:c>
      <x:c r="U200" s="28" t="n">
        <x:v>53716</x:v>
      </x:c>
      <x:c r="V200" s="28" t="n">
        <x:v>65</x:v>
      </x:c>
      <x:c r="W200" s="28" t="n">
        <x:v>0</x:v>
      </x:c>
      <x:c r="X200" s="28" t="n">
        <x:v>0</x:v>
      </x:c>
      <x:c r="Y200" s="28" t="n">
        <x:v>0</x:v>
      </x:c>
      <x:c r="Z200" s="28" t="n">
        <x:v>0</x:v>
      </x:c>
      <x:c r="AA200" s="28" t="n">
        <x:v>3220</x:v>
      </x:c>
    </x:row>
    <x:row r="201">
      <x:c r="A201" s="25" t="str">
        <x:v>Temmuz 2026</x:v>
      </x:c>
      <x:c r="B201" s="25" t="str">
        <x:v>Yerli</x:v>
      </x:c>
      <x:c r="C201" s="25" t="str">
        <x:v>Türkçe</x:v>
      </x:c>
      <x:c r="D201" s="25" t="str">
        <x:v>Bilinirlik / İzlenme / Trafik</x:v>
      </x:c>
      <x:c r="E201" s="25" t="str">
        <x:v>Doktor Kampanyası</x:v>
      </x:c>
      <x:c r="F201" s="25" t="str">
        <x:v>Doruk Hastaneleri - SİNA ÖZEL Sağlık Hizmetleri A.ş</x:v>
      </x:c>
      <x:c r="G201" s="25" t="str">
        <x:v>TRY</x:v>
      </x:c>
      <x:c r="H201" s="25" t="str">
        <x:v>Doktor - Bilinirlik Kampanyası - Nilüfer</x:v>
      </x:c>
      <x:c r="I201" s="25" t="str">
        <x:v>​120249061996540399</x:v>
      </x:c>
      <x:c r="J201" s="25" t="str">
        <x:v>ACTIVE</x:v>
      </x:c>
      <x:c r="K201" s="25" t="str">
        <x:v>nilüfer - Sinan Demirtaş</x:v>
      </x:c>
      <x:c r="L201" s="25" t="str">
        <x:v>​120252512377460399</x:v>
      </x:c>
      <x:c r="M201" s="25" t="str">
        <x:v>ACTIVE</x:v>
      </x:c>
      <x:c r="N201" s="25" t="str">
        <x:v>REACH</x:v>
      </x:c>
      <x:c r="O201" s="27" t="n">
        <x:v>0</x:v>
      </x:c>
      <x:c r="P201" s="27" t="n">
        <x:v>0</x:v>
      </x:c>
      <x:c r="Q201" s="27" t="n">
        <x:v>100</x:v>
      </x:c>
      <x:c r="R201" s="27" t="n">
        <x:v>0</x:v>
      </x:c>
      <x:c r="S201" s="27" t="n">
        <x:v>2315.49</x:v>
      </x:c>
      <x:c r="T201" s="28" t="n">
        <x:v>258872</x:v>
      </x:c>
      <x:c r="U201" s="28" t="n">
        <x:v>239602</x:v>
      </x:c>
      <x:c r="V201" s="28" t="n">
        <x:v>71</x:v>
      </x:c>
      <x:c r="W201" s="28" t="n">
        <x:v>0</x:v>
      </x:c>
      <x:c r="X201" s="28" t="n">
        <x:v>0</x:v>
      </x:c>
      <x:c r="Y201" s="28" t="n">
        <x:v>0</x:v>
      </x:c>
      <x:c r="Z201" s="28" t="n">
        <x:v>0</x:v>
      </x:c>
      <x:c r="AA201" s="28" t="n">
        <x:v>11097</x:v>
      </x:c>
    </x:row>
    <x:row r="202">
      <x:c r="A202" s="25" t="str">
        <x:v>Ağustos 2026</x:v>
      </x:c>
      <x:c r="B202" s="25" t="str">
        <x:v>Yerli</x:v>
      </x:c>
      <x:c r="C202" s="25" t="str">
        <x:v>Türkçe</x:v>
      </x:c>
      <x:c r="D202" s="25" t="str">
        <x:v>Bilinirlik / İzlenme / Trafik</x:v>
      </x:c>
      <x:c r="E202" s="25" t="str">
        <x:v>Doktor Kampanyası</x:v>
      </x:c>
      <x:c r="F202" s="25" t="str">
        <x:v>Doruk Hastaneleri - SİNA ÖZEL Sağlık Hizmetleri A.ş</x:v>
      </x:c>
      <x:c r="G202" s="25" t="str">
        <x:v>TRY</x:v>
      </x:c>
      <x:c r="H202" s="25" t="str">
        <x:v>Doktor - Bilinirlik Kampanyası - Nilüfer</x:v>
      </x:c>
      <x:c r="I202" s="25" t="str">
        <x:v>​120249061996540399</x:v>
      </x:c>
      <x:c r="J202" s="25" t="str">
        <x:v>ACTIVE</x:v>
      </x:c>
      <x:c r="K202" s="25" t="str">
        <x:v>nilüfer - Sinan Demirtaş</x:v>
      </x:c>
      <x:c r="L202" s="25" t="str">
        <x:v>​120252512377460399</x:v>
      </x:c>
      <x:c r="M202" s="25" t="str">
        <x:v>ACTIVE</x:v>
      </x:c>
      <x:c r="N202" s="25" t="str">
        <x:v>REACH</x:v>
      </x:c>
      <x:c r="O202" s="27" t="n">
        <x:v>0</x:v>
      </x:c>
      <x:c r="P202" s="27" t="n">
        <x:v>0</x:v>
      </x:c>
      <x:c r="Q202" s="27" t="n">
        <x:v>100</x:v>
      </x:c>
      <x:c r="R202" s="27" t="n">
        <x:v>0</x:v>
      </x:c>
      <x:c r="S202" s="27" t="n">
        <x:v>454.19</x:v>
      </x:c>
      <x:c r="T202" s="28" t="n">
        <x:v>54176</x:v>
      </x:c>
      <x:c r="U202" s="28" t="n">
        <x:v>53274</x:v>
      </x:c>
      <x:c r="V202" s="28" t="n">
        <x:v>19</x:v>
      </x:c>
      <x:c r="W202" s="28" t="n">
        <x:v>0</x:v>
      </x:c>
      <x:c r="X202" s="28" t="n">
        <x:v>0</x:v>
      </x:c>
      <x:c r="Y202" s="28" t="n">
        <x:v>0</x:v>
      </x:c>
      <x:c r="Z202" s="28" t="n">
        <x:v>0</x:v>
      </x:c>
      <x:c r="AA202" s="28" t="n">
        <x:v>2251</x:v>
      </x:c>
    </x:row>
    <x:row r="203">
      <x:c r="A203" s="25" t="str">
        <x:v>Temmuz 2026</x:v>
      </x:c>
      <x:c r="B203" s="25" t="str">
        <x:v>Yerli</x:v>
      </x:c>
      <x:c r="C203" s="25" t="str">
        <x:v>Türkçe</x:v>
      </x:c>
      <x:c r="D203" s="25" t="str">
        <x:v>Bilinirlik / İzlenme / Trafik</x:v>
      </x:c>
      <x:c r="E203" s="25" t="str">
        <x:v>Doktor Kampanyası</x:v>
      </x:c>
      <x:c r="F203" s="25" t="str">
        <x:v>Doruk Hastaneleri - SİNA ÖZEL Sağlık Hizmetleri A.ş</x:v>
      </x:c>
      <x:c r="G203" s="25" t="str">
        <x:v>TRY</x:v>
      </x:c>
      <x:c r="H203" s="25" t="str">
        <x:v>Doktor - Bilinirlik Kampanyası - Nilüfer</x:v>
      </x:c>
      <x:c r="I203" s="25" t="str">
        <x:v>​120249061996540399</x:v>
      </x:c>
      <x:c r="J203" s="25" t="str">
        <x:v>ACTIVE</x:v>
      </x:c>
      <x:c r="K203" s="25" t="str">
        <x:v>nilüfer - Sözer Sarıoğlu</x:v>
      </x:c>
      <x:c r="L203" s="25" t="str">
        <x:v>​120249678934630399</x:v>
      </x:c>
      <x:c r="M203" s="25" t="str">
        <x:v>ACTIVE</x:v>
      </x:c>
      <x:c r="N203" s="25" t="str">
        <x:v>REACH</x:v>
      </x:c>
      <x:c r="O203" s="27" t="n">
        <x:v>0</x:v>
      </x:c>
      <x:c r="P203" s="27" t="n">
        <x:v>0</x:v>
      </x:c>
      <x:c r="Q203" s="27" t="n">
        <x:v>100</x:v>
      </x:c>
      <x:c r="R203" s="27" t="n">
        <x:v>0</x:v>
      </x:c>
      <x:c r="S203" s="27" t="n">
        <x:v>2332.28</x:v>
      </x:c>
      <x:c r="T203" s="28" t="n">
        <x:v>255857</x:v>
      </x:c>
      <x:c r="U203" s="28" t="n">
        <x:v>246234</x:v>
      </x:c>
      <x:c r="V203" s="28" t="n">
        <x:v>86</x:v>
      </x:c>
      <x:c r="W203" s="28" t="n">
        <x:v>0</x:v>
      </x:c>
      <x:c r="X203" s="28" t="n">
        <x:v>0</x:v>
      </x:c>
      <x:c r="Y203" s="28" t="n">
        <x:v>0</x:v>
      </x:c>
      <x:c r="Z203" s="28" t="n">
        <x:v>0</x:v>
      </x:c>
      <x:c r="AA203" s="28" t="n">
        <x:v>7887</x:v>
      </x:c>
    </x:row>
    <x:row r="204">
      <x:c r="A204" s="25" t="str">
        <x:v>Ağustos 2026</x:v>
      </x:c>
      <x:c r="B204" s="25" t="str">
        <x:v>Yerli</x:v>
      </x:c>
      <x:c r="C204" s="25" t="str">
        <x:v>Türkçe</x:v>
      </x:c>
      <x:c r="D204" s="25" t="str">
        <x:v>Bilinirlik / İzlenme / Trafik</x:v>
      </x:c>
      <x:c r="E204" s="25" t="str">
        <x:v>Doktor Kampanyası</x:v>
      </x:c>
      <x:c r="F204" s="25" t="str">
        <x:v>Doruk Hastaneleri - SİNA ÖZEL Sağlık Hizmetleri A.ş</x:v>
      </x:c>
      <x:c r="G204" s="25" t="str">
        <x:v>TRY</x:v>
      </x:c>
      <x:c r="H204" s="25" t="str">
        <x:v>Doktor - Bilinirlik Kampanyası - Nilüfer</x:v>
      </x:c>
      <x:c r="I204" s="25" t="str">
        <x:v>​120249061996540399</x:v>
      </x:c>
      <x:c r="J204" s="25" t="str">
        <x:v>ACTIVE</x:v>
      </x:c>
      <x:c r="K204" s="25" t="str">
        <x:v>nilüfer - Sözer Sarıoğlu</x:v>
      </x:c>
      <x:c r="L204" s="25" t="str">
        <x:v>​120249678934630399</x:v>
      </x:c>
      <x:c r="M204" s="25" t="str">
        <x:v>ACTIVE</x:v>
      </x:c>
      <x:c r="N204" s="25" t="str">
        <x:v>REACH</x:v>
      </x:c>
      <x:c r="O204" s="27" t="n">
        <x:v>0</x:v>
      </x:c>
      <x:c r="P204" s="27" t="n">
        <x:v>0</x:v>
      </x:c>
      <x:c r="Q204" s="27" t="n">
        <x:v>100</x:v>
      </x:c>
      <x:c r="R204" s="27" t="n">
        <x:v>0</x:v>
      </x:c>
      <x:c r="S204" s="27" t="n">
        <x:v>458.25</x:v>
      </x:c>
      <x:c r="T204" s="28" t="n">
        <x:v>53926</x:v>
      </x:c>
      <x:c r="U204" s="28" t="n">
        <x:v>52748</x:v>
      </x:c>
      <x:c r="V204" s="28" t="n">
        <x:v>16</x:v>
      </x:c>
      <x:c r="W204" s="28" t="n">
        <x:v>0</x:v>
      </x:c>
      <x:c r="X204" s="28" t="n">
        <x:v>0</x:v>
      </x:c>
      <x:c r="Y204" s="28" t="n">
        <x:v>0</x:v>
      </x:c>
      <x:c r="Z204" s="28" t="n">
        <x:v>0</x:v>
      </x:c>
      <x:c r="AA204" s="28" t="n">
        <x:v>1882</x:v>
      </x:c>
    </x:row>
    <x:row r="205">
      <x:c r="A205" s="25" t="str">
        <x:v>Temmuz 2026</x:v>
      </x:c>
      <x:c r="B205" s="25" t="str">
        <x:v>Yerli</x:v>
      </x:c>
      <x:c r="C205" s="25" t="str">
        <x:v>Türkçe</x:v>
      </x:c>
      <x:c r="D205" s="25" t="str">
        <x:v>Bilinirlik / İzlenme / Trafik</x:v>
      </x:c>
      <x:c r="E205" s="25" t="str">
        <x:v>Doktor Kampanyası</x:v>
      </x:c>
      <x:c r="F205" s="25" t="str">
        <x:v>Doruk Hastaneleri - SİNA ÖZEL Sağlık Hizmetleri A.ş</x:v>
      </x:c>
      <x:c r="G205" s="25" t="str">
        <x:v>TRY</x:v>
      </x:c>
      <x:c r="H205" s="25" t="str">
        <x:v>Doktor - Bilinirlik Kampanyası - Nilüfer</x:v>
      </x:c>
      <x:c r="I205" s="25" t="str">
        <x:v>​120249061996540399</x:v>
      </x:c>
      <x:c r="J205" s="25" t="str">
        <x:v>ACTIVE</x:v>
      </x:c>
      <x:c r="K205" s="25" t="str">
        <x:v>nilüfer - Şenol Acar</x:v>
      </x:c>
      <x:c r="L205" s="25" t="str">
        <x:v>​120252512712000399</x:v>
      </x:c>
      <x:c r="M205" s="25" t="str">
        <x:v>ACTIVE</x:v>
      </x:c>
      <x:c r="N205" s="25" t="str">
        <x:v>REACH</x:v>
      </x:c>
      <x:c r="O205" s="27" t="n">
        <x:v>0</x:v>
      </x:c>
      <x:c r="P205" s="27" t="n">
        <x:v>0</x:v>
      </x:c>
      <x:c r="Q205" s="27" t="n">
        <x:v>100</x:v>
      </x:c>
      <x:c r="R205" s="27" t="n">
        <x:v>0</x:v>
      </x:c>
      <x:c r="S205" s="27" t="n">
        <x:v>2311.92</x:v>
      </x:c>
      <x:c r="T205" s="28" t="n">
        <x:v>255287</x:v>
      </x:c>
      <x:c r="U205" s="28" t="n">
        <x:v>217030</x:v>
      </x:c>
      <x:c r="V205" s="28" t="n">
        <x:v>169</x:v>
      </x:c>
      <x:c r="W205" s="28" t="n">
        <x:v>0</x:v>
      </x:c>
      <x:c r="X205" s="28" t="n">
        <x:v>0</x:v>
      </x:c>
      <x:c r="Y205" s="28" t="n">
        <x:v>0</x:v>
      </x:c>
      <x:c r="Z205" s="28" t="n">
        <x:v>0</x:v>
      </x:c>
      <x:c r="AA205" s="28" t="n">
        <x:v>10147</x:v>
      </x:c>
    </x:row>
    <x:row r="206">
      <x:c r="A206" s="25" t="str">
        <x:v>Ağustos 2026</x:v>
      </x:c>
      <x:c r="B206" s="25" t="str">
        <x:v>Yerli</x:v>
      </x:c>
      <x:c r="C206" s="25" t="str">
        <x:v>Türkçe</x:v>
      </x:c>
      <x:c r="D206" s="25" t="str">
        <x:v>Bilinirlik / İzlenme / Trafik</x:v>
      </x:c>
      <x:c r="E206" s="25" t="str">
        <x:v>Doktor Kampanyası</x:v>
      </x:c>
      <x:c r="F206" s="25" t="str">
        <x:v>Doruk Hastaneleri - SİNA ÖZEL Sağlık Hizmetleri A.ş</x:v>
      </x:c>
      <x:c r="G206" s="25" t="str">
        <x:v>TRY</x:v>
      </x:c>
      <x:c r="H206" s="25" t="str">
        <x:v>Doktor - Bilinirlik Kampanyası - Nilüfer</x:v>
      </x:c>
      <x:c r="I206" s="25" t="str">
        <x:v>​120249061996540399</x:v>
      </x:c>
      <x:c r="J206" s="25" t="str">
        <x:v>ACTIVE</x:v>
      </x:c>
      <x:c r="K206" s="25" t="str">
        <x:v>nilüfer - Şenol Acar</x:v>
      </x:c>
      <x:c r="L206" s="25" t="str">
        <x:v>​120252512712000399</x:v>
      </x:c>
      <x:c r="M206" s="25" t="str">
        <x:v>ACTIVE</x:v>
      </x:c>
      <x:c r="N206" s="25" t="str">
        <x:v>REACH</x:v>
      </x:c>
      <x:c r="O206" s="27" t="n">
        <x:v>0</x:v>
      </x:c>
      <x:c r="P206" s="27" t="n">
        <x:v>0</x:v>
      </x:c>
      <x:c r="Q206" s="27" t="n">
        <x:v>100</x:v>
      </x:c>
      <x:c r="R206" s="27" t="n">
        <x:v>0</x:v>
      </x:c>
      <x:c r="S206" s="27" t="n">
        <x:v>459.87</x:v>
      </x:c>
      <x:c r="T206" s="28" t="n">
        <x:v>54074</x:v>
      </x:c>
      <x:c r="U206" s="28" t="n">
        <x:v>50359</x:v>
      </x:c>
      <x:c r="V206" s="28" t="n">
        <x:v>49</x:v>
      </x:c>
      <x:c r="W206" s="28" t="n">
        <x:v>0</x:v>
      </x:c>
      <x:c r="X206" s="28" t="n">
        <x:v>0</x:v>
      </x:c>
      <x:c r="Y206" s="28" t="n">
        <x:v>0</x:v>
      </x:c>
      <x:c r="Z206" s="28" t="n">
        <x:v>0</x:v>
      </x:c>
      <x:c r="AA206" s="28" t="n">
        <x:v>2229</x:v>
      </x:c>
    </x:row>
    <x:row r="207">
      <x:c r="A207" s="25" t="str">
        <x:v>Temmuz 2026</x:v>
      </x:c>
      <x:c r="B207" s="25" t="str">
        <x:v>Yerli</x:v>
      </x:c>
      <x:c r="C207" s="25" t="str">
        <x:v>Türkçe</x:v>
      </x:c>
      <x:c r="D207" s="25" t="str">
        <x:v>Bilinirlik / İzlenme / Trafik</x:v>
      </x:c>
      <x:c r="E207" s="25" t="str">
        <x:v>Doktor Kampanyası</x:v>
      </x:c>
      <x:c r="F207" s="25" t="str">
        <x:v>Doruk Hastaneleri - SİNA ÖZEL Sağlık Hizmetleri A.ş</x:v>
      </x:c>
      <x:c r="G207" s="25" t="str">
        <x:v>TRY</x:v>
      </x:c>
      <x:c r="H207" s="25" t="str">
        <x:v>Doktor - Bilinirlik Kampanyası - Nilüfer</x:v>
      </x:c>
      <x:c r="I207" s="25" t="str">
        <x:v>​120249061996540399</x:v>
      </x:c>
      <x:c r="J207" s="25" t="str">
        <x:v>ACTIVE</x:v>
      </x:c>
      <x:c r="K207" s="25" t="str">
        <x:v>nilüfer - Volkan Tümay</x:v>
      </x:c>
      <x:c r="L207" s="25" t="str">
        <x:v>​120250017569770399</x:v>
      </x:c>
      <x:c r="M207" s="25" t="str">
        <x:v>ACTIVE</x:v>
      </x:c>
      <x:c r="N207" s="25" t="str">
        <x:v>REACH</x:v>
      </x:c>
      <x:c r="O207" s="27" t="n">
        <x:v>0</x:v>
      </x:c>
      <x:c r="P207" s="27" t="n">
        <x:v>0</x:v>
      </x:c>
      <x:c r="Q207" s="27" t="n">
        <x:v>100</x:v>
      </x:c>
      <x:c r="R207" s="27" t="n">
        <x:v>0</x:v>
      </x:c>
      <x:c r="S207" s="27" t="n">
        <x:v>2307.66</x:v>
      </x:c>
      <x:c r="T207" s="28" t="n">
        <x:v>254526</x:v>
      </x:c>
      <x:c r="U207" s="28" t="n">
        <x:v>224543</x:v>
      </x:c>
      <x:c r="V207" s="28" t="n">
        <x:v>140</x:v>
      </x:c>
      <x:c r="W207" s="28" t="n">
        <x:v>0</x:v>
      </x:c>
      <x:c r="X207" s="28" t="n">
        <x:v>0</x:v>
      </x:c>
      <x:c r="Y207" s="28" t="n">
        <x:v>0</x:v>
      </x:c>
      <x:c r="Z207" s="28" t="n">
        <x:v>0</x:v>
      </x:c>
      <x:c r="AA207" s="28" t="n">
        <x:v>10180</x:v>
      </x:c>
    </x:row>
    <x:row r="208">
      <x:c r="A208" s="25" t="str">
        <x:v>Ağustos 2026</x:v>
      </x:c>
      <x:c r="B208" s="25" t="str">
        <x:v>Yerli</x:v>
      </x:c>
      <x:c r="C208" s="25" t="str">
        <x:v>Türkçe</x:v>
      </x:c>
      <x:c r="D208" s="25" t="str">
        <x:v>Bilinirlik / İzlenme / Trafik</x:v>
      </x:c>
      <x:c r="E208" s="25" t="str">
        <x:v>Doktor Kampanyası</x:v>
      </x:c>
      <x:c r="F208" s="25" t="str">
        <x:v>Doruk Hastaneleri - SİNA ÖZEL Sağlık Hizmetleri A.ş</x:v>
      </x:c>
      <x:c r="G208" s="25" t="str">
        <x:v>TRY</x:v>
      </x:c>
      <x:c r="H208" s="25" t="str">
        <x:v>Doktor - Bilinirlik Kampanyası - Nilüfer</x:v>
      </x:c>
      <x:c r="I208" s="25" t="str">
        <x:v>​120249061996540399</x:v>
      </x:c>
      <x:c r="J208" s="25" t="str">
        <x:v>ACTIVE</x:v>
      </x:c>
      <x:c r="K208" s="25" t="str">
        <x:v>nilüfer - Volkan Tümay</x:v>
      </x:c>
      <x:c r="L208" s="25" t="str">
        <x:v>​120250017569770399</x:v>
      </x:c>
      <x:c r="M208" s="25" t="str">
        <x:v>ACTIVE</x:v>
      </x:c>
      <x:c r="N208" s="25" t="str">
        <x:v>REACH</x:v>
      </x:c>
      <x:c r="O208" s="27" t="n">
        <x:v>0</x:v>
      </x:c>
      <x:c r="P208" s="27" t="n">
        <x:v>0</x:v>
      </x:c>
      <x:c r="Q208" s="27" t="n">
        <x:v>100</x:v>
      </x:c>
      <x:c r="R208" s="27" t="n">
        <x:v>0</x:v>
      </x:c>
      <x:c r="S208" s="27" t="n">
        <x:v>474.82</x:v>
      </x:c>
      <x:c r="T208" s="28" t="n">
        <x:v>55676</x:v>
      </x:c>
      <x:c r="U208" s="28" t="n">
        <x:v>53140</x:v>
      </x:c>
      <x:c r="V208" s="28" t="n">
        <x:v>39</x:v>
      </x:c>
      <x:c r="W208" s="28" t="n">
        <x:v>0</x:v>
      </x:c>
      <x:c r="X208" s="28" t="n">
        <x:v>0</x:v>
      </x:c>
      <x:c r="Y208" s="28" t="n">
        <x:v>0</x:v>
      </x:c>
      <x:c r="Z208" s="28" t="n">
        <x:v>0</x:v>
      </x:c>
      <x:c r="AA208" s="28" t="n">
        <x:v>2223</x:v>
      </x:c>
    </x:row>
    <x:row r="209">
      <x:c r="A209" s="25" t="str">
        <x:v>Temmuz 2026</x:v>
      </x:c>
      <x:c r="B209" s="25" t="str">
        <x:v>Yerli</x:v>
      </x:c>
      <x:c r="C209" s="25" t="str">
        <x:v>Türkçe</x:v>
      </x:c>
      <x:c r="D209" s="25" t="str">
        <x:v>Bilinirlik / İzlenme / Trafik</x:v>
      </x:c>
      <x:c r="E209" s="25" t="str">
        <x:v>Doktor Kampanyası</x:v>
      </x:c>
      <x:c r="F209" s="25" t="str">
        <x:v>Doruk Hastaneleri - SİNA ÖZEL Sağlık Hizmetleri A.ş</x:v>
      </x:c>
      <x:c r="G209" s="25" t="str">
        <x:v>TRY</x:v>
      </x:c>
      <x:c r="H209" s="25" t="str">
        <x:v>Doktor - Bilinirlik Kampanyası - Nilüfer</x:v>
      </x:c>
      <x:c r="I209" s="25" t="str">
        <x:v>​120249061996540399</x:v>
      </x:c>
      <x:c r="J209" s="25" t="str">
        <x:v>ACTIVE</x:v>
      </x:c>
      <x:c r="K209" s="25" t="str">
        <x:v>nilüfer - Zafer Serenli Yeğen</x:v>
      </x:c>
      <x:c r="L209" s="25" t="str">
        <x:v>​120250140012690399</x:v>
      </x:c>
      <x:c r="M209" s="25" t="str">
        <x:v>ACTIVE</x:v>
      </x:c>
      <x:c r="N209" s="25" t="str">
        <x:v>REACH</x:v>
      </x:c>
      <x:c r="O209" s="27" t="n">
        <x:v>0</x:v>
      </x:c>
      <x:c r="P209" s="27" t="n">
        <x:v>0</x:v>
      </x:c>
      <x:c r="Q209" s="27" t="n">
        <x:v>100</x:v>
      </x:c>
      <x:c r="R209" s="27" t="n">
        <x:v>0</x:v>
      </x:c>
      <x:c r="S209" s="27" t="n">
        <x:v>2321.82</x:v>
      </x:c>
      <x:c r="T209" s="28" t="n">
        <x:v>254990</x:v>
      </x:c>
      <x:c r="U209" s="28" t="n">
        <x:v>245919</x:v>
      </x:c>
      <x:c r="V209" s="28" t="n">
        <x:v>99</x:v>
      </x:c>
      <x:c r="W209" s="28" t="n">
        <x:v>0</x:v>
      </x:c>
      <x:c r="X209" s="28" t="n">
        <x:v>0</x:v>
      </x:c>
      <x:c r="Y209" s="28" t="n">
        <x:v>0</x:v>
      </x:c>
      <x:c r="Z209" s="28" t="n">
        <x:v>0</x:v>
      </x:c>
      <x:c r="AA209" s="28" t="n">
        <x:v>8458</x:v>
      </x:c>
    </x:row>
    <x:row r="210">
      <x:c r="A210" s="25" t="str">
        <x:v>Ağustos 2026</x:v>
      </x:c>
      <x:c r="B210" s="25" t="str">
        <x:v>Yerli</x:v>
      </x:c>
      <x:c r="C210" s="25" t="str">
        <x:v>Türkçe</x:v>
      </x:c>
      <x:c r="D210" s="25" t="str">
        <x:v>Bilinirlik / İzlenme / Trafik</x:v>
      </x:c>
      <x:c r="E210" s="25" t="str">
        <x:v>Doktor Kampanyası</x:v>
      </x:c>
      <x:c r="F210" s="25" t="str">
        <x:v>Doruk Hastaneleri - SİNA ÖZEL Sağlık Hizmetleri A.ş</x:v>
      </x:c>
      <x:c r="G210" s="25" t="str">
        <x:v>TRY</x:v>
      </x:c>
      <x:c r="H210" s="25" t="str">
        <x:v>Doktor - Bilinirlik Kampanyası - Nilüfer</x:v>
      </x:c>
      <x:c r="I210" s="25" t="str">
        <x:v>​120249061996540399</x:v>
      </x:c>
      <x:c r="J210" s="25" t="str">
        <x:v>ACTIVE</x:v>
      </x:c>
      <x:c r="K210" s="25" t="str">
        <x:v>nilüfer - Zafer Serenli Yeğen</x:v>
      </x:c>
      <x:c r="L210" s="25" t="str">
        <x:v>​120250140012690399</x:v>
      </x:c>
      <x:c r="M210" s="25" t="str">
        <x:v>ACTIVE</x:v>
      </x:c>
      <x:c r="N210" s="25" t="str">
        <x:v>REACH</x:v>
      </x:c>
      <x:c r="O210" s="27" t="n">
        <x:v>0</x:v>
      </x:c>
      <x:c r="P210" s="27" t="n">
        <x:v>0</x:v>
      </x:c>
      <x:c r="Q210" s="27" t="n">
        <x:v>100</x:v>
      </x:c>
      <x:c r="R210" s="27" t="n">
        <x:v>0</x:v>
      </x:c>
      <x:c r="S210" s="27" t="n">
        <x:v>475.4</x:v>
      </x:c>
      <x:c r="T210" s="28" t="n">
        <x:v>55944</x:v>
      </x:c>
      <x:c r="U210" s="28" t="n">
        <x:v>55363</x:v>
      </x:c>
      <x:c r="V210" s="28" t="n">
        <x:v>16</x:v>
      </x:c>
      <x:c r="W210" s="28" t="n">
        <x:v>0</x:v>
      </x:c>
      <x:c r="X210" s="28" t="n">
        <x:v>0</x:v>
      </x:c>
      <x:c r="Y210" s="28" t="n">
        <x:v>0</x:v>
      </x:c>
      <x:c r="Z210" s="28" t="n">
        <x:v>0</x:v>
      </x:c>
      <x:c r="AA210" s="28" t="n">
        <x:v>2042</x:v>
      </x:c>
    </x:row>
    <x:row r="211">
      <x:c r="A211" s="25" t="str">
        <x:v>Temmuz 2026</x:v>
      </x:c>
      <x:c r="B211" s="25" t="str">
        <x:v>Yerli</x:v>
      </x:c>
      <x:c r="C211" s="25" t="str">
        <x:v>Türkçe</x:v>
      </x:c>
      <x:c r="D211" s="25" t="str">
        <x:v>Bilinirlik / İzlenme / Trafik</x:v>
      </x:c>
      <x:c r="E211" s="25" t="str">
        <x:v>Doktor Kampanyası</x:v>
      </x:c>
      <x:c r="F211" s="25" t="str">
        <x:v>Doruk Hastaneleri - SİNA ÖZEL Sağlık Hizmetleri A.ş</x:v>
      </x:c>
      <x:c r="G211" s="25" t="str">
        <x:v>TRY</x:v>
      </x:c>
      <x:c r="H211" s="25" t="str">
        <x:v>Doktor - Bilinirlik Kampanyası - Yıldırım</x:v>
      </x:c>
      <x:c r="I211" s="25" t="str">
        <x:v>​120255158812950399</x:v>
      </x:c>
      <x:c r="J211" s="25" t="str">
        <x:v>ACTIVE</x:v>
      </x:c>
      <x:c r="K211" s="25" t="str">
        <x:v>yıldırım -  Şener Özbölük</x:v>
      </x:c>
      <x:c r="L211" s="25" t="str">
        <x:v>​120255507182090399</x:v>
      </x:c>
      <x:c r="M211" s="25" t="str">
        <x:v>ACTIVE</x:v>
      </x:c>
      <x:c r="N211" s="25" t="str">
        <x:v>REACH</x:v>
      </x:c>
      <x:c r="O211" s="27" t="n">
        <x:v>0</x:v>
      </x:c>
      <x:c r="P211" s="27" t="n">
        <x:v>0</x:v>
      </x:c>
      <x:c r="Q211" s="27" t="n">
        <x:v>100</x:v>
      </x:c>
      <x:c r="R211" s="27" t="n">
        <x:v>0</x:v>
      </x:c>
      <x:c r="S211" s="27" t="n">
        <x:v>1328.73</x:v>
      </x:c>
      <x:c r="T211" s="28" t="n">
        <x:v>143998</x:v>
      </x:c>
      <x:c r="U211" s="28" t="n">
        <x:v>138150</x:v>
      </x:c>
      <x:c r="V211" s="28" t="n">
        <x:v>74</x:v>
      </x:c>
      <x:c r="W211" s="28" t="n">
        <x:v>0</x:v>
      </x:c>
      <x:c r="X211" s="28" t="n">
        <x:v>0</x:v>
      </x:c>
      <x:c r="Y211" s="28" t="n">
        <x:v>0</x:v>
      </x:c>
      <x:c r="Z211" s="28" t="n">
        <x:v>0</x:v>
      </x:c>
      <x:c r="AA211" s="28" t="n">
        <x:v>6712</x:v>
      </x:c>
    </x:row>
    <x:row r="212">
      <x:c r="A212" s="25" t="str">
        <x:v>Ağustos 2026</x:v>
      </x:c>
      <x:c r="B212" s="25" t="str">
        <x:v>Yerli</x:v>
      </x:c>
      <x:c r="C212" s="25" t="str">
        <x:v>Türkçe</x:v>
      </x:c>
      <x:c r="D212" s="25" t="str">
        <x:v>Bilinirlik / İzlenme / Trafik</x:v>
      </x:c>
      <x:c r="E212" s="25" t="str">
        <x:v>Doktor Kampanyası</x:v>
      </x:c>
      <x:c r="F212" s="25" t="str">
        <x:v>Doruk Hastaneleri - SİNA ÖZEL Sağlık Hizmetleri A.ş</x:v>
      </x:c>
      <x:c r="G212" s="25" t="str">
        <x:v>TRY</x:v>
      </x:c>
      <x:c r="H212" s="25" t="str">
        <x:v>Doktor - Bilinirlik Kampanyası - Yıldırım</x:v>
      </x:c>
      <x:c r="I212" s="25" t="str">
        <x:v>​120255158812950399</x:v>
      </x:c>
      <x:c r="J212" s="25" t="str">
        <x:v>ACTIVE</x:v>
      </x:c>
      <x:c r="K212" s="25" t="str">
        <x:v>yıldırım -  Şener Özbölük</x:v>
      </x:c>
      <x:c r="L212" s="25" t="str">
        <x:v>​120255507182090399</x:v>
      </x:c>
      <x:c r="M212" s="25" t="str">
        <x:v>ACTIVE</x:v>
      </x:c>
      <x:c r="N212" s="25" t="str">
        <x:v>REACH</x:v>
      </x:c>
      <x:c r="O212" s="27" t="n">
        <x:v>0</x:v>
      </x:c>
      <x:c r="P212" s="27" t="n">
        <x:v>0</x:v>
      </x:c>
      <x:c r="Q212" s="27" t="n">
        <x:v>100</x:v>
      </x:c>
      <x:c r="R212" s="27" t="n">
        <x:v>0</x:v>
      </x:c>
      <x:c r="S212" s="27" t="n">
        <x:v>473.83</x:v>
      </x:c>
      <x:c r="T212" s="28" t="n">
        <x:v>55966</x:v>
      </x:c>
      <x:c r="U212" s="28" t="n">
        <x:v>54486</x:v>
      </x:c>
      <x:c r="V212" s="28" t="n">
        <x:v>27</x:v>
      </x:c>
      <x:c r="W212" s="28" t="n">
        <x:v>0</x:v>
      </x:c>
      <x:c r="X212" s="28" t="n">
        <x:v>0</x:v>
      </x:c>
      <x:c r="Y212" s="28" t="n">
        <x:v>0</x:v>
      </x:c>
      <x:c r="Z212" s="28" t="n">
        <x:v>0</x:v>
      </x:c>
      <x:c r="AA212" s="28" t="n">
        <x:v>2328</x:v>
      </x:c>
    </x:row>
    <x:row r="213">
      <x:c r="A213" s="25" t="str">
        <x:v>Temmuz 2026</x:v>
      </x:c>
      <x:c r="B213" s="25" t="str">
        <x:v>Yerli</x:v>
      </x:c>
      <x:c r="C213" s="25" t="str">
        <x:v>Türkçe</x:v>
      </x:c>
      <x:c r="D213" s="25" t="str">
        <x:v>Bilinirlik / İzlenme / Trafik</x:v>
      </x:c>
      <x:c r="E213" s="25" t="str">
        <x:v>Doktor Kampanyası</x:v>
      </x:c>
      <x:c r="F213" s="25" t="str">
        <x:v>Doruk Hastaneleri - SİNA ÖZEL Sağlık Hizmetleri A.ş</x:v>
      </x:c>
      <x:c r="G213" s="25" t="str">
        <x:v>TRY</x:v>
      </x:c>
      <x:c r="H213" s="25" t="str">
        <x:v>Doktor - Bilinirlik Kampanyası - Yıldırım</x:v>
      </x:c>
      <x:c r="I213" s="25" t="str">
        <x:v>​120255158812950399</x:v>
      </x:c>
      <x:c r="J213" s="25" t="str">
        <x:v>ACTIVE</x:v>
      </x:c>
      <x:c r="K213" s="25" t="str">
        <x:v>yıldırım - Abdullah Ertaş</x:v>
      </x:c>
      <x:c r="L213" s="25" t="str">
        <x:v>​120255158812050399</x:v>
      </x:c>
      <x:c r="M213" s="25" t="str">
        <x:v>ACTIVE</x:v>
      </x:c>
      <x:c r="N213" s="25" t="str">
        <x:v>REACH</x:v>
      </x:c>
      <x:c r="O213" s="27" t="n">
        <x:v>0</x:v>
      </x:c>
      <x:c r="P213" s="27" t="n">
        <x:v>0</x:v>
      </x:c>
      <x:c r="Q213" s="27" t="n">
        <x:v>100</x:v>
      </x:c>
      <x:c r="R213" s="27" t="n">
        <x:v>0</x:v>
      </x:c>
      <x:c r="S213" s="27" t="n">
        <x:v>2099.79</x:v>
      </x:c>
      <x:c r="T213" s="28" t="n">
        <x:v>234055</x:v>
      </x:c>
      <x:c r="U213" s="28" t="n">
        <x:v>221811</x:v>
      </x:c>
      <x:c r="V213" s="28" t="n">
        <x:v>63</x:v>
      </x:c>
      <x:c r="W213" s="28" t="n">
        <x:v>0</x:v>
      </x:c>
      <x:c r="X213" s="28" t="n">
        <x:v>0</x:v>
      </x:c>
      <x:c r="Y213" s="28" t="n">
        <x:v>0</x:v>
      </x:c>
      <x:c r="Z213" s="28" t="n">
        <x:v>0</x:v>
      </x:c>
      <x:c r="AA213" s="28" t="n">
        <x:v>11137</x:v>
      </x:c>
    </x:row>
    <x:row r="214">
      <x:c r="A214" s="25" t="str">
        <x:v>Ağustos 2026</x:v>
      </x:c>
      <x:c r="B214" s="25" t="str">
        <x:v>Yerli</x:v>
      </x:c>
      <x:c r="C214" s="25" t="str">
        <x:v>Türkçe</x:v>
      </x:c>
      <x:c r="D214" s="25" t="str">
        <x:v>Bilinirlik / İzlenme / Trafik</x:v>
      </x:c>
      <x:c r="E214" s="25" t="str">
        <x:v>Doktor Kampanyası</x:v>
      </x:c>
      <x:c r="F214" s="25" t="str">
        <x:v>Doruk Hastaneleri - SİNA ÖZEL Sağlık Hizmetleri A.ş</x:v>
      </x:c>
      <x:c r="G214" s="25" t="str">
        <x:v>TRY</x:v>
      </x:c>
      <x:c r="H214" s="25" t="str">
        <x:v>Doktor - Bilinirlik Kampanyası - Yıldırım</x:v>
      </x:c>
      <x:c r="I214" s="25" t="str">
        <x:v>​120255158812950399</x:v>
      </x:c>
      <x:c r="J214" s="25" t="str">
        <x:v>ACTIVE</x:v>
      </x:c>
      <x:c r="K214" s="25" t="str">
        <x:v>yıldırım - Abdullah Ertaş</x:v>
      </x:c>
      <x:c r="L214" s="25" t="str">
        <x:v>​120255158812050399</x:v>
      </x:c>
      <x:c r="M214" s="25" t="str">
        <x:v>ACTIVE</x:v>
      </x:c>
      <x:c r="N214" s="25" t="str">
        <x:v>REACH</x:v>
      </x:c>
      <x:c r="O214" s="27" t="n">
        <x:v>0</x:v>
      </x:c>
      <x:c r="P214" s="27" t="n">
        <x:v>0</x:v>
      </x:c>
      <x:c r="Q214" s="27" t="n">
        <x:v>100</x:v>
      </x:c>
      <x:c r="R214" s="27" t="n">
        <x:v>0</x:v>
      </x:c>
      <x:c r="S214" s="27" t="n">
        <x:v>476.56</x:v>
      </x:c>
      <x:c r="T214" s="28" t="n">
        <x:v>56440</x:v>
      </x:c>
      <x:c r="U214" s="28" t="n">
        <x:v>53583</x:v>
      </x:c>
      <x:c r="V214" s="28" t="n">
        <x:v>17</x:v>
      </x:c>
      <x:c r="W214" s="28" t="n">
        <x:v>0</x:v>
      </x:c>
      <x:c r="X214" s="28" t="n">
        <x:v>0</x:v>
      </x:c>
      <x:c r="Y214" s="28" t="n">
        <x:v>0</x:v>
      </x:c>
      <x:c r="Z214" s="28" t="n">
        <x:v>0</x:v>
      </x:c>
      <x:c r="AA214" s="28" t="n">
        <x:v>3110</x:v>
      </x:c>
    </x:row>
    <x:row r="215">
      <x:c r="A215" s="25" t="str">
        <x:v>Temmuz 2026</x:v>
      </x:c>
      <x:c r="B215" s="25" t="str">
        <x:v>Yerli</x:v>
      </x:c>
      <x:c r="C215" s="25" t="str">
        <x:v>Türkçe</x:v>
      </x:c>
      <x:c r="D215" s="25" t="str">
        <x:v>Bilinirlik / İzlenme / Trafik</x:v>
      </x:c>
      <x:c r="E215" s="25" t="str">
        <x:v>Doktor Kampanyası</x:v>
      </x:c>
      <x:c r="F215" s="25" t="str">
        <x:v>Doruk Hastaneleri - SİNA ÖZEL Sağlık Hizmetleri A.ş</x:v>
      </x:c>
      <x:c r="G215" s="25" t="str">
        <x:v>TRY</x:v>
      </x:c>
      <x:c r="H215" s="25" t="str">
        <x:v>Doktor - Bilinirlik Kampanyası - Yıldırım</x:v>
      </x:c>
      <x:c r="I215" s="25" t="str">
        <x:v>​120255158812950399</x:v>
      </x:c>
      <x:c r="J215" s="25" t="str">
        <x:v>ACTIVE</x:v>
      </x:c>
      <x:c r="K215" s="25" t="str">
        <x:v>yıldırım - Berat Eralp</x:v>
      </x:c>
      <x:c r="L215" s="25" t="str">
        <x:v>​120255506674520399</x:v>
      </x:c>
      <x:c r="M215" s="25" t="str">
        <x:v>ACTIVE</x:v>
      </x:c>
      <x:c r="N215" s="25" t="str">
        <x:v>REACH</x:v>
      </x:c>
      <x:c r="O215" s="27" t="n">
        <x:v>0</x:v>
      </x:c>
      <x:c r="P215" s="27" t="n">
        <x:v>0</x:v>
      </x:c>
      <x:c r="Q215" s="27" t="n">
        <x:v>100</x:v>
      </x:c>
      <x:c r="R215" s="27" t="n">
        <x:v>0</x:v>
      </x:c>
      <x:c r="S215" s="27" t="n">
        <x:v>1311.58</x:v>
      </x:c>
      <x:c r="T215" s="28" t="n">
        <x:v>142774</x:v>
      </x:c>
      <x:c r="U215" s="28" t="n">
        <x:v>137417</x:v>
      </x:c>
      <x:c r="V215" s="28" t="n">
        <x:v>58</x:v>
      </x:c>
      <x:c r="W215" s="28" t="n">
        <x:v>0</x:v>
      </x:c>
      <x:c r="X215" s="28" t="n">
        <x:v>0</x:v>
      </x:c>
      <x:c r="Y215" s="28" t="n">
        <x:v>0</x:v>
      </x:c>
      <x:c r="Z215" s="28" t="n">
        <x:v>0</x:v>
      </x:c>
      <x:c r="AA215" s="28" t="n">
        <x:v>7043</x:v>
      </x:c>
    </x:row>
    <x:row r="216">
      <x:c r="A216" s="25" t="str">
        <x:v>Ağustos 2026</x:v>
      </x:c>
      <x:c r="B216" s="25" t="str">
        <x:v>Yerli</x:v>
      </x:c>
      <x:c r="C216" s="25" t="str">
        <x:v>Türkçe</x:v>
      </x:c>
      <x:c r="D216" s="25" t="str">
        <x:v>Bilinirlik / İzlenme / Trafik</x:v>
      </x:c>
      <x:c r="E216" s="25" t="str">
        <x:v>Doktor Kampanyası</x:v>
      </x:c>
      <x:c r="F216" s="25" t="str">
        <x:v>Doruk Hastaneleri - SİNA ÖZEL Sağlık Hizmetleri A.ş</x:v>
      </x:c>
      <x:c r="G216" s="25" t="str">
        <x:v>TRY</x:v>
      </x:c>
      <x:c r="H216" s="25" t="str">
        <x:v>Doktor - Bilinirlik Kampanyası - Yıldırım</x:v>
      </x:c>
      <x:c r="I216" s="25" t="str">
        <x:v>​120255158812950399</x:v>
      </x:c>
      <x:c r="J216" s="25" t="str">
        <x:v>ACTIVE</x:v>
      </x:c>
      <x:c r="K216" s="25" t="str">
        <x:v>yıldırım - Berat Eralp</x:v>
      </x:c>
      <x:c r="L216" s="25" t="str">
        <x:v>​120255506674520399</x:v>
      </x:c>
      <x:c r="M216" s="25" t="str">
        <x:v>ACTIVE</x:v>
      </x:c>
      <x:c r="N216" s="25" t="str">
        <x:v>REACH</x:v>
      </x:c>
      <x:c r="O216" s="27" t="n">
        <x:v>0</x:v>
      </x:c>
      <x:c r="P216" s="27" t="n">
        <x:v>0</x:v>
      </x:c>
      <x:c r="Q216" s="27" t="n">
        <x:v>100</x:v>
      </x:c>
      <x:c r="R216" s="27" t="n">
        <x:v>0</x:v>
      </x:c>
      <x:c r="S216" s="27" t="n">
        <x:v>460.39</x:v>
      </x:c>
      <x:c r="T216" s="28" t="n">
        <x:v>54667</x:v>
      </x:c>
      <x:c r="U216" s="28" t="n">
        <x:v>53907</x:v>
      </x:c>
      <x:c r="V216" s="28" t="n">
        <x:v>20</x:v>
      </x:c>
      <x:c r="W216" s="28" t="n">
        <x:v>0</x:v>
      </x:c>
      <x:c r="X216" s="28" t="n">
        <x:v>0</x:v>
      </x:c>
      <x:c r="Y216" s="28" t="n">
        <x:v>0</x:v>
      </x:c>
      <x:c r="Z216" s="28" t="n">
        <x:v>0</x:v>
      </x:c>
      <x:c r="AA216" s="28" t="n">
        <x:v>2885</x:v>
      </x:c>
    </x:row>
    <x:row r="217">
      <x:c r="A217" s="25" t="str">
        <x:v>Temmuz 2026</x:v>
      </x:c>
      <x:c r="B217" s="25" t="str">
        <x:v>Yerli</x:v>
      </x:c>
      <x:c r="C217" s="25" t="str">
        <x:v>Türkçe</x:v>
      </x:c>
      <x:c r="D217" s="25" t="str">
        <x:v>Bilinirlik / İzlenme / Trafik</x:v>
      </x:c>
      <x:c r="E217" s="25" t="str">
        <x:v>Doktor Kampanyası</x:v>
      </x:c>
      <x:c r="F217" s="25" t="str">
        <x:v>Doruk Hastaneleri - SİNA ÖZEL Sağlık Hizmetleri A.ş</x:v>
      </x:c>
      <x:c r="G217" s="25" t="str">
        <x:v>TRY</x:v>
      </x:c>
      <x:c r="H217" s="25" t="str">
        <x:v>Doktor - Bilinirlik Kampanyası - Yıldırım</x:v>
      </x:c>
      <x:c r="I217" s="25" t="str">
        <x:v>​120255158812950399</x:v>
      </x:c>
      <x:c r="J217" s="25" t="str">
        <x:v>ACTIVE</x:v>
      </x:c>
      <x:c r="K217" s="25" t="str">
        <x:v>yıldırım - Büşra Türk</x:v>
      </x:c>
      <x:c r="L217" s="25" t="str">
        <x:v>​120255420920950399</x:v>
      </x:c>
      <x:c r="M217" s="25" t="str">
        <x:v>ACTIVE</x:v>
      </x:c>
      <x:c r="N217" s="25" t="str">
        <x:v>REACH</x:v>
      </x:c>
      <x:c r="O217" s="27" t="n">
        <x:v>0</x:v>
      </x:c>
      <x:c r="P217" s="27" t="n">
        <x:v>0</x:v>
      </x:c>
      <x:c r="Q217" s="27" t="n">
        <x:v>100</x:v>
      </x:c>
      <x:c r="R217" s="27" t="n">
        <x:v>0</x:v>
      </x:c>
      <x:c r="S217" s="27" t="n">
        <x:v>1515.21</x:v>
      </x:c>
      <x:c r="T217" s="28" t="n">
        <x:v>167100</x:v>
      </x:c>
      <x:c r="U217" s="28" t="n">
        <x:v>159449</x:v>
      </x:c>
      <x:c r="V217" s="28" t="n">
        <x:v>101</x:v>
      </x:c>
      <x:c r="W217" s="28" t="n">
        <x:v>0</x:v>
      </x:c>
      <x:c r="X217" s="28" t="n">
        <x:v>0</x:v>
      </x:c>
      <x:c r="Y217" s="28" t="n">
        <x:v>0</x:v>
      </x:c>
      <x:c r="Z217" s="28" t="n">
        <x:v>0</x:v>
      </x:c>
      <x:c r="AA217" s="28" t="n">
        <x:v>9661</x:v>
      </x:c>
    </x:row>
    <x:row r="218">
      <x:c r="A218" s="25" t="str">
        <x:v>Ağustos 2026</x:v>
      </x:c>
      <x:c r="B218" s="25" t="str">
        <x:v>Yerli</x:v>
      </x:c>
      <x:c r="C218" s="25" t="str">
        <x:v>Türkçe</x:v>
      </x:c>
      <x:c r="D218" s="25" t="str">
        <x:v>Bilinirlik / İzlenme / Trafik</x:v>
      </x:c>
      <x:c r="E218" s="25" t="str">
        <x:v>Doktor Kampanyası</x:v>
      </x:c>
      <x:c r="F218" s="25" t="str">
        <x:v>Doruk Hastaneleri - SİNA ÖZEL Sağlık Hizmetleri A.ş</x:v>
      </x:c>
      <x:c r="G218" s="25" t="str">
        <x:v>TRY</x:v>
      </x:c>
      <x:c r="H218" s="25" t="str">
        <x:v>Doktor - Bilinirlik Kampanyası - Yıldırım</x:v>
      </x:c>
      <x:c r="I218" s="25" t="str">
        <x:v>​120255158812950399</x:v>
      </x:c>
      <x:c r="J218" s="25" t="str">
        <x:v>ACTIVE</x:v>
      </x:c>
      <x:c r="K218" s="25" t="str">
        <x:v>yıldırım - Büşra Türk</x:v>
      </x:c>
      <x:c r="L218" s="25" t="str">
        <x:v>​120255420920950399</x:v>
      </x:c>
      <x:c r="M218" s="25" t="str">
        <x:v>ACTIVE</x:v>
      </x:c>
      <x:c r="N218" s="25" t="str">
        <x:v>REACH</x:v>
      </x:c>
      <x:c r="O218" s="27" t="n">
        <x:v>0</x:v>
      </x:c>
      <x:c r="P218" s="27" t="n">
        <x:v>0</x:v>
      </x:c>
      <x:c r="Q218" s="27" t="n">
        <x:v>100</x:v>
      </x:c>
      <x:c r="R218" s="27" t="n">
        <x:v>0</x:v>
      </x:c>
      <x:c r="S218" s="27" t="n">
        <x:v>460.97</x:v>
      </x:c>
      <x:c r="T218" s="28" t="n">
        <x:v>53842</x:v>
      </x:c>
      <x:c r="U218" s="28" t="n">
        <x:v>52237</x:v>
      </x:c>
      <x:c r="V218" s="28" t="n">
        <x:v>20</x:v>
      </x:c>
      <x:c r="W218" s="28" t="n">
        <x:v>0</x:v>
      </x:c>
      <x:c r="X218" s="28" t="n">
        <x:v>0</x:v>
      </x:c>
      <x:c r="Y218" s="28" t="n">
        <x:v>0</x:v>
      </x:c>
      <x:c r="Z218" s="28" t="n">
        <x:v>0</x:v>
      </x:c>
      <x:c r="AA218" s="28" t="n">
        <x:v>2896</x:v>
      </x:c>
    </x:row>
    <x:row r="219">
      <x:c r="A219" s="25" t="str">
        <x:v>Temmuz 2026</x:v>
      </x:c>
      <x:c r="B219" s="25" t="str">
        <x:v>Yerli</x:v>
      </x:c>
      <x:c r="C219" s="25" t="str">
        <x:v>Türkçe</x:v>
      </x:c>
      <x:c r="D219" s="25" t="str">
        <x:v>Bilinirlik / İzlenme / Trafik</x:v>
      </x:c>
      <x:c r="E219" s="25" t="str">
        <x:v>Doktor Kampanyası</x:v>
      </x:c>
      <x:c r="F219" s="25" t="str">
        <x:v>Doruk Hastaneleri - SİNA ÖZEL Sağlık Hizmetleri A.ş</x:v>
      </x:c>
      <x:c r="G219" s="25" t="str">
        <x:v>TRY</x:v>
      </x:c>
      <x:c r="H219" s="25" t="str">
        <x:v>Doktor - Bilinirlik Kampanyası - Yıldırım</x:v>
      </x:c>
      <x:c r="I219" s="25" t="str">
        <x:v>​120255158812950399</x:v>
      </x:c>
      <x:c r="J219" s="25" t="str">
        <x:v>ACTIVE</x:v>
      </x:c>
      <x:c r="K219" s="25" t="str">
        <x:v>yıldırım - Doğukan Durak</x:v>
      </x:c>
      <x:c r="L219" s="25" t="str">
        <x:v>​120255421113630399</x:v>
      </x:c>
      <x:c r="M219" s="25" t="str">
        <x:v>ACTIVE</x:v>
      </x:c>
      <x:c r="N219" s="25" t="str">
        <x:v>REACH</x:v>
      </x:c>
      <x:c r="O219" s="27" t="n">
        <x:v>0</x:v>
      </x:c>
      <x:c r="P219" s="27" t="n">
        <x:v>0</x:v>
      </x:c>
      <x:c r="Q219" s="27" t="n">
        <x:v>100</x:v>
      </x:c>
      <x:c r="R219" s="27" t="n">
        <x:v>0</x:v>
      </x:c>
      <x:c r="S219" s="27" t="n">
        <x:v>1511.19</x:v>
      </x:c>
      <x:c r="T219" s="28" t="n">
        <x:v>166861</x:v>
      </x:c>
      <x:c r="U219" s="28" t="n">
        <x:v>155358</x:v>
      </x:c>
      <x:c r="V219" s="28" t="n">
        <x:v>45</x:v>
      </x:c>
      <x:c r="W219" s="28" t="n">
        <x:v>0</x:v>
      </x:c>
      <x:c r="X219" s="28" t="n">
        <x:v>0</x:v>
      </x:c>
      <x:c r="Y219" s="28" t="n">
        <x:v>0</x:v>
      </x:c>
      <x:c r="Z219" s="28" t="n">
        <x:v>0</x:v>
      </x:c>
      <x:c r="AA219" s="28" t="n">
        <x:v>7847</x:v>
      </x:c>
    </x:row>
    <x:row r="220">
      <x:c r="A220" s="25" t="str">
        <x:v>Ağustos 2026</x:v>
      </x:c>
      <x:c r="B220" s="25" t="str">
        <x:v>Yerli</x:v>
      </x:c>
      <x:c r="C220" s="25" t="str">
        <x:v>Türkçe</x:v>
      </x:c>
      <x:c r="D220" s="25" t="str">
        <x:v>Bilinirlik / İzlenme / Trafik</x:v>
      </x:c>
      <x:c r="E220" s="25" t="str">
        <x:v>Doktor Kampanyası</x:v>
      </x:c>
      <x:c r="F220" s="25" t="str">
        <x:v>Doruk Hastaneleri - SİNA ÖZEL Sağlık Hizmetleri A.ş</x:v>
      </x:c>
      <x:c r="G220" s="25" t="str">
        <x:v>TRY</x:v>
      </x:c>
      <x:c r="H220" s="25" t="str">
        <x:v>Doktor - Bilinirlik Kampanyası - Yıldırım</x:v>
      </x:c>
      <x:c r="I220" s="25" t="str">
        <x:v>​120255158812950399</x:v>
      </x:c>
      <x:c r="J220" s="25" t="str">
        <x:v>ACTIVE</x:v>
      </x:c>
      <x:c r="K220" s="25" t="str">
        <x:v>yıldırım - Doğukan Durak</x:v>
      </x:c>
      <x:c r="L220" s="25" t="str">
        <x:v>​120255421113630399</x:v>
      </x:c>
      <x:c r="M220" s="25" t="str">
        <x:v>ACTIVE</x:v>
      </x:c>
      <x:c r="N220" s="25" t="str">
        <x:v>REACH</x:v>
      </x:c>
      <x:c r="O220" s="27" t="n">
        <x:v>0</x:v>
      </x:c>
      <x:c r="P220" s="27" t="n">
        <x:v>0</x:v>
      </x:c>
      <x:c r="Q220" s="27" t="n">
        <x:v>100</x:v>
      </x:c>
      <x:c r="R220" s="27" t="n">
        <x:v>0</x:v>
      </x:c>
      <x:c r="S220" s="27" t="n">
        <x:v>462.44</x:v>
      </x:c>
      <x:c r="T220" s="28" t="n">
        <x:v>55292</x:v>
      </x:c>
      <x:c r="U220" s="28" t="n">
        <x:v>53934</x:v>
      </x:c>
      <x:c r="V220" s="28" t="n">
        <x:v>17</x:v>
      </x:c>
      <x:c r="W220" s="28" t="n">
        <x:v>0</x:v>
      </x:c>
      <x:c r="X220" s="28" t="n">
        <x:v>0</x:v>
      </x:c>
      <x:c r="Y220" s="28" t="n">
        <x:v>0</x:v>
      </x:c>
      <x:c r="Z220" s="28" t="n">
        <x:v>0</x:v>
      </x:c>
      <x:c r="AA220" s="28" t="n">
        <x:v>3609</x:v>
      </x:c>
    </x:row>
    <x:row r="221">
      <x:c r="A221" s="25" t="str">
        <x:v>Temmuz 2026</x:v>
      </x:c>
      <x:c r="B221" s="25" t="str">
        <x:v>Yerli</x:v>
      </x:c>
      <x:c r="C221" s="25" t="str">
        <x:v>Türkçe</x:v>
      </x:c>
      <x:c r="D221" s="25" t="str">
        <x:v>Bilinirlik / İzlenme / Trafik</x:v>
      </x:c>
      <x:c r="E221" s="25" t="str">
        <x:v>Doktor Kampanyası</x:v>
      </x:c>
      <x:c r="F221" s="25" t="str">
        <x:v>Doruk Hastaneleri - SİNA ÖZEL Sağlık Hizmetleri A.ş</x:v>
      </x:c>
      <x:c r="G221" s="25" t="str">
        <x:v>TRY</x:v>
      </x:c>
      <x:c r="H221" s="25" t="str">
        <x:v>Doktor - Bilinirlik Kampanyası - Yıldırım</x:v>
      </x:c>
      <x:c r="I221" s="25" t="str">
        <x:v>​120255158812950399</x:v>
      </x:c>
      <x:c r="J221" s="25" t="str">
        <x:v>ACTIVE</x:v>
      </x:c>
      <x:c r="K221" s="25" t="str">
        <x:v>yıldırım - Ediz Tevfik Özgan</x:v>
      </x:c>
      <x:c r="L221" s="25" t="str">
        <x:v>​120255421144210399</x:v>
      </x:c>
      <x:c r="M221" s="25" t="str">
        <x:v>ACTIVE</x:v>
      </x:c>
      <x:c r="N221" s="25" t="str">
        <x:v>REACH</x:v>
      </x:c>
      <x:c r="O221" s="27" t="n">
        <x:v>0</x:v>
      </x:c>
      <x:c r="P221" s="27" t="n">
        <x:v>0</x:v>
      </x:c>
      <x:c r="Q221" s="27" t="n">
        <x:v>100</x:v>
      </x:c>
      <x:c r="R221" s="27" t="n">
        <x:v>0</x:v>
      </x:c>
      <x:c r="S221" s="27" t="n">
        <x:v>1262.82</x:v>
      </x:c>
      <x:c r="T221" s="28" t="n">
        <x:v>138794</x:v>
      </x:c>
      <x:c r="U221" s="28" t="n">
        <x:v>127553</x:v>
      </x:c>
      <x:c r="V221" s="28" t="n">
        <x:v>81</x:v>
      </x:c>
      <x:c r="W221" s="28" t="n">
        <x:v>0</x:v>
      </x:c>
      <x:c r="X221" s="28" t="n">
        <x:v>0</x:v>
      </x:c>
      <x:c r="Y221" s="28" t="n">
        <x:v>0</x:v>
      </x:c>
      <x:c r="Z221" s="28" t="n">
        <x:v>0</x:v>
      </x:c>
      <x:c r="AA221" s="28" t="n">
        <x:v>6971</x:v>
      </x:c>
    </x:row>
    <x:row r="222">
      <x:c r="A222" s="25" t="str">
        <x:v>Ağustos 2026</x:v>
      </x:c>
      <x:c r="B222" s="25" t="str">
        <x:v>Yerli</x:v>
      </x:c>
      <x:c r="C222" s="25" t="str">
        <x:v>Türkçe</x:v>
      </x:c>
      <x:c r="D222" s="25" t="str">
        <x:v>Bilinirlik / İzlenme / Trafik</x:v>
      </x:c>
      <x:c r="E222" s="25" t="str">
        <x:v>Doktor Kampanyası</x:v>
      </x:c>
      <x:c r="F222" s="25" t="str">
        <x:v>Doruk Hastaneleri - SİNA ÖZEL Sağlık Hizmetleri A.ş</x:v>
      </x:c>
      <x:c r="G222" s="25" t="str">
        <x:v>TRY</x:v>
      </x:c>
      <x:c r="H222" s="25" t="str">
        <x:v>Doktor - Bilinirlik Kampanyası - Yıldırım</x:v>
      </x:c>
      <x:c r="I222" s="25" t="str">
        <x:v>​120255158812950399</x:v>
      </x:c>
      <x:c r="J222" s="25" t="str">
        <x:v>ACTIVE</x:v>
      </x:c>
      <x:c r="K222" s="25" t="str">
        <x:v>yıldırım - Ediz Tevfik Özgan</x:v>
      </x:c>
      <x:c r="L222" s="25" t="str">
        <x:v>​120255421144210399</x:v>
      </x:c>
      <x:c r="M222" s="25" t="str">
        <x:v>ACTIVE</x:v>
      </x:c>
      <x:c r="N222" s="25" t="str">
        <x:v>REACH</x:v>
      </x:c>
      <x:c r="O222" s="27" t="n">
        <x:v>0</x:v>
      </x:c>
      <x:c r="P222" s="27" t="n">
        <x:v>0</x:v>
      </x:c>
      <x:c r="Q222" s="27" t="n">
        <x:v>100</x:v>
      </x:c>
      <x:c r="R222" s="27" t="n">
        <x:v>0</x:v>
      </x:c>
      <x:c r="S222" s="27" t="n">
        <x:v>454.38</x:v>
      </x:c>
      <x:c r="T222" s="28" t="n">
        <x:v>54568</x:v>
      </x:c>
      <x:c r="U222" s="28" t="n">
        <x:v>52344</x:v>
      </x:c>
      <x:c r="V222" s="28" t="n">
        <x:v>21</x:v>
      </x:c>
      <x:c r="W222" s="28" t="n">
        <x:v>0</x:v>
      </x:c>
      <x:c r="X222" s="28" t="n">
        <x:v>0</x:v>
      </x:c>
      <x:c r="Y222" s="28" t="n">
        <x:v>0</x:v>
      </x:c>
      <x:c r="Z222" s="28" t="n">
        <x:v>0</x:v>
      </x:c>
      <x:c r="AA222" s="28" t="n">
        <x:v>3537</x:v>
      </x:c>
    </x:row>
    <x:row r="223">
      <x:c r="A223" s="25" t="str">
        <x:v>Temmuz 2026</x:v>
      </x:c>
      <x:c r="B223" s="25" t="str">
        <x:v>Yerli</x:v>
      </x:c>
      <x:c r="C223" s="25" t="str">
        <x:v>Türkçe</x:v>
      </x:c>
      <x:c r="D223" s="25" t="str">
        <x:v>Bilinirlik / İzlenme / Trafik</x:v>
      </x:c>
      <x:c r="E223" s="25" t="str">
        <x:v>Doktor Kampanyası</x:v>
      </x:c>
      <x:c r="F223" s="25" t="str">
        <x:v>Doruk Hastaneleri - SİNA ÖZEL Sağlık Hizmetleri A.ş</x:v>
      </x:c>
      <x:c r="G223" s="25" t="str">
        <x:v>TRY</x:v>
      </x:c>
      <x:c r="H223" s="25" t="str">
        <x:v>Doktor - Bilinirlik Kampanyası - Yıldırım</x:v>
      </x:c>
      <x:c r="I223" s="25" t="str">
        <x:v>​120255158812950399</x:v>
      </x:c>
      <x:c r="J223" s="25" t="str">
        <x:v>ACTIVE</x:v>
      </x:c>
      <x:c r="K223" s="25" t="str">
        <x:v>yıldırım - Elif Hizal</x:v>
      </x:c>
      <x:c r="L223" s="25" t="str">
        <x:v>​120255506696910399</x:v>
      </x:c>
      <x:c r="M223" s="25" t="str">
        <x:v>ACTIVE</x:v>
      </x:c>
      <x:c r="N223" s="25" t="str">
        <x:v>REACH</x:v>
      </x:c>
      <x:c r="O223" s="27" t="n">
        <x:v>0</x:v>
      </x:c>
      <x:c r="P223" s="27" t="n">
        <x:v>0</x:v>
      </x:c>
      <x:c r="Q223" s="27" t="n">
        <x:v>100</x:v>
      </x:c>
      <x:c r="R223" s="27" t="n">
        <x:v>0</x:v>
      </x:c>
      <x:c r="S223" s="27" t="n">
        <x:v>1286.76</x:v>
      </x:c>
      <x:c r="T223" s="28" t="n">
        <x:v>140850</x:v>
      </x:c>
      <x:c r="U223" s="28" t="n">
        <x:v>138099</x:v>
      </x:c>
      <x:c r="V223" s="28" t="n">
        <x:v>34</x:v>
      </x:c>
      <x:c r="W223" s="28" t="n">
        <x:v>0</x:v>
      </x:c>
      <x:c r="X223" s="28" t="n">
        <x:v>0</x:v>
      </x:c>
      <x:c r="Y223" s="28" t="n">
        <x:v>0</x:v>
      </x:c>
      <x:c r="Z223" s="28" t="n">
        <x:v>0</x:v>
      </x:c>
      <x:c r="AA223" s="28" t="n">
        <x:v>6987</x:v>
      </x:c>
    </x:row>
    <x:row r="224">
      <x:c r="A224" s="25" t="str">
        <x:v>Ağustos 2026</x:v>
      </x:c>
      <x:c r="B224" s="25" t="str">
        <x:v>Yerli</x:v>
      </x:c>
      <x:c r="C224" s="25" t="str">
        <x:v>Türkçe</x:v>
      </x:c>
      <x:c r="D224" s="25" t="str">
        <x:v>Bilinirlik / İzlenme / Trafik</x:v>
      </x:c>
      <x:c r="E224" s="25" t="str">
        <x:v>Doktor Kampanyası</x:v>
      </x:c>
      <x:c r="F224" s="25" t="str">
        <x:v>Doruk Hastaneleri - SİNA ÖZEL Sağlık Hizmetleri A.ş</x:v>
      </x:c>
      <x:c r="G224" s="25" t="str">
        <x:v>TRY</x:v>
      </x:c>
      <x:c r="H224" s="25" t="str">
        <x:v>Doktor - Bilinirlik Kampanyası - Yıldırım</x:v>
      </x:c>
      <x:c r="I224" s="25" t="str">
        <x:v>​120255158812950399</x:v>
      </x:c>
      <x:c r="J224" s="25" t="str">
        <x:v>ACTIVE</x:v>
      </x:c>
      <x:c r="K224" s="25" t="str">
        <x:v>yıldırım - Elif Hizal</x:v>
      </x:c>
      <x:c r="L224" s="25" t="str">
        <x:v>​120255506696910399</x:v>
      </x:c>
      <x:c r="M224" s="25" t="str">
        <x:v>ACTIVE</x:v>
      </x:c>
      <x:c r="N224" s="25" t="str">
        <x:v>REACH</x:v>
      </x:c>
      <x:c r="O224" s="27" t="n">
        <x:v>0</x:v>
      </x:c>
      <x:c r="P224" s="27" t="n">
        <x:v>0</x:v>
      </x:c>
      <x:c r="Q224" s="27" t="n">
        <x:v>100</x:v>
      </x:c>
      <x:c r="R224" s="27" t="n">
        <x:v>0</x:v>
      </x:c>
      <x:c r="S224" s="27" t="n">
        <x:v>451.12</x:v>
      </x:c>
      <x:c r="T224" s="28" t="n">
        <x:v>54624</x:v>
      </x:c>
      <x:c r="U224" s="28" t="n">
        <x:v>54601</x:v>
      </x:c>
      <x:c r="V224" s="28" t="n">
        <x:v>18</x:v>
      </x:c>
      <x:c r="W224" s="28" t="n">
        <x:v>0</x:v>
      </x:c>
      <x:c r="X224" s="28" t="n">
        <x:v>0</x:v>
      </x:c>
      <x:c r="Y224" s="28" t="n">
        <x:v>0</x:v>
      </x:c>
      <x:c r="Z224" s="28" t="n">
        <x:v>0</x:v>
      </x:c>
      <x:c r="AA224" s="28" t="n">
        <x:v>4071</x:v>
      </x:c>
    </x:row>
    <x:row r="225">
      <x:c r="A225" s="25" t="str">
        <x:v>Temmuz 2026</x:v>
      </x:c>
      <x:c r="B225" s="25" t="str">
        <x:v>Yerli</x:v>
      </x:c>
      <x:c r="C225" s="25" t="str">
        <x:v>Türkçe</x:v>
      </x:c>
      <x:c r="D225" s="25" t="str">
        <x:v>Bilinirlik / İzlenme / Trafik</x:v>
      </x:c>
      <x:c r="E225" s="25" t="str">
        <x:v>Doktor Kampanyası</x:v>
      </x:c>
      <x:c r="F225" s="25" t="str">
        <x:v>Doruk Hastaneleri - SİNA ÖZEL Sağlık Hizmetleri A.ş</x:v>
      </x:c>
      <x:c r="G225" s="25" t="str">
        <x:v>TRY</x:v>
      </x:c>
      <x:c r="H225" s="25" t="str">
        <x:v>Doktor - Bilinirlik Kampanyası - Yıldırım</x:v>
      </x:c>
      <x:c r="I225" s="25" t="str">
        <x:v>​120255158812950399</x:v>
      </x:c>
      <x:c r="J225" s="25" t="str">
        <x:v>ACTIVE</x:v>
      </x:c>
      <x:c r="K225" s="25" t="str">
        <x:v>yıldırım - Ersin Özgören</x:v>
      </x:c>
      <x:c r="L225" s="25" t="str">
        <x:v>​120255421156330399</x:v>
      </x:c>
      <x:c r="M225" s="25" t="str">
        <x:v>ACTIVE</x:v>
      </x:c>
      <x:c r="N225" s="25" t="str">
        <x:v>REACH</x:v>
      </x:c>
      <x:c r="O225" s="27" t="n">
        <x:v>0</x:v>
      </x:c>
      <x:c r="P225" s="27" t="n">
        <x:v>0</x:v>
      </x:c>
      <x:c r="Q225" s="27" t="n">
        <x:v>100</x:v>
      </x:c>
      <x:c r="R225" s="27" t="n">
        <x:v>0</x:v>
      </x:c>
      <x:c r="S225" s="27" t="n">
        <x:v>1434.41</x:v>
      </x:c>
      <x:c r="T225" s="28" t="n">
        <x:v>162145</x:v>
      </x:c>
      <x:c r="U225" s="28" t="n">
        <x:v>135133</x:v>
      </x:c>
      <x:c r="V225" s="28" t="n">
        <x:v>267</x:v>
      </x:c>
      <x:c r="W225" s="28" t="n">
        <x:v>0</x:v>
      </x:c>
      <x:c r="X225" s="28" t="n">
        <x:v>0</x:v>
      </x:c>
      <x:c r="Y225" s="28" t="n">
        <x:v>0</x:v>
      </x:c>
      <x:c r="Z225" s="28" t="n">
        <x:v>0</x:v>
      </x:c>
      <x:c r="AA225" s="28" t="n">
        <x:v>11038</x:v>
      </x:c>
    </x:row>
    <x:row r="226">
      <x:c r="A226" s="25" t="str">
        <x:v>Ağustos 2026</x:v>
      </x:c>
      <x:c r="B226" s="25" t="str">
        <x:v>Yerli</x:v>
      </x:c>
      <x:c r="C226" s="25" t="str">
        <x:v>Türkçe</x:v>
      </x:c>
      <x:c r="D226" s="25" t="str">
        <x:v>Bilinirlik / İzlenme / Trafik</x:v>
      </x:c>
      <x:c r="E226" s="25" t="str">
        <x:v>Doktor Kampanyası</x:v>
      </x:c>
      <x:c r="F226" s="25" t="str">
        <x:v>Doruk Hastaneleri - SİNA ÖZEL Sağlık Hizmetleri A.ş</x:v>
      </x:c>
      <x:c r="G226" s="25" t="str">
        <x:v>TRY</x:v>
      </x:c>
      <x:c r="H226" s="25" t="str">
        <x:v>Doktor - Bilinirlik Kampanyası - Yıldırım</x:v>
      </x:c>
      <x:c r="I226" s="25" t="str">
        <x:v>​120255158812950399</x:v>
      </x:c>
      <x:c r="J226" s="25" t="str">
        <x:v>ACTIVE</x:v>
      </x:c>
      <x:c r="K226" s="25" t="str">
        <x:v>yıldırım - Ersin Özgören</x:v>
      </x:c>
      <x:c r="L226" s="25" t="str">
        <x:v>​120255421156330399</x:v>
      </x:c>
      <x:c r="M226" s="25" t="str">
        <x:v>ACTIVE</x:v>
      </x:c>
      <x:c r="N226" s="25" t="str">
        <x:v>REACH</x:v>
      </x:c>
      <x:c r="O226" s="27" t="n">
        <x:v>0</x:v>
      </x:c>
      <x:c r="P226" s="27" t="n">
        <x:v>0</x:v>
      </x:c>
      <x:c r="Q226" s="27" t="n">
        <x:v>100</x:v>
      </x:c>
      <x:c r="R226" s="27" t="n">
        <x:v>0</x:v>
      </x:c>
      <x:c r="S226" s="27" t="n">
        <x:v>456.62</x:v>
      </x:c>
      <x:c r="T226" s="28" t="n">
        <x:v>55282</x:v>
      </x:c>
      <x:c r="U226" s="28" t="n">
        <x:v>52083</x:v>
      </x:c>
      <x:c r="V226" s="28" t="n">
        <x:v>100</x:v>
      </x:c>
      <x:c r="W226" s="28" t="n">
        <x:v>0</x:v>
      </x:c>
      <x:c r="X226" s="28" t="n">
        <x:v>0</x:v>
      </x:c>
      <x:c r="Y226" s="28" t="n">
        <x:v>0</x:v>
      </x:c>
      <x:c r="Z226" s="28" t="n">
        <x:v>0</x:v>
      </x:c>
      <x:c r="AA226" s="28" t="n">
        <x:v>3608</x:v>
      </x:c>
    </x:row>
    <x:row r="227">
      <x:c r="A227" s="25" t="str">
        <x:v>Temmuz 2026</x:v>
      </x:c>
      <x:c r="B227" s="25" t="str">
        <x:v>Yerli</x:v>
      </x:c>
      <x:c r="C227" s="25" t="str">
        <x:v>Türkçe</x:v>
      </x:c>
      <x:c r="D227" s="25" t="str">
        <x:v>Bilinirlik / İzlenme / Trafik</x:v>
      </x:c>
      <x:c r="E227" s="25" t="str">
        <x:v>Doktor Kampanyası</x:v>
      </x:c>
      <x:c r="F227" s="25" t="str">
        <x:v>Doruk Hastaneleri - SİNA ÖZEL Sağlık Hizmetleri A.ş</x:v>
      </x:c>
      <x:c r="G227" s="25" t="str">
        <x:v>TRY</x:v>
      </x:c>
      <x:c r="H227" s="25" t="str">
        <x:v>Doktor - Bilinirlik Kampanyası - Yıldırım</x:v>
      </x:c>
      <x:c r="I227" s="25" t="str">
        <x:v>​120255158812950399</x:v>
      </x:c>
      <x:c r="J227" s="25" t="str">
        <x:v>ACTIVE</x:v>
      </x:c>
      <x:c r="K227" s="25" t="str">
        <x:v>yıldırım - Gökhan Aktürk</x:v>
      </x:c>
      <x:c r="L227" s="25" t="str">
        <x:v>​120255507067120399</x:v>
      </x:c>
      <x:c r="M227" s="25" t="str">
        <x:v>ACTIVE</x:v>
      </x:c>
      <x:c r="N227" s="25" t="str">
        <x:v>REACH</x:v>
      </x:c>
      <x:c r="O227" s="27" t="n">
        <x:v>0</x:v>
      </x:c>
      <x:c r="P227" s="27" t="n">
        <x:v>0</x:v>
      </x:c>
      <x:c r="Q227" s="27" t="n">
        <x:v>100</x:v>
      </x:c>
      <x:c r="R227" s="27" t="n">
        <x:v>0</x:v>
      </x:c>
      <x:c r="S227" s="27" t="n">
        <x:v>1325.79</x:v>
      </x:c>
      <x:c r="T227" s="28" t="n">
        <x:v>143420</x:v>
      </x:c>
      <x:c r="U227" s="28" t="n">
        <x:v>134151</x:v>
      </x:c>
      <x:c r="V227" s="28" t="n">
        <x:v>47</x:v>
      </x:c>
      <x:c r="W227" s="28" t="n">
        <x:v>0</x:v>
      </x:c>
      <x:c r="X227" s="28" t="n">
        <x:v>0</x:v>
      </x:c>
      <x:c r="Y227" s="28" t="n">
        <x:v>0</x:v>
      </x:c>
      <x:c r="Z227" s="28" t="n">
        <x:v>0</x:v>
      </x:c>
      <x:c r="AA227" s="28" t="n">
        <x:v>4970</x:v>
      </x:c>
    </x:row>
    <x:row r="228">
      <x:c r="A228" s="25" t="str">
        <x:v>Ağustos 2026</x:v>
      </x:c>
      <x:c r="B228" s="25" t="str">
        <x:v>Yerli</x:v>
      </x:c>
      <x:c r="C228" s="25" t="str">
        <x:v>Türkçe</x:v>
      </x:c>
      <x:c r="D228" s="25" t="str">
        <x:v>Bilinirlik / İzlenme / Trafik</x:v>
      </x:c>
      <x:c r="E228" s="25" t="str">
        <x:v>Doktor Kampanyası</x:v>
      </x:c>
      <x:c r="F228" s="25" t="str">
        <x:v>Doruk Hastaneleri - SİNA ÖZEL Sağlık Hizmetleri A.ş</x:v>
      </x:c>
      <x:c r="G228" s="25" t="str">
        <x:v>TRY</x:v>
      </x:c>
      <x:c r="H228" s="25" t="str">
        <x:v>Doktor - Bilinirlik Kampanyası - Yıldırım</x:v>
      </x:c>
      <x:c r="I228" s="25" t="str">
        <x:v>​120255158812950399</x:v>
      </x:c>
      <x:c r="J228" s="25" t="str">
        <x:v>ACTIVE</x:v>
      </x:c>
      <x:c r="K228" s="25" t="str">
        <x:v>yıldırım - Gökhan Aktürk</x:v>
      </x:c>
      <x:c r="L228" s="25" t="str">
        <x:v>​120255507067120399</x:v>
      </x:c>
      <x:c r="M228" s="25" t="str">
        <x:v>ACTIVE</x:v>
      </x:c>
      <x:c r="N228" s="25" t="str">
        <x:v>REACH</x:v>
      </x:c>
      <x:c r="O228" s="27" t="n">
        <x:v>0</x:v>
      </x:c>
      <x:c r="P228" s="27" t="n">
        <x:v>0</x:v>
      </x:c>
      <x:c r="Q228" s="27" t="n">
        <x:v>100</x:v>
      </x:c>
      <x:c r="R228" s="27" t="n">
        <x:v>0</x:v>
      </x:c>
      <x:c r="S228" s="27" t="n">
        <x:v>462.16</x:v>
      </x:c>
      <x:c r="T228" s="28" t="n">
        <x:v>54388</x:v>
      </x:c>
      <x:c r="U228" s="28" t="n">
        <x:v>52054</x:v>
      </x:c>
      <x:c r="V228" s="28" t="n">
        <x:v>16</x:v>
      </x:c>
      <x:c r="W228" s="28" t="n">
        <x:v>0</x:v>
      </x:c>
      <x:c r="X228" s="28" t="n">
        <x:v>0</x:v>
      </x:c>
      <x:c r="Y228" s="28" t="n">
        <x:v>0</x:v>
      </x:c>
      <x:c r="Z228" s="28" t="n">
        <x:v>0</x:v>
      </x:c>
      <x:c r="AA228" s="28" t="n">
        <x:v>1996</x:v>
      </x:c>
    </x:row>
    <x:row r="229">
      <x:c r="A229" s="25" t="str">
        <x:v>Temmuz 2026</x:v>
      </x:c>
      <x:c r="B229" s="25" t="str">
        <x:v>Yerli</x:v>
      </x:c>
      <x:c r="C229" s="25" t="str">
        <x:v>Türkçe</x:v>
      </x:c>
      <x:c r="D229" s="25" t="str">
        <x:v>Bilinirlik / İzlenme / Trafik</x:v>
      </x:c>
      <x:c r="E229" s="25" t="str">
        <x:v>Doktor Kampanyası</x:v>
      </x:c>
      <x:c r="F229" s="25" t="str">
        <x:v>Doruk Hastaneleri - SİNA ÖZEL Sağlık Hizmetleri A.ş</x:v>
      </x:c>
      <x:c r="G229" s="25" t="str">
        <x:v>TRY</x:v>
      </x:c>
      <x:c r="H229" s="25" t="str">
        <x:v>Doktor - Bilinirlik Kampanyası - Yıldırım</x:v>
      </x:c>
      <x:c r="I229" s="25" t="str">
        <x:v>​120255158812950399</x:v>
      </x:c>
      <x:c r="J229" s="25" t="str">
        <x:v>ACTIVE</x:v>
      </x:c>
      <x:c r="K229" s="25" t="str">
        <x:v>yıldırım - Handan İlkdoğan</x:v>
      </x:c>
      <x:c r="L229" s="25" t="str">
        <x:v>​120255420947760399</x:v>
      </x:c>
      <x:c r="M229" s="25" t="str">
        <x:v>ACTIVE</x:v>
      </x:c>
      <x:c r="N229" s="25" t="str">
        <x:v>REACH</x:v>
      </x:c>
      <x:c r="O229" s="27" t="n">
        <x:v>0</x:v>
      </x:c>
      <x:c r="P229" s="27" t="n">
        <x:v>0</x:v>
      </x:c>
      <x:c r="Q229" s="27" t="n">
        <x:v>100</x:v>
      </x:c>
      <x:c r="R229" s="27" t="n">
        <x:v>0</x:v>
      </x:c>
      <x:c r="S229" s="27" t="n">
        <x:v>1500.7</x:v>
      </x:c>
      <x:c r="T229" s="28" t="n">
        <x:v>164471</x:v>
      </x:c>
      <x:c r="U229" s="28" t="n">
        <x:v>152818</x:v>
      </x:c>
      <x:c r="V229" s="28" t="n">
        <x:v>68</x:v>
      </x:c>
      <x:c r="W229" s="28" t="n">
        <x:v>0</x:v>
      </x:c>
      <x:c r="X229" s="28" t="n">
        <x:v>0</x:v>
      </x:c>
      <x:c r="Y229" s="28" t="n">
        <x:v>0</x:v>
      </x:c>
      <x:c r="Z229" s="28" t="n">
        <x:v>0</x:v>
      </x:c>
      <x:c r="AA229" s="28" t="n">
        <x:v>6637</x:v>
      </x:c>
    </x:row>
    <x:row r="230">
      <x:c r="A230" s="25" t="str">
        <x:v>Ağustos 2026</x:v>
      </x:c>
      <x:c r="B230" s="25" t="str">
        <x:v>Yerli</x:v>
      </x:c>
      <x:c r="C230" s="25" t="str">
        <x:v>Türkçe</x:v>
      </x:c>
      <x:c r="D230" s="25" t="str">
        <x:v>Bilinirlik / İzlenme / Trafik</x:v>
      </x:c>
      <x:c r="E230" s="25" t="str">
        <x:v>Doktor Kampanyası</x:v>
      </x:c>
      <x:c r="F230" s="25" t="str">
        <x:v>Doruk Hastaneleri - SİNA ÖZEL Sağlık Hizmetleri A.ş</x:v>
      </x:c>
      <x:c r="G230" s="25" t="str">
        <x:v>TRY</x:v>
      </x:c>
      <x:c r="H230" s="25" t="str">
        <x:v>Doktor - Bilinirlik Kampanyası - Yıldırım</x:v>
      </x:c>
      <x:c r="I230" s="25" t="str">
        <x:v>​120255158812950399</x:v>
      </x:c>
      <x:c r="J230" s="25" t="str">
        <x:v>ACTIVE</x:v>
      </x:c>
      <x:c r="K230" s="25" t="str">
        <x:v>yıldırım - Handan İlkdoğan</x:v>
      </x:c>
      <x:c r="L230" s="25" t="str">
        <x:v>​120255420947760399</x:v>
      </x:c>
      <x:c r="M230" s="25" t="str">
        <x:v>ACTIVE</x:v>
      </x:c>
      <x:c r="N230" s="25" t="str">
        <x:v>REACH</x:v>
      </x:c>
      <x:c r="O230" s="27" t="n">
        <x:v>0</x:v>
      </x:c>
      <x:c r="P230" s="27" t="n">
        <x:v>0</x:v>
      </x:c>
      <x:c r="Q230" s="27" t="n">
        <x:v>100</x:v>
      </x:c>
      <x:c r="R230" s="27" t="n">
        <x:v>0</x:v>
      </x:c>
      <x:c r="S230" s="27" t="n">
        <x:v>467.08</x:v>
      </x:c>
      <x:c r="T230" s="28" t="n">
        <x:v>55092</x:v>
      </x:c>
      <x:c r="U230" s="28" t="n">
        <x:v>52715</x:v>
      </x:c>
      <x:c r="V230" s="28" t="n">
        <x:v>13</x:v>
      </x:c>
      <x:c r="W230" s="28" t="n">
        <x:v>0</x:v>
      </x:c>
      <x:c r="X230" s="28" t="n">
        <x:v>0</x:v>
      </x:c>
      <x:c r="Y230" s="28" t="n">
        <x:v>0</x:v>
      </x:c>
      <x:c r="Z230" s="28" t="n">
        <x:v>0</x:v>
      </x:c>
      <x:c r="AA230" s="28" t="n">
        <x:v>1933</x:v>
      </x:c>
    </x:row>
    <x:row r="231">
      <x:c r="A231" s="25" t="str">
        <x:v>Temmuz 2026</x:v>
      </x:c>
      <x:c r="B231" s="25" t="str">
        <x:v>Yerli</x:v>
      </x:c>
      <x:c r="C231" s="25" t="str">
        <x:v>Türkçe</x:v>
      </x:c>
      <x:c r="D231" s="25" t="str">
        <x:v>Bilinirlik / İzlenme / Trafik</x:v>
      </x:c>
      <x:c r="E231" s="25" t="str">
        <x:v>Doktor Kampanyası</x:v>
      </x:c>
      <x:c r="F231" s="25" t="str">
        <x:v>Doruk Hastaneleri - SİNA ÖZEL Sağlık Hizmetleri A.ş</x:v>
      </x:c>
      <x:c r="G231" s="25" t="str">
        <x:v>TRY</x:v>
      </x:c>
      <x:c r="H231" s="25" t="str">
        <x:v>Doktor - Bilinirlik Kampanyası - Yıldırım</x:v>
      </x:c>
      <x:c r="I231" s="25" t="str">
        <x:v>​120255158812950399</x:v>
      </x:c>
      <x:c r="J231" s="25" t="str">
        <x:v>ACTIVE</x:v>
      </x:c>
      <x:c r="K231" s="25" t="str">
        <x:v>yıldırım - İbrahim Özdemir</x:v>
      </x:c>
      <x:c r="L231" s="25" t="str">
        <x:v>​120255506272360399</x:v>
      </x:c>
      <x:c r="M231" s="25" t="str">
        <x:v>ACTIVE</x:v>
      </x:c>
      <x:c r="N231" s="25" t="str">
        <x:v>REACH</x:v>
      </x:c>
      <x:c r="O231" s="27" t="n">
        <x:v>0</x:v>
      </x:c>
      <x:c r="P231" s="27" t="n">
        <x:v>0</x:v>
      </x:c>
      <x:c r="Q231" s="27" t="n">
        <x:v>100</x:v>
      </x:c>
      <x:c r="R231" s="27" t="n">
        <x:v>0</x:v>
      </x:c>
      <x:c r="S231" s="27" t="n">
        <x:v>1274.06</x:v>
      </x:c>
      <x:c r="T231" s="28" t="n">
        <x:v>142886</x:v>
      </x:c>
      <x:c r="U231" s="28" t="n">
        <x:v>123120</x:v>
      </x:c>
      <x:c r="V231" s="28" t="n">
        <x:v>227</x:v>
      </x:c>
      <x:c r="W231" s="28" t="n">
        <x:v>0</x:v>
      </x:c>
      <x:c r="X231" s="28" t="n">
        <x:v>0</x:v>
      </x:c>
      <x:c r="Y231" s="28" t="n">
        <x:v>0</x:v>
      </x:c>
      <x:c r="Z231" s="28" t="n">
        <x:v>0</x:v>
      </x:c>
      <x:c r="AA231" s="28" t="n">
        <x:v>8847</x:v>
      </x:c>
    </x:row>
    <x:row r="232">
      <x:c r="A232" s="25" t="str">
        <x:v>Ağustos 2026</x:v>
      </x:c>
      <x:c r="B232" s="25" t="str">
        <x:v>Yerli</x:v>
      </x:c>
      <x:c r="C232" s="25" t="str">
        <x:v>Türkçe</x:v>
      </x:c>
      <x:c r="D232" s="25" t="str">
        <x:v>Bilinirlik / İzlenme / Trafik</x:v>
      </x:c>
      <x:c r="E232" s="25" t="str">
        <x:v>Doktor Kampanyası</x:v>
      </x:c>
      <x:c r="F232" s="25" t="str">
        <x:v>Doruk Hastaneleri - SİNA ÖZEL Sağlık Hizmetleri A.ş</x:v>
      </x:c>
      <x:c r="G232" s="25" t="str">
        <x:v>TRY</x:v>
      </x:c>
      <x:c r="H232" s="25" t="str">
        <x:v>Doktor - Bilinirlik Kampanyası - Yıldırım</x:v>
      </x:c>
      <x:c r="I232" s="25" t="str">
        <x:v>​120255158812950399</x:v>
      </x:c>
      <x:c r="J232" s="25" t="str">
        <x:v>ACTIVE</x:v>
      </x:c>
      <x:c r="K232" s="25" t="str">
        <x:v>yıldırım - İbrahim Özdemir</x:v>
      </x:c>
      <x:c r="L232" s="25" t="str">
        <x:v>​120255506272360399</x:v>
      </x:c>
      <x:c r="M232" s="25" t="str">
        <x:v>ACTIVE</x:v>
      </x:c>
      <x:c r="N232" s="25" t="str">
        <x:v>REACH</x:v>
      </x:c>
      <x:c r="O232" s="27" t="n">
        <x:v>0</x:v>
      </x:c>
      <x:c r="P232" s="27" t="n">
        <x:v>0</x:v>
      </x:c>
      <x:c r="Q232" s="27" t="n">
        <x:v>100</x:v>
      </x:c>
      <x:c r="R232" s="27" t="n">
        <x:v>0</x:v>
      </x:c>
      <x:c r="S232" s="27" t="n">
        <x:v>448.08</x:v>
      </x:c>
      <x:c r="T232" s="28" t="n">
        <x:v>54957</x:v>
      </x:c>
      <x:c r="U232" s="28" t="n">
        <x:v>50758</x:v>
      </x:c>
      <x:c r="V232" s="28" t="n">
        <x:v>100</x:v>
      </x:c>
      <x:c r="W232" s="28" t="n">
        <x:v>0</x:v>
      </x:c>
      <x:c r="X232" s="28" t="n">
        <x:v>0</x:v>
      </x:c>
      <x:c r="Y232" s="28" t="n">
        <x:v>0</x:v>
      </x:c>
      <x:c r="Z232" s="28" t="n">
        <x:v>0</x:v>
      </x:c>
      <x:c r="AA232" s="28" t="n">
        <x:v>3691</x:v>
      </x:c>
    </x:row>
    <x:row r="233">
      <x:c r="A233" s="25" t="str">
        <x:v>Temmuz 2026</x:v>
      </x:c>
      <x:c r="B233" s="25" t="str">
        <x:v>Yerli</x:v>
      </x:c>
      <x:c r="C233" s="25" t="str">
        <x:v>Türkçe</x:v>
      </x:c>
      <x:c r="D233" s="25" t="str">
        <x:v>Bilinirlik / İzlenme / Trafik</x:v>
      </x:c>
      <x:c r="E233" s="25" t="str">
        <x:v>Doktor Kampanyası</x:v>
      </x:c>
      <x:c r="F233" s="25" t="str">
        <x:v>Doruk Hastaneleri - SİNA ÖZEL Sağlık Hizmetleri A.ş</x:v>
      </x:c>
      <x:c r="G233" s="25" t="str">
        <x:v>TRY</x:v>
      </x:c>
      <x:c r="H233" s="25" t="str">
        <x:v>Doktor - Bilinirlik Kampanyası - Yıldırım</x:v>
      </x:c>
      <x:c r="I233" s="25" t="str">
        <x:v>​120255158812950399</x:v>
      </x:c>
      <x:c r="J233" s="25" t="str">
        <x:v>ACTIVE</x:v>
      </x:c>
      <x:c r="K233" s="25" t="str">
        <x:v>yıldırım - İlknur Saide Kıngır</x:v>
      </x:c>
      <x:c r="L233" s="25" t="str">
        <x:v>​120255506768920399</x:v>
      </x:c>
      <x:c r="M233" s="25" t="str">
        <x:v>ACTIVE</x:v>
      </x:c>
      <x:c r="N233" s="25" t="str">
        <x:v>REACH</x:v>
      </x:c>
      <x:c r="O233" s="27" t="n">
        <x:v>0</x:v>
      </x:c>
      <x:c r="P233" s="27" t="n">
        <x:v>0</x:v>
      </x:c>
      <x:c r="Q233" s="27" t="n">
        <x:v>100</x:v>
      </x:c>
      <x:c r="R233" s="27" t="n">
        <x:v>0</x:v>
      </x:c>
      <x:c r="S233" s="27" t="n">
        <x:v>1290.96</x:v>
      </x:c>
      <x:c r="T233" s="28" t="n">
        <x:v>141122</x:v>
      </x:c>
      <x:c r="U233" s="28" t="n">
        <x:v>138399</x:v>
      </x:c>
      <x:c r="V233" s="28" t="n">
        <x:v>101</x:v>
      </x:c>
      <x:c r="W233" s="28" t="n">
        <x:v>0</x:v>
      </x:c>
      <x:c r="X233" s="28" t="n">
        <x:v>0</x:v>
      </x:c>
      <x:c r="Y233" s="28" t="n">
        <x:v>0</x:v>
      </x:c>
      <x:c r="Z233" s="28" t="n">
        <x:v>1</x:v>
      </x:c>
      <x:c r="AA233" s="28" t="n">
        <x:v>9629</x:v>
      </x:c>
    </x:row>
    <x:row r="234">
      <x:c r="A234" s="25" t="str">
        <x:v>Ağustos 2026</x:v>
      </x:c>
      <x:c r="B234" s="25" t="str">
        <x:v>Yerli</x:v>
      </x:c>
      <x:c r="C234" s="25" t="str">
        <x:v>Türkçe</x:v>
      </x:c>
      <x:c r="D234" s="25" t="str">
        <x:v>Bilinirlik / İzlenme / Trafik</x:v>
      </x:c>
      <x:c r="E234" s="25" t="str">
        <x:v>Doktor Kampanyası</x:v>
      </x:c>
      <x:c r="F234" s="25" t="str">
        <x:v>Doruk Hastaneleri - SİNA ÖZEL Sağlık Hizmetleri A.ş</x:v>
      </x:c>
      <x:c r="G234" s="25" t="str">
        <x:v>TRY</x:v>
      </x:c>
      <x:c r="H234" s="25" t="str">
        <x:v>Doktor - Bilinirlik Kampanyası - Yıldırım</x:v>
      </x:c>
      <x:c r="I234" s="25" t="str">
        <x:v>​120255158812950399</x:v>
      </x:c>
      <x:c r="J234" s="25" t="str">
        <x:v>ACTIVE</x:v>
      </x:c>
      <x:c r="K234" s="25" t="str">
        <x:v>yıldırım - İlknur Saide Kıngır</x:v>
      </x:c>
      <x:c r="L234" s="25" t="str">
        <x:v>​120255506768920399</x:v>
      </x:c>
      <x:c r="M234" s="25" t="str">
        <x:v>ACTIVE</x:v>
      </x:c>
      <x:c r="N234" s="25" t="str">
        <x:v>REACH</x:v>
      </x:c>
      <x:c r="O234" s="27" t="n">
        <x:v>0</x:v>
      </x:c>
      <x:c r="P234" s="27" t="n">
        <x:v>0</x:v>
      </x:c>
      <x:c r="Q234" s="27" t="n">
        <x:v>100</x:v>
      </x:c>
      <x:c r="R234" s="27" t="n">
        <x:v>0</x:v>
      </x:c>
      <x:c r="S234" s="27" t="n">
        <x:v>470.9</x:v>
      </x:c>
      <x:c r="T234" s="28" t="n">
        <x:v>55856</x:v>
      </x:c>
      <x:c r="U234" s="28" t="n">
        <x:v>55024</x:v>
      </x:c>
      <x:c r="V234" s="28" t="n">
        <x:v>23</x:v>
      </x:c>
      <x:c r="W234" s="28" t="n">
        <x:v>0</x:v>
      </x:c>
      <x:c r="X234" s="28" t="n">
        <x:v>0</x:v>
      </x:c>
      <x:c r="Y234" s="28" t="n">
        <x:v>0</x:v>
      </x:c>
      <x:c r="Z234" s="28" t="n">
        <x:v>0</x:v>
      </x:c>
      <x:c r="AA234" s="28" t="n">
        <x:v>3717</x:v>
      </x:c>
    </x:row>
    <x:row r="235">
      <x:c r="A235" s="25" t="str">
        <x:v>Temmuz 2026</x:v>
      </x:c>
      <x:c r="B235" s="25" t="str">
        <x:v>Yerli</x:v>
      </x:c>
      <x:c r="C235" s="25" t="str">
        <x:v>Türkçe</x:v>
      </x:c>
      <x:c r="D235" s="25" t="str">
        <x:v>Bilinirlik / İzlenme / Trafik</x:v>
      </x:c>
      <x:c r="E235" s="25" t="str">
        <x:v>Doktor Kampanyası</x:v>
      </x:c>
      <x:c r="F235" s="25" t="str">
        <x:v>Doruk Hastaneleri - SİNA ÖZEL Sağlık Hizmetleri A.ş</x:v>
      </x:c>
      <x:c r="G235" s="25" t="str">
        <x:v>TRY</x:v>
      </x:c>
      <x:c r="H235" s="25" t="str">
        <x:v>Doktor - Bilinirlik Kampanyası - Yıldırım</x:v>
      </x:c>
      <x:c r="I235" s="25" t="str">
        <x:v>​120255158812950399</x:v>
      </x:c>
      <x:c r="J235" s="25" t="str">
        <x:v>ACTIVE</x:v>
      </x:c>
      <x:c r="K235" s="25" t="str">
        <x:v>yıldırım - İrem Deniz Karakaya</x:v>
      </x:c>
      <x:c r="L235" s="25" t="str">
        <x:v>​120255507103940399</x:v>
      </x:c>
      <x:c r="M235" s="25" t="str">
        <x:v>ACTIVE</x:v>
      </x:c>
      <x:c r="N235" s="25" t="str">
        <x:v>REACH</x:v>
      </x:c>
      <x:c r="O235" s="27" t="n">
        <x:v>0</x:v>
      </x:c>
      <x:c r="P235" s="27" t="n">
        <x:v>0</x:v>
      </x:c>
      <x:c r="Q235" s="27" t="n">
        <x:v>100</x:v>
      </x:c>
      <x:c r="R235" s="27" t="n">
        <x:v>0</x:v>
      </x:c>
      <x:c r="S235" s="27" t="n">
        <x:v>1300.61</x:v>
      </x:c>
      <x:c r="T235" s="28" t="n">
        <x:v>141751</x:v>
      </x:c>
      <x:c r="U235" s="28" t="n">
        <x:v>132317</x:v>
      </x:c>
      <x:c r="V235" s="28" t="n">
        <x:v>66</x:v>
      </x:c>
      <x:c r="W235" s="28" t="n">
        <x:v>0</x:v>
      </x:c>
      <x:c r="X235" s="28" t="n">
        <x:v>0</x:v>
      </x:c>
      <x:c r="Y235" s="28" t="n">
        <x:v>0</x:v>
      </x:c>
      <x:c r="Z235" s="28" t="n">
        <x:v>0</x:v>
      </x:c>
      <x:c r="AA235" s="28" t="n">
        <x:v>7033</x:v>
      </x:c>
    </x:row>
    <x:row r="236">
      <x:c r="A236" s="25" t="str">
        <x:v>Ağustos 2026</x:v>
      </x:c>
      <x:c r="B236" s="25" t="str">
        <x:v>Yerli</x:v>
      </x:c>
      <x:c r="C236" s="25" t="str">
        <x:v>Türkçe</x:v>
      </x:c>
      <x:c r="D236" s="25" t="str">
        <x:v>Bilinirlik / İzlenme / Trafik</x:v>
      </x:c>
      <x:c r="E236" s="25" t="str">
        <x:v>Doktor Kampanyası</x:v>
      </x:c>
      <x:c r="F236" s="25" t="str">
        <x:v>Doruk Hastaneleri - SİNA ÖZEL Sağlık Hizmetleri A.ş</x:v>
      </x:c>
      <x:c r="G236" s="25" t="str">
        <x:v>TRY</x:v>
      </x:c>
      <x:c r="H236" s="25" t="str">
        <x:v>Doktor - Bilinirlik Kampanyası - Yıldırım</x:v>
      </x:c>
      <x:c r="I236" s="25" t="str">
        <x:v>​120255158812950399</x:v>
      </x:c>
      <x:c r="J236" s="25" t="str">
        <x:v>ACTIVE</x:v>
      </x:c>
      <x:c r="K236" s="25" t="str">
        <x:v>yıldırım - İrem Deniz Karakaya</x:v>
      </x:c>
      <x:c r="L236" s="25" t="str">
        <x:v>​120255507103940399</x:v>
      </x:c>
      <x:c r="M236" s="25" t="str">
        <x:v>ACTIVE</x:v>
      </x:c>
      <x:c r="N236" s="25" t="str">
        <x:v>REACH</x:v>
      </x:c>
      <x:c r="O236" s="27" t="n">
        <x:v>0</x:v>
      </x:c>
      <x:c r="P236" s="27" t="n">
        <x:v>0</x:v>
      </x:c>
      <x:c r="Q236" s="27" t="n">
        <x:v>100</x:v>
      </x:c>
      <x:c r="R236" s="27" t="n">
        <x:v>0</x:v>
      </x:c>
      <x:c r="S236" s="27" t="n">
        <x:v>457.63</x:v>
      </x:c>
      <x:c r="T236" s="28" t="n">
        <x:v>54662</x:v>
      </x:c>
      <x:c r="U236" s="28" t="n">
        <x:v>53877</x:v>
      </x:c>
      <x:c r="V236" s="28" t="n">
        <x:v>29</x:v>
      </x:c>
      <x:c r="W236" s="28" t="n">
        <x:v>0</x:v>
      </x:c>
      <x:c r="X236" s="28" t="n">
        <x:v>0</x:v>
      </x:c>
      <x:c r="Y236" s="28" t="n">
        <x:v>0</x:v>
      </x:c>
      <x:c r="Z236" s="28" t="n">
        <x:v>0</x:v>
      </x:c>
      <x:c r="AA236" s="28" t="n">
        <x:v>3196</x:v>
      </x:c>
    </x:row>
    <x:row r="237">
      <x:c r="A237" s="25" t="str">
        <x:v>Temmuz 2026</x:v>
      </x:c>
      <x:c r="B237" s="25" t="str">
        <x:v>Yerli</x:v>
      </x:c>
      <x:c r="C237" s="25" t="str">
        <x:v>Türkçe</x:v>
      </x:c>
      <x:c r="D237" s="25" t="str">
        <x:v>Bilinirlik / İzlenme / Trafik</x:v>
      </x:c>
      <x:c r="E237" s="25" t="str">
        <x:v>Doktor Kampanyası</x:v>
      </x:c>
      <x:c r="F237" s="25" t="str">
        <x:v>Doruk Hastaneleri - SİNA ÖZEL Sağlık Hizmetleri A.ş</x:v>
      </x:c>
      <x:c r="G237" s="25" t="str">
        <x:v>TRY</x:v>
      </x:c>
      <x:c r="H237" s="25" t="str">
        <x:v>Doktor - Bilinirlik Kampanyası - Yıldırım</x:v>
      </x:c>
      <x:c r="I237" s="25" t="str">
        <x:v>​120255158812950399</x:v>
      </x:c>
      <x:c r="J237" s="25" t="str">
        <x:v>ACTIVE</x:v>
      </x:c>
      <x:c r="K237" s="25" t="str">
        <x:v>yıldırım - Mehmet Şerif Özkan</x:v>
      </x:c>
      <x:c r="L237" s="25" t="str">
        <x:v>​120255507121880399</x:v>
      </x:c>
      <x:c r="M237" s="25" t="str">
        <x:v>ACTIVE</x:v>
      </x:c>
      <x:c r="N237" s="25" t="str">
        <x:v>REACH</x:v>
      </x:c>
      <x:c r="O237" s="27" t="n">
        <x:v>0</x:v>
      </x:c>
      <x:c r="P237" s="27" t="n">
        <x:v>0</x:v>
      </x:c>
      <x:c r="Q237" s="27" t="n">
        <x:v>100</x:v>
      </x:c>
      <x:c r="R237" s="27" t="n">
        <x:v>0</x:v>
      </x:c>
      <x:c r="S237" s="27" t="n">
        <x:v>1266.85</x:v>
      </x:c>
      <x:c r="T237" s="28" t="n">
        <x:v>139676</x:v>
      </x:c>
      <x:c r="U237" s="28" t="n">
        <x:v>134926</x:v>
      </x:c>
      <x:c r="V237" s="28" t="n">
        <x:v>30</x:v>
      </x:c>
      <x:c r="W237" s="28" t="n">
        <x:v>0</x:v>
      </x:c>
      <x:c r="X237" s="28" t="n">
        <x:v>0</x:v>
      </x:c>
      <x:c r="Y237" s="28" t="n">
        <x:v>0</x:v>
      </x:c>
      <x:c r="Z237" s="28" t="n">
        <x:v>0</x:v>
      </x:c>
      <x:c r="AA237" s="28" t="n">
        <x:v>7843</x:v>
      </x:c>
    </x:row>
    <x:row r="238">
      <x:c r="A238" s="25" t="str">
        <x:v>Ağustos 2026</x:v>
      </x:c>
      <x:c r="B238" s="25" t="str">
        <x:v>Yerli</x:v>
      </x:c>
      <x:c r="C238" s="25" t="str">
        <x:v>Türkçe</x:v>
      </x:c>
      <x:c r="D238" s="25" t="str">
        <x:v>Bilinirlik / İzlenme / Trafik</x:v>
      </x:c>
      <x:c r="E238" s="25" t="str">
        <x:v>Doktor Kampanyası</x:v>
      </x:c>
      <x:c r="F238" s="25" t="str">
        <x:v>Doruk Hastaneleri - SİNA ÖZEL Sağlık Hizmetleri A.ş</x:v>
      </x:c>
      <x:c r="G238" s="25" t="str">
        <x:v>TRY</x:v>
      </x:c>
      <x:c r="H238" s="25" t="str">
        <x:v>Doktor - Bilinirlik Kampanyası - Yıldırım</x:v>
      </x:c>
      <x:c r="I238" s="25" t="str">
        <x:v>​120255158812950399</x:v>
      </x:c>
      <x:c r="J238" s="25" t="str">
        <x:v>ACTIVE</x:v>
      </x:c>
      <x:c r="K238" s="25" t="str">
        <x:v>yıldırım - Mehmet Şerif Özkan</x:v>
      </x:c>
      <x:c r="L238" s="25" t="str">
        <x:v>​120255507121880399</x:v>
      </x:c>
      <x:c r="M238" s="25" t="str">
        <x:v>ACTIVE</x:v>
      </x:c>
      <x:c r="N238" s="25" t="str">
        <x:v>REACH</x:v>
      </x:c>
      <x:c r="O238" s="27" t="n">
        <x:v>0</x:v>
      </x:c>
      <x:c r="P238" s="27" t="n">
        <x:v>0</x:v>
      </x:c>
      <x:c r="Q238" s="27" t="n">
        <x:v>100</x:v>
      </x:c>
      <x:c r="R238" s="27" t="n">
        <x:v>0</x:v>
      </x:c>
      <x:c r="S238" s="27" t="n">
        <x:v>451.83</x:v>
      </x:c>
      <x:c r="T238" s="28" t="n">
        <x:v>54544</x:v>
      </x:c>
      <x:c r="U238" s="28" t="n">
        <x:v>54544</x:v>
      </x:c>
      <x:c r="V238" s="28" t="n">
        <x:v>13</x:v>
      </x:c>
      <x:c r="W238" s="28" t="n">
        <x:v>0</x:v>
      </x:c>
      <x:c r="X238" s="28" t="n">
        <x:v>0</x:v>
      </x:c>
      <x:c r="Y238" s="28" t="n">
        <x:v>0</x:v>
      </x:c>
      <x:c r="Z238" s="28" t="n">
        <x:v>0</x:v>
      </x:c>
      <x:c r="AA238" s="28" t="n">
        <x:v>4063</x:v>
      </x:c>
    </x:row>
    <x:row r="239">
      <x:c r="A239" s="25" t="str">
        <x:v>Temmuz 2026</x:v>
      </x:c>
      <x:c r="B239" s="25" t="str">
        <x:v>Yerli</x:v>
      </x:c>
      <x:c r="C239" s="25" t="str">
        <x:v>Türkçe</x:v>
      </x:c>
      <x:c r="D239" s="25" t="str">
        <x:v>Bilinirlik / İzlenme / Trafik</x:v>
      </x:c>
      <x:c r="E239" s="25" t="str">
        <x:v>Doktor Kampanyası</x:v>
      </x:c>
      <x:c r="F239" s="25" t="str">
        <x:v>Doruk Hastaneleri - SİNA ÖZEL Sağlık Hizmetleri A.ş</x:v>
      </x:c>
      <x:c r="G239" s="25" t="str">
        <x:v>TRY</x:v>
      </x:c>
      <x:c r="H239" s="25" t="str">
        <x:v>Doktor - Bilinirlik Kampanyası - Yıldırım</x:v>
      </x:c>
      <x:c r="I239" s="25" t="str">
        <x:v>​120255158812950399</x:v>
      </x:c>
      <x:c r="J239" s="25" t="str">
        <x:v>ACTIVE</x:v>
      </x:c>
      <x:c r="K239" s="25" t="str">
        <x:v>yıldırım - Mehmet Şimşek</x:v>
      </x:c>
      <x:c r="L239" s="25" t="str">
        <x:v>​120255421074860399</x:v>
      </x:c>
      <x:c r="M239" s="25" t="str">
        <x:v>ACTIVE</x:v>
      </x:c>
      <x:c r="N239" s="25" t="str">
        <x:v>REACH</x:v>
      </x:c>
      <x:c r="O239" s="27" t="n">
        <x:v>0</x:v>
      </x:c>
      <x:c r="P239" s="27" t="n">
        <x:v>0</x:v>
      </x:c>
      <x:c r="Q239" s="27" t="n">
        <x:v>100</x:v>
      </x:c>
      <x:c r="R239" s="27" t="n">
        <x:v>0</x:v>
      </x:c>
      <x:c r="S239" s="27" t="n">
        <x:v>1491.53</x:v>
      </x:c>
      <x:c r="T239" s="28" t="n">
        <x:v>164741</x:v>
      </x:c>
      <x:c r="U239" s="28" t="n">
        <x:v>153103</x:v>
      </x:c>
      <x:c r="V239" s="28" t="n">
        <x:v>77</x:v>
      </x:c>
      <x:c r="W239" s="28" t="n">
        <x:v>0</x:v>
      </x:c>
      <x:c r="X239" s="28" t="n">
        <x:v>0</x:v>
      </x:c>
      <x:c r="Y239" s="28" t="n">
        <x:v>0</x:v>
      </x:c>
      <x:c r="Z239" s="28" t="n">
        <x:v>0</x:v>
      </x:c>
      <x:c r="AA239" s="28" t="n">
        <x:v>10773</x:v>
      </x:c>
    </x:row>
    <x:row r="240">
      <x:c r="A240" s="25" t="str">
        <x:v>Ağustos 2026</x:v>
      </x:c>
      <x:c r="B240" s="25" t="str">
        <x:v>Yerli</x:v>
      </x:c>
      <x:c r="C240" s="25" t="str">
        <x:v>Türkçe</x:v>
      </x:c>
      <x:c r="D240" s="25" t="str">
        <x:v>Bilinirlik / İzlenme / Trafik</x:v>
      </x:c>
      <x:c r="E240" s="25" t="str">
        <x:v>Doktor Kampanyası</x:v>
      </x:c>
      <x:c r="F240" s="25" t="str">
        <x:v>Doruk Hastaneleri - SİNA ÖZEL Sağlık Hizmetleri A.ş</x:v>
      </x:c>
      <x:c r="G240" s="25" t="str">
        <x:v>TRY</x:v>
      </x:c>
      <x:c r="H240" s="25" t="str">
        <x:v>Doktor - Bilinirlik Kampanyası - Yıldırım</x:v>
      </x:c>
      <x:c r="I240" s="25" t="str">
        <x:v>​120255158812950399</x:v>
      </x:c>
      <x:c r="J240" s="25" t="str">
        <x:v>ACTIVE</x:v>
      </x:c>
      <x:c r="K240" s="25" t="str">
        <x:v>yıldırım - Mehmet Şimşek</x:v>
      </x:c>
      <x:c r="L240" s="25" t="str">
        <x:v>​120255421074860399</x:v>
      </x:c>
      <x:c r="M240" s="25" t="str">
        <x:v>ACTIVE</x:v>
      </x:c>
      <x:c r="N240" s="25" t="str">
        <x:v>REACH</x:v>
      </x:c>
      <x:c r="O240" s="27" t="n">
        <x:v>0</x:v>
      </x:c>
      <x:c r="P240" s="27" t="n">
        <x:v>0</x:v>
      </x:c>
      <x:c r="Q240" s="27" t="n">
        <x:v>100</x:v>
      </x:c>
      <x:c r="R240" s="27" t="n">
        <x:v>0</x:v>
      </x:c>
      <x:c r="S240" s="27" t="n">
        <x:v>461.1</x:v>
      </x:c>
      <x:c r="T240" s="28" t="n">
        <x:v>54427</x:v>
      </x:c>
      <x:c r="U240" s="28" t="n">
        <x:v>51724</x:v>
      </x:c>
      <x:c r="V240" s="28" t="n">
        <x:v>20</x:v>
      </x:c>
      <x:c r="W240" s="28" t="n">
        <x:v>0</x:v>
      </x:c>
      <x:c r="X240" s="28" t="n">
        <x:v>0</x:v>
      </x:c>
      <x:c r="Y240" s="28" t="n">
        <x:v>0</x:v>
      </x:c>
      <x:c r="Z240" s="28" t="n">
        <x:v>0</x:v>
      </x:c>
      <x:c r="AA240" s="28" t="n">
        <x:v>3424</x:v>
      </x:c>
    </x:row>
    <x:row r="241">
      <x:c r="A241" s="25" t="str">
        <x:v>Temmuz 2026</x:v>
      </x:c>
      <x:c r="B241" s="25" t="str">
        <x:v>Yerli</x:v>
      </x:c>
      <x:c r="C241" s="25" t="str">
        <x:v>Türkçe</x:v>
      </x:c>
      <x:c r="D241" s="25" t="str">
        <x:v>Bilinirlik / İzlenme / Trafik</x:v>
      </x:c>
      <x:c r="E241" s="25" t="str">
        <x:v>Doktor Kampanyası</x:v>
      </x:c>
      <x:c r="F241" s="25" t="str">
        <x:v>Doruk Hastaneleri - SİNA ÖZEL Sağlık Hizmetleri A.ş</x:v>
      </x:c>
      <x:c r="G241" s="25" t="str">
        <x:v>TRY</x:v>
      </x:c>
      <x:c r="H241" s="25" t="str">
        <x:v>Doktor - Bilinirlik Kampanyası - Yıldırım</x:v>
      </x:c>
      <x:c r="I241" s="25" t="str">
        <x:v>​120255158812950399</x:v>
      </x:c>
      <x:c r="J241" s="25" t="str">
        <x:v>ACTIVE</x:v>
      </x:c>
      <x:c r="K241" s="25" t="str">
        <x:v>yıldırım - Muhammet İkbal Güngör</x:v>
      </x:c>
      <x:c r="L241" s="25" t="str">
        <x:v>​120255746618960399</x:v>
      </x:c>
      <x:c r="M241" s="25" t="str">
        <x:v>ACTIVE</x:v>
      </x:c>
      <x:c r="N241" s="25" t="str">
        <x:v>REACH</x:v>
      </x:c>
      <x:c r="O241" s="27" t="n">
        <x:v>0</x:v>
      </x:c>
      <x:c r="P241" s="27" t="n">
        <x:v>0</x:v>
      </x:c>
      <x:c r="Q241" s="27" t="n">
        <x:v>100</x:v>
      </x:c>
      <x:c r="R241" s="27" t="n">
        <x:v>0</x:v>
      </x:c>
      <x:c r="S241" s="27" t="n">
        <x:v>559.21</x:v>
      </x:c>
      <x:c r="T241" s="28" t="n">
        <x:v>55408</x:v>
      </x:c>
      <x:c r="U241" s="28" t="n">
        <x:v>50147</x:v>
      </x:c>
      <x:c r="V241" s="28" t="n">
        <x:v>20</x:v>
      </x:c>
      <x:c r="W241" s="28" t="n">
        <x:v>0</x:v>
      </x:c>
      <x:c r="X241" s="28" t="n">
        <x:v>0</x:v>
      </x:c>
      <x:c r="Y241" s="28" t="n">
        <x:v>0</x:v>
      </x:c>
      <x:c r="Z241" s="28" t="n">
        <x:v>0</x:v>
      </x:c>
      <x:c r="AA241" s="28" t="n">
        <x:v>2278</x:v>
      </x:c>
    </x:row>
    <x:row r="242">
      <x:c r="A242" s="25" t="str">
        <x:v>Ağustos 2026</x:v>
      </x:c>
      <x:c r="B242" s="25" t="str">
        <x:v>Yerli</x:v>
      </x:c>
      <x:c r="C242" s="25" t="str">
        <x:v>Türkçe</x:v>
      </x:c>
      <x:c r="D242" s="25" t="str">
        <x:v>Bilinirlik / İzlenme / Trafik</x:v>
      </x:c>
      <x:c r="E242" s="25" t="str">
        <x:v>Doktor Kampanyası</x:v>
      </x:c>
      <x:c r="F242" s="25" t="str">
        <x:v>Doruk Hastaneleri - SİNA ÖZEL Sağlık Hizmetleri A.ş</x:v>
      </x:c>
      <x:c r="G242" s="25" t="str">
        <x:v>TRY</x:v>
      </x:c>
      <x:c r="H242" s="25" t="str">
        <x:v>Doktor - Bilinirlik Kampanyası - Yıldırım</x:v>
      </x:c>
      <x:c r="I242" s="25" t="str">
        <x:v>​120255158812950399</x:v>
      </x:c>
      <x:c r="J242" s="25" t="str">
        <x:v>ACTIVE</x:v>
      </x:c>
      <x:c r="K242" s="25" t="str">
        <x:v>yıldırım - Muhammet İkbal Güngör</x:v>
      </x:c>
      <x:c r="L242" s="25" t="str">
        <x:v>​120255746618960399</x:v>
      </x:c>
      <x:c r="M242" s="25" t="str">
        <x:v>ACTIVE</x:v>
      </x:c>
      <x:c r="N242" s="25" t="str">
        <x:v>REACH</x:v>
      </x:c>
      <x:c r="O242" s="27" t="n">
        <x:v>0</x:v>
      </x:c>
      <x:c r="P242" s="27" t="n">
        <x:v>0</x:v>
      </x:c>
      <x:c r="Q242" s="27" t="n">
        <x:v>100</x:v>
      </x:c>
      <x:c r="R242" s="27" t="n">
        <x:v>0</x:v>
      </x:c>
      <x:c r="S242" s="27" t="n">
        <x:v>463.12</x:v>
      </x:c>
      <x:c r="T242" s="28" t="n">
        <x:v>50885</x:v>
      </x:c>
      <x:c r="U242" s="28" t="n">
        <x:v>48336</x:v>
      </x:c>
      <x:c r="V242" s="28" t="n">
        <x:v>20</x:v>
      </x:c>
      <x:c r="W242" s="28" t="n">
        <x:v>0</x:v>
      </x:c>
      <x:c r="X242" s="28" t="n">
        <x:v>0</x:v>
      </x:c>
      <x:c r="Y242" s="28" t="n">
        <x:v>0</x:v>
      </x:c>
      <x:c r="Z242" s="28" t="n">
        <x:v>0</x:v>
      </x:c>
      <x:c r="AA242" s="28" t="n">
        <x:v>1828</x:v>
      </x:c>
    </x:row>
    <x:row r="243">
      <x:c r="A243" s="25" t="str">
        <x:v>Temmuz 2026</x:v>
      </x:c>
      <x:c r="B243" s="25" t="str">
        <x:v>Yerli</x:v>
      </x:c>
      <x:c r="C243" s="25" t="str">
        <x:v>Türkçe</x:v>
      </x:c>
      <x:c r="D243" s="25" t="str">
        <x:v>Bilinirlik / İzlenme / Trafik</x:v>
      </x:c>
      <x:c r="E243" s="25" t="str">
        <x:v>Doktor Kampanyası</x:v>
      </x:c>
      <x:c r="F243" s="25" t="str">
        <x:v>Doruk Hastaneleri - SİNA ÖZEL Sağlık Hizmetleri A.ş</x:v>
      </x:c>
      <x:c r="G243" s="25" t="str">
        <x:v>TRY</x:v>
      </x:c>
      <x:c r="H243" s="25" t="str">
        <x:v>Doktor - Bilinirlik Kampanyası - Yıldırım</x:v>
      </x:c>
      <x:c r="I243" s="25" t="str">
        <x:v>​120255158812950399</x:v>
      </x:c>
      <x:c r="J243" s="25" t="str">
        <x:v>ACTIVE</x:v>
      </x:c>
      <x:c r="K243" s="25" t="str">
        <x:v>yıldırım - Mutlu Kılciler</x:v>
      </x:c>
      <x:c r="L243" s="25" t="str">
        <x:v>​120255506783390399</x:v>
      </x:c>
      <x:c r="M243" s="25" t="str">
        <x:v>ACTIVE</x:v>
      </x:c>
      <x:c r="N243" s="25" t="str">
        <x:v>REACH</x:v>
      </x:c>
      <x:c r="O243" s="27" t="n">
        <x:v>0</x:v>
      </x:c>
      <x:c r="P243" s="27" t="n">
        <x:v>0</x:v>
      </x:c>
      <x:c r="Q243" s="27" t="n">
        <x:v>100</x:v>
      </x:c>
      <x:c r="R243" s="27" t="n">
        <x:v>0</x:v>
      </x:c>
      <x:c r="S243" s="27" t="n">
        <x:v>1287.68</x:v>
      </x:c>
      <x:c r="T243" s="28" t="n">
        <x:v>141233</x:v>
      </x:c>
      <x:c r="U243" s="28" t="n">
        <x:v>132757</x:v>
      </x:c>
      <x:c r="V243" s="28" t="n">
        <x:v>65</x:v>
      </x:c>
      <x:c r="W243" s="28" t="n">
        <x:v>0</x:v>
      </x:c>
      <x:c r="X243" s="28" t="n">
        <x:v>0</x:v>
      </x:c>
      <x:c r="Y243" s="28" t="n">
        <x:v>0</x:v>
      </x:c>
      <x:c r="Z243" s="28" t="n">
        <x:v>0</x:v>
      </x:c>
      <x:c r="AA243" s="28" t="n">
        <x:v>8795</x:v>
      </x:c>
    </x:row>
    <x:row r="244">
      <x:c r="A244" s="25" t="str">
        <x:v>Ağustos 2026</x:v>
      </x:c>
      <x:c r="B244" s="25" t="str">
        <x:v>Yerli</x:v>
      </x:c>
      <x:c r="C244" s="25" t="str">
        <x:v>Türkçe</x:v>
      </x:c>
      <x:c r="D244" s="25" t="str">
        <x:v>Bilinirlik / İzlenme / Trafik</x:v>
      </x:c>
      <x:c r="E244" s="25" t="str">
        <x:v>Doktor Kampanyası</x:v>
      </x:c>
      <x:c r="F244" s="25" t="str">
        <x:v>Doruk Hastaneleri - SİNA ÖZEL Sağlık Hizmetleri A.ş</x:v>
      </x:c>
      <x:c r="G244" s="25" t="str">
        <x:v>TRY</x:v>
      </x:c>
      <x:c r="H244" s="25" t="str">
        <x:v>Doktor - Bilinirlik Kampanyası - Yıldırım</x:v>
      </x:c>
      <x:c r="I244" s="25" t="str">
        <x:v>​120255158812950399</x:v>
      </x:c>
      <x:c r="J244" s="25" t="str">
        <x:v>ACTIVE</x:v>
      </x:c>
      <x:c r="K244" s="25" t="str">
        <x:v>yıldırım - Mutlu Kılciler</x:v>
      </x:c>
      <x:c r="L244" s="25" t="str">
        <x:v>​120255506783390399</x:v>
      </x:c>
      <x:c r="M244" s="25" t="str">
        <x:v>ACTIVE</x:v>
      </x:c>
      <x:c r="N244" s="25" t="str">
        <x:v>REACH</x:v>
      </x:c>
      <x:c r="O244" s="27" t="n">
        <x:v>0</x:v>
      </x:c>
      <x:c r="P244" s="27" t="n">
        <x:v>0</x:v>
      </x:c>
      <x:c r="Q244" s="27" t="n">
        <x:v>100</x:v>
      </x:c>
      <x:c r="R244" s="27" t="n">
        <x:v>0</x:v>
      </x:c>
      <x:c r="S244" s="27" t="n">
        <x:v>447.87</x:v>
      </x:c>
      <x:c r="T244" s="28" t="n">
        <x:v>53360</x:v>
      </x:c>
      <x:c r="U244" s="28" t="n">
        <x:v>52316</x:v>
      </x:c>
      <x:c r="V244" s="28" t="n">
        <x:v>22</x:v>
      </x:c>
      <x:c r="W244" s="28" t="n">
        <x:v>0</x:v>
      </x:c>
      <x:c r="X244" s="28" t="n">
        <x:v>0</x:v>
      </x:c>
      <x:c r="Y244" s="28" t="n">
        <x:v>0</x:v>
      </x:c>
      <x:c r="Z244" s="28" t="n">
        <x:v>0</x:v>
      </x:c>
      <x:c r="AA244" s="28" t="n">
        <x:v>3534</x:v>
      </x:c>
    </x:row>
    <x:row r="245">
      <x:c r="A245" s="25" t="str">
        <x:v>Temmuz 2026</x:v>
      </x:c>
      <x:c r="B245" s="25" t="str">
        <x:v>Yerli</x:v>
      </x:c>
      <x:c r="C245" s="25" t="str">
        <x:v>Türkçe</x:v>
      </x:c>
      <x:c r="D245" s="25" t="str">
        <x:v>Bilinirlik / İzlenme / Trafik</x:v>
      </x:c>
      <x:c r="E245" s="25" t="str">
        <x:v>Doktor Kampanyası</x:v>
      </x:c>
      <x:c r="F245" s="25" t="str">
        <x:v>Doruk Hastaneleri - SİNA ÖZEL Sağlık Hizmetleri A.ş</x:v>
      </x:c>
      <x:c r="G245" s="25" t="str">
        <x:v>TRY</x:v>
      </x:c>
      <x:c r="H245" s="25" t="str">
        <x:v>Doktor - Bilinirlik Kampanyası - Yıldırım</x:v>
      </x:c>
      <x:c r="I245" s="25" t="str">
        <x:v>​120255158812950399</x:v>
      </x:c>
      <x:c r="J245" s="25" t="str">
        <x:v>ACTIVE</x:v>
      </x:c>
      <x:c r="K245" s="25" t="str">
        <x:v>yıldırım - Nuran Celiloğlu</x:v>
      </x:c>
      <x:c r="L245" s="25" t="str">
        <x:v>​120255506920550399</x:v>
      </x:c>
      <x:c r="M245" s="25" t="str">
        <x:v>ACTIVE</x:v>
      </x:c>
      <x:c r="N245" s="25" t="str">
        <x:v>REACH</x:v>
      </x:c>
      <x:c r="O245" s="27" t="n">
        <x:v>0</x:v>
      </x:c>
      <x:c r="P245" s="27" t="n">
        <x:v>0</x:v>
      </x:c>
      <x:c r="Q245" s="27" t="n">
        <x:v>100</x:v>
      </x:c>
      <x:c r="R245" s="27" t="n">
        <x:v>0</x:v>
      </x:c>
      <x:c r="S245" s="27" t="n">
        <x:v>1252.54</x:v>
      </x:c>
      <x:c r="T245" s="28" t="n">
        <x:v>141927</x:v>
      </x:c>
      <x:c r="U245" s="28" t="n">
        <x:v>122057</x:v>
      </x:c>
      <x:c r="V245" s="28" t="n">
        <x:v>282</x:v>
      </x:c>
      <x:c r="W245" s="28" t="n">
        <x:v>0</x:v>
      </x:c>
      <x:c r="X245" s="28" t="n">
        <x:v>0</x:v>
      </x:c>
      <x:c r="Y245" s="28" t="n">
        <x:v>0</x:v>
      </x:c>
      <x:c r="Z245" s="28" t="n">
        <x:v>1</x:v>
      </x:c>
      <x:c r="AA245" s="28" t="n">
        <x:v>12541</x:v>
      </x:c>
    </x:row>
    <x:row r="246">
      <x:c r="A246" s="25" t="str">
        <x:v>Ağustos 2026</x:v>
      </x:c>
      <x:c r="B246" s="25" t="str">
        <x:v>Yerli</x:v>
      </x:c>
      <x:c r="C246" s="25" t="str">
        <x:v>Türkçe</x:v>
      </x:c>
      <x:c r="D246" s="25" t="str">
        <x:v>Bilinirlik / İzlenme / Trafik</x:v>
      </x:c>
      <x:c r="E246" s="25" t="str">
        <x:v>Doktor Kampanyası</x:v>
      </x:c>
      <x:c r="F246" s="25" t="str">
        <x:v>Doruk Hastaneleri - SİNA ÖZEL Sağlık Hizmetleri A.ş</x:v>
      </x:c>
      <x:c r="G246" s="25" t="str">
        <x:v>TRY</x:v>
      </x:c>
      <x:c r="H246" s="25" t="str">
        <x:v>Doktor - Bilinirlik Kampanyası - Yıldırım</x:v>
      </x:c>
      <x:c r="I246" s="25" t="str">
        <x:v>​120255158812950399</x:v>
      </x:c>
      <x:c r="J246" s="25" t="str">
        <x:v>ACTIVE</x:v>
      </x:c>
      <x:c r="K246" s="25" t="str">
        <x:v>yıldırım - Nuran Celiloğlu</x:v>
      </x:c>
      <x:c r="L246" s="25" t="str">
        <x:v>​120255506920550399</x:v>
      </x:c>
      <x:c r="M246" s="25" t="str">
        <x:v>ACTIVE</x:v>
      </x:c>
      <x:c r="N246" s="25" t="str">
        <x:v>REACH</x:v>
      </x:c>
      <x:c r="O246" s="27" t="n">
        <x:v>0</x:v>
      </x:c>
      <x:c r="P246" s="27" t="n">
        <x:v>0</x:v>
      </x:c>
      <x:c r="Q246" s="27" t="n">
        <x:v>100</x:v>
      </x:c>
      <x:c r="R246" s="27" t="n">
        <x:v>0</x:v>
      </x:c>
      <x:c r="S246" s="27" t="n">
        <x:v>442.41</x:v>
      </x:c>
      <x:c r="T246" s="28" t="n">
        <x:v>54805</x:v>
      </x:c>
      <x:c r="U246" s="28" t="n">
        <x:v>53118</x:v>
      </x:c>
      <x:c r="V246" s="28" t="n">
        <x:v>89</x:v>
      </x:c>
      <x:c r="W246" s="28" t="n">
        <x:v>0</x:v>
      </x:c>
      <x:c r="X246" s="28" t="n">
        <x:v>0</x:v>
      </x:c>
      <x:c r="Y246" s="28" t="n">
        <x:v>0</x:v>
      </x:c>
      <x:c r="Z246" s="28" t="n">
        <x:v>0</x:v>
      </x:c>
      <x:c r="AA246" s="28" t="n">
        <x:v>5533</x:v>
      </x:c>
    </x:row>
    <x:row r="247">
      <x:c r="A247" s="25" t="str">
        <x:v>Temmuz 2026</x:v>
      </x:c>
      <x:c r="B247" s="25" t="str">
        <x:v>Yerli</x:v>
      </x:c>
      <x:c r="C247" s="25" t="str">
        <x:v>Türkçe</x:v>
      </x:c>
      <x:c r="D247" s="25" t="str">
        <x:v>Bilinirlik / İzlenme / Trafik</x:v>
      </x:c>
      <x:c r="E247" s="25" t="str">
        <x:v>Doktor Kampanyası</x:v>
      </x:c>
      <x:c r="F247" s="25" t="str">
        <x:v>Doruk Hastaneleri - SİNA ÖZEL Sağlık Hizmetleri A.ş</x:v>
      </x:c>
      <x:c r="G247" s="25" t="str">
        <x:v>TRY</x:v>
      </x:c>
      <x:c r="H247" s="25" t="str">
        <x:v>Doktor - Bilinirlik Kampanyası - Yıldırım</x:v>
      </x:c>
      <x:c r="I247" s="25" t="str">
        <x:v>​120255158812950399</x:v>
      </x:c>
      <x:c r="J247" s="25" t="str">
        <x:v>ACTIVE</x:v>
      </x:c>
      <x:c r="K247" s="25" t="str">
        <x:v>yıldırım - Nurlana İbrahimova</x:v>
      </x:c>
      <x:c r="L247" s="25" t="str">
        <x:v>​120255506254670399</x:v>
      </x:c>
      <x:c r="M247" s="25" t="str">
        <x:v>ACTIVE</x:v>
      </x:c>
      <x:c r="N247" s="25" t="str">
        <x:v>REACH</x:v>
      </x:c>
      <x:c r="O247" s="27" t="n">
        <x:v>0</x:v>
      </x:c>
      <x:c r="P247" s="27" t="n">
        <x:v>0</x:v>
      </x:c>
      <x:c r="Q247" s="27" t="n">
        <x:v>100</x:v>
      </x:c>
      <x:c r="R247" s="27" t="n">
        <x:v>0</x:v>
      </x:c>
      <x:c r="S247" s="27" t="n">
        <x:v>1284.44</x:v>
      </x:c>
      <x:c r="T247" s="28" t="n">
        <x:v>140144</x:v>
      </x:c>
      <x:c r="U247" s="28" t="n">
        <x:v>132138</x:v>
      </x:c>
      <x:c r="V247" s="28" t="n">
        <x:v>57</x:v>
      </x:c>
      <x:c r="W247" s="28" t="n">
        <x:v>0</x:v>
      </x:c>
      <x:c r="X247" s="28" t="n">
        <x:v>0</x:v>
      </x:c>
      <x:c r="Y247" s="28" t="n">
        <x:v>0</x:v>
      </x:c>
      <x:c r="Z247" s="28" t="n">
        <x:v>0</x:v>
      </x:c>
      <x:c r="AA247" s="28" t="n">
        <x:v>8604</x:v>
      </x:c>
    </x:row>
    <x:row r="248">
      <x:c r="A248" s="25" t="str">
        <x:v>Ağustos 2026</x:v>
      </x:c>
      <x:c r="B248" s="25" t="str">
        <x:v>Yerli</x:v>
      </x:c>
      <x:c r="C248" s="25" t="str">
        <x:v>Türkçe</x:v>
      </x:c>
      <x:c r="D248" s="25" t="str">
        <x:v>Bilinirlik / İzlenme / Trafik</x:v>
      </x:c>
      <x:c r="E248" s="25" t="str">
        <x:v>Doktor Kampanyası</x:v>
      </x:c>
      <x:c r="F248" s="25" t="str">
        <x:v>Doruk Hastaneleri - SİNA ÖZEL Sağlık Hizmetleri A.ş</x:v>
      </x:c>
      <x:c r="G248" s="25" t="str">
        <x:v>TRY</x:v>
      </x:c>
      <x:c r="H248" s="25" t="str">
        <x:v>Doktor - Bilinirlik Kampanyası - Yıldırım</x:v>
      </x:c>
      <x:c r="I248" s="25" t="str">
        <x:v>​120255158812950399</x:v>
      </x:c>
      <x:c r="J248" s="25" t="str">
        <x:v>ACTIVE</x:v>
      </x:c>
      <x:c r="K248" s="25" t="str">
        <x:v>yıldırım - Nurlana İbrahimova</x:v>
      </x:c>
      <x:c r="L248" s="25" t="str">
        <x:v>​120255506254670399</x:v>
      </x:c>
      <x:c r="M248" s="25" t="str">
        <x:v>ACTIVE</x:v>
      </x:c>
      <x:c r="N248" s="25" t="str">
        <x:v>REACH</x:v>
      </x:c>
      <x:c r="O248" s="27" t="n">
        <x:v>0</x:v>
      </x:c>
      <x:c r="P248" s="27" t="n">
        <x:v>0</x:v>
      </x:c>
      <x:c r="Q248" s="27" t="n">
        <x:v>100</x:v>
      </x:c>
      <x:c r="R248" s="27" t="n">
        <x:v>0</x:v>
      </x:c>
      <x:c r="S248" s="27" t="n">
        <x:v>461.7</x:v>
      </x:c>
      <x:c r="T248" s="28" t="n">
        <x:v>54537</x:v>
      </x:c>
      <x:c r="U248" s="28" t="n">
        <x:v>54537</x:v>
      </x:c>
      <x:c r="V248" s="28" t="n">
        <x:v>15</x:v>
      </x:c>
      <x:c r="W248" s="28" t="n">
        <x:v>0</x:v>
      </x:c>
      <x:c r="X248" s="28" t="n">
        <x:v>0</x:v>
      </x:c>
      <x:c r="Y248" s="28" t="n">
        <x:v>0</x:v>
      </x:c>
      <x:c r="Z248" s="28" t="n">
        <x:v>0</x:v>
      </x:c>
      <x:c r="AA248" s="28" t="n">
        <x:v>3729</x:v>
      </x:c>
    </x:row>
    <x:row r="249">
      <x:c r="A249" s="25" t="str">
        <x:v>Temmuz 2026</x:v>
      </x:c>
      <x:c r="B249" s="25" t="str">
        <x:v>Yerli</x:v>
      </x:c>
      <x:c r="C249" s="25" t="str">
        <x:v>Türkçe</x:v>
      </x:c>
      <x:c r="D249" s="25" t="str">
        <x:v>Bilinirlik / İzlenme / Trafik</x:v>
      </x:c>
      <x:c r="E249" s="25" t="str">
        <x:v>Doktor Kampanyası</x:v>
      </x:c>
      <x:c r="F249" s="25" t="str">
        <x:v>Doruk Hastaneleri - SİNA ÖZEL Sağlık Hizmetleri A.ş</x:v>
      </x:c>
      <x:c r="G249" s="25" t="str">
        <x:v>TRY</x:v>
      </x:c>
      <x:c r="H249" s="25" t="str">
        <x:v>Doktor - Bilinirlik Kampanyası - Yıldırım</x:v>
      </x:c>
      <x:c r="I249" s="25" t="str">
        <x:v>​120255158812950399</x:v>
      </x:c>
      <x:c r="J249" s="25" t="str">
        <x:v>ACTIVE</x:v>
      </x:c>
      <x:c r="K249" s="25" t="str">
        <x:v>yıldırım - Ömer Aydın</x:v>
      </x:c>
      <x:c r="L249" s="25" t="str">
        <x:v>​120255746600700399</x:v>
      </x:c>
      <x:c r="M249" s="25" t="str">
        <x:v>ACTIVE</x:v>
      </x:c>
      <x:c r="N249" s="25" t="str">
        <x:v>REACH</x:v>
      </x:c>
      <x:c r="O249" s="27" t="n">
        <x:v>0</x:v>
      </x:c>
      <x:c r="P249" s="27" t="n">
        <x:v>0</x:v>
      </x:c>
      <x:c r="Q249" s="27" t="n">
        <x:v>100</x:v>
      </x:c>
      <x:c r="R249" s="27" t="n">
        <x:v>0</x:v>
      </x:c>
      <x:c r="S249" s="27" t="n">
        <x:v>568.05</x:v>
      </x:c>
      <x:c r="T249" s="28" t="n">
        <x:v>56408</x:v>
      </x:c>
      <x:c r="U249" s="28" t="n">
        <x:v>50682</x:v>
      </x:c>
      <x:c r="V249" s="28" t="n">
        <x:v>29</x:v>
      </x:c>
      <x:c r="W249" s="28" t="n">
        <x:v>0</x:v>
      </x:c>
      <x:c r="X249" s="28" t="n">
        <x:v>0</x:v>
      </x:c>
      <x:c r="Y249" s="28" t="n">
        <x:v>0</x:v>
      </x:c>
      <x:c r="Z249" s="28" t="n">
        <x:v>0</x:v>
      </x:c>
      <x:c r="AA249" s="28" t="n">
        <x:v>2549</x:v>
      </x:c>
    </x:row>
    <x:row r="250">
      <x:c r="A250" s="25" t="str">
        <x:v>Ağustos 2026</x:v>
      </x:c>
      <x:c r="B250" s="25" t="str">
        <x:v>Yerli</x:v>
      </x:c>
      <x:c r="C250" s="25" t="str">
        <x:v>Türkçe</x:v>
      </x:c>
      <x:c r="D250" s="25" t="str">
        <x:v>Bilinirlik / İzlenme / Trafik</x:v>
      </x:c>
      <x:c r="E250" s="25" t="str">
        <x:v>Doktor Kampanyası</x:v>
      </x:c>
      <x:c r="F250" s="25" t="str">
        <x:v>Doruk Hastaneleri - SİNA ÖZEL Sağlık Hizmetleri A.ş</x:v>
      </x:c>
      <x:c r="G250" s="25" t="str">
        <x:v>TRY</x:v>
      </x:c>
      <x:c r="H250" s="25" t="str">
        <x:v>Doktor - Bilinirlik Kampanyası - Yıldırım</x:v>
      </x:c>
      <x:c r="I250" s="25" t="str">
        <x:v>​120255158812950399</x:v>
      </x:c>
      <x:c r="J250" s="25" t="str">
        <x:v>ACTIVE</x:v>
      </x:c>
      <x:c r="K250" s="25" t="str">
        <x:v>yıldırım - Ömer Aydın</x:v>
      </x:c>
      <x:c r="L250" s="25" t="str">
        <x:v>​120255746600700399</x:v>
      </x:c>
      <x:c r="M250" s="25" t="str">
        <x:v>ACTIVE</x:v>
      </x:c>
      <x:c r="N250" s="25" t="str">
        <x:v>REACH</x:v>
      </x:c>
      <x:c r="O250" s="27" t="n">
        <x:v>0</x:v>
      </x:c>
      <x:c r="P250" s="27" t="n">
        <x:v>0</x:v>
      </x:c>
      <x:c r="Q250" s="27" t="n">
        <x:v>100</x:v>
      </x:c>
      <x:c r="R250" s="27" t="n">
        <x:v>0</x:v>
      </x:c>
      <x:c r="S250" s="27" t="n">
        <x:v>461.78</x:v>
      </x:c>
      <x:c r="T250" s="28" t="n">
        <x:v>50928</x:v>
      </x:c>
      <x:c r="U250" s="28" t="n">
        <x:v>48859</x:v>
      </x:c>
      <x:c r="V250" s="28" t="n">
        <x:v>26</x:v>
      </x:c>
      <x:c r="W250" s="28" t="n">
        <x:v>0</x:v>
      </x:c>
      <x:c r="X250" s="28" t="n">
        <x:v>0</x:v>
      </x:c>
      <x:c r="Y250" s="28" t="n">
        <x:v>0</x:v>
      </x:c>
      <x:c r="Z250" s="28" t="n">
        <x:v>0</x:v>
      </x:c>
      <x:c r="AA250" s="28" t="n">
        <x:v>2465</x:v>
      </x:c>
    </x:row>
    <x:row r="251">
      <x:c r="A251" s="25" t="str">
        <x:v>Temmuz 2026</x:v>
      </x:c>
      <x:c r="B251" s="25" t="str">
        <x:v>Yerli</x:v>
      </x:c>
      <x:c r="C251" s="25" t="str">
        <x:v>Türkçe</x:v>
      </x:c>
      <x:c r="D251" s="25" t="str">
        <x:v>Bilinirlik / İzlenme / Trafik</x:v>
      </x:c>
      <x:c r="E251" s="25" t="str">
        <x:v>Doktor Kampanyası</x:v>
      </x:c>
      <x:c r="F251" s="25" t="str">
        <x:v>Doruk Hastaneleri - SİNA ÖZEL Sağlık Hizmetleri A.ş</x:v>
      </x:c>
      <x:c r="G251" s="25" t="str">
        <x:v>TRY</x:v>
      </x:c>
      <x:c r="H251" s="25" t="str">
        <x:v>Doktor - Bilinirlik Kampanyası - Yıldırım</x:v>
      </x:c>
      <x:c r="I251" s="25" t="str">
        <x:v>​120255158812950399</x:v>
      </x:c>
      <x:c r="J251" s="25" t="str">
        <x:v>ACTIVE</x:v>
      </x:c>
      <x:c r="K251" s="25" t="str">
        <x:v>yıldırım - Ömer Duyuran</x:v>
      </x:c>
      <x:c r="L251" s="25" t="str">
        <x:v>​120255420974610399</x:v>
      </x:c>
      <x:c r="M251" s="25" t="str">
        <x:v>ACTIVE</x:v>
      </x:c>
      <x:c r="N251" s="25" t="str">
        <x:v>REACH</x:v>
      </x:c>
      <x:c r="O251" s="27" t="n">
        <x:v>0</x:v>
      </x:c>
      <x:c r="P251" s="27" t="n">
        <x:v>0</x:v>
      </x:c>
      <x:c r="Q251" s="27" t="n">
        <x:v>100</x:v>
      </x:c>
      <x:c r="R251" s="27" t="n">
        <x:v>0</x:v>
      </x:c>
      <x:c r="S251" s="27" t="n">
        <x:v>1536.47</x:v>
      </x:c>
      <x:c r="T251" s="28" t="n">
        <x:v>167883</x:v>
      </x:c>
      <x:c r="U251" s="28" t="n">
        <x:v>156023</x:v>
      </x:c>
      <x:c r="V251" s="28" t="n">
        <x:v>60</x:v>
      </x:c>
      <x:c r="W251" s="28" t="n">
        <x:v>0</x:v>
      </x:c>
      <x:c r="X251" s="28" t="n">
        <x:v>0</x:v>
      </x:c>
      <x:c r="Y251" s="28" t="n">
        <x:v>0</x:v>
      </x:c>
      <x:c r="Z251" s="28" t="n">
        <x:v>0</x:v>
      </x:c>
      <x:c r="AA251" s="28" t="n">
        <x:v>6721</x:v>
      </x:c>
    </x:row>
    <x:row r="252">
      <x:c r="A252" s="25" t="str">
        <x:v>Ağustos 2026</x:v>
      </x:c>
      <x:c r="B252" s="25" t="str">
        <x:v>Yerli</x:v>
      </x:c>
      <x:c r="C252" s="25" t="str">
        <x:v>Türkçe</x:v>
      </x:c>
      <x:c r="D252" s="25" t="str">
        <x:v>Bilinirlik / İzlenme / Trafik</x:v>
      </x:c>
      <x:c r="E252" s="25" t="str">
        <x:v>Doktor Kampanyası</x:v>
      </x:c>
      <x:c r="F252" s="25" t="str">
        <x:v>Doruk Hastaneleri - SİNA ÖZEL Sağlık Hizmetleri A.ş</x:v>
      </x:c>
      <x:c r="G252" s="25" t="str">
        <x:v>TRY</x:v>
      </x:c>
      <x:c r="H252" s="25" t="str">
        <x:v>Doktor - Bilinirlik Kampanyası - Yıldırım</x:v>
      </x:c>
      <x:c r="I252" s="25" t="str">
        <x:v>​120255158812950399</x:v>
      </x:c>
      <x:c r="J252" s="25" t="str">
        <x:v>ACTIVE</x:v>
      </x:c>
      <x:c r="K252" s="25" t="str">
        <x:v>yıldırım - Ömer Duyuran</x:v>
      </x:c>
      <x:c r="L252" s="25" t="str">
        <x:v>​120255420974610399</x:v>
      </x:c>
      <x:c r="M252" s="25" t="str">
        <x:v>ACTIVE</x:v>
      </x:c>
      <x:c r="N252" s="25" t="str">
        <x:v>REACH</x:v>
      </x:c>
      <x:c r="O252" s="27" t="n">
        <x:v>0</x:v>
      </x:c>
      <x:c r="P252" s="27" t="n">
        <x:v>0</x:v>
      </x:c>
      <x:c r="Q252" s="27" t="n">
        <x:v>100</x:v>
      </x:c>
      <x:c r="R252" s="27" t="n">
        <x:v>0</x:v>
      </x:c>
      <x:c r="S252" s="27" t="n">
        <x:v>458.52</x:v>
      </x:c>
      <x:c r="T252" s="28" t="n">
        <x:v>54008</x:v>
      </x:c>
      <x:c r="U252" s="28" t="n">
        <x:v>51661</x:v>
      </x:c>
      <x:c r="V252" s="28" t="n">
        <x:v>19</x:v>
      </x:c>
      <x:c r="W252" s="28" t="n">
        <x:v>0</x:v>
      </x:c>
      <x:c r="X252" s="28" t="n">
        <x:v>0</x:v>
      </x:c>
      <x:c r="Y252" s="28" t="n">
        <x:v>0</x:v>
      </x:c>
      <x:c r="Z252" s="28" t="n">
        <x:v>0</x:v>
      </x:c>
      <x:c r="AA252" s="28" t="n">
        <x:v>2544</x:v>
      </x:c>
    </x:row>
    <x:row r="253">
      <x:c r="A253" s="25" t="str">
        <x:v>Temmuz 2026</x:v>
      </x:c>
      <x:c r="B253" s="25" t="str">
        <x:v>Yerli</x:v>
      </x:c>
      <x:c r="C253" s="25" t="str">
        <x:v>Türkçe</x:v>
      </x:c>
      <x:c r="D253" s="25" t="str">
        <x:v>Bilinirlik / İzlenme / Trafik</x:v>
      </x:c>
      <x:c r="E253" s="25" t="str">
        <x:v>Doktor Kampanyası</x:v>
      </x:c>
      <x:c r="F253" s="25" t="str">
        <x:v>Doruk Hastaneleri - SİNA ÖZEL Sağlık Hizmetleri A.ş</x:v>
      </x:c>
      <x:c r="G253" s="25" t="str">
        <x:v>TRY</x:v>
      </x:c>
      <x:c r="H253" s="25" t="str">
        <x:v>Doktor - Bilinirlik Kampanyası - Yıldırım</x:v>
      </x:c>
      <x:c r="I253" s="25" t="str">
        <x:v>​120255158812950399</x:v>
      </x:c>
      <x:c r="J253" s="25" t="str">
        <x:v>ACTIVE</x:v>
      </x:c>
      <x:c r="K253" s="25" t="str">
        <x:v>yıldırım - Özge Gürbüz</x:v>
      </x:c>
      <x:c r="L253" s="25" t="str">
        <x:v>​120255506866590399</x:v>
      </x:c>
      <x:c r="M253" s="25" t="str">
        <x:v>ACTIVE</x:v>
      </x:c>
      <x:c r="N253" s="25" t="str">
        <x:v>REACH</x:v>
      </x:c>
      <x:c r="O253" s="27" t="n">
        <x:v>0</x:v>
      </x:c>
      <x:c r="P253" s="27" t="n">
        <x:v>0</x:v>
      </x:c>
      <x:c r="Q253" s="27" t="n">
        <x:v>100</x:v>
      </x:c>
      <x:c r="R253" s="27" t="n">
        <x:v>0</x:v>
      </x:c>
      <x:c r="S253" s="27" t="n">
        <x:v>1280.1</x:v>
      </x:c>
      <x:c r="T253" s="28" t="n">
        <x:v>139894</x:v>
      </x:c>
      <x:c r="U253" s="28" t="n">
        <x:v>133066</x:v>
      </x:c>
      <x:c r="V253" s="28" t="n">
        <x:v>72</x:v>
      </x:c>
      <x:c r="W253" s="28" t="n">
        <x:v>0</x:v>
      </x:c>
      <x:c r="X253" s="28" t="n">
        <x:v>0</x:v>
      </x:c>
      <x:c r="Y253" s="28" t="n">
        <x:v>0</x:v>
      </x:c>
      <x:c r="Z253" s="28" t="n">
        <x:v>0</x:v>
      </x:c>
      <x:c r="AA253" s="28" t="n">
        <x:v>6872</x:v>
      </x:c>
    </x:row>
    <x:row r="254">
      <x:c r="A254" s="25" t="str">
        <x:v>Ağustos 2026</x:v>
      </x:c>
      <x:c r="B254" s="25" t="str">
        <x:v>Yerli</x:v>
      </x:c>
      <x:c r="C254" s="25" t="str">
        <x:v>Türkçe</x:v>
      </x:c>
      <x:c r="D254" s="25" t="str">
        <x:v>Bilinirlik / İzlenme / Trafik</x:v>
      </x:c>
      <x:c r="E254" s="25" t="str">
        <x:v>Doktor Kampanyası</x:v>
      </x:c>
      <x:c r="F254" s="25" t="str">
        <x:v>Doruk Hastaneleri - SİNA ÖZEL Sağlık Hizmetleri A.ş</x:v>
      </x:c>
      <x:c r="G254" s="25" t="str">
        <x:v>TRY</x:v>
      </x:c>
      <x:c r="H254" s="25" t="str">
        <x:v>Doktor - Bilinirlik Kampanyası - Yıldırım</x:v>
      </x:c>
      <x:c r="I254" s="25" t="str">
        <x:v>​120255158812950399</x:v>
      </x:c>
      <x:c r="J254" s="25" t="str">
        <x:v>ACTIVE</x:v>
      </x:c>
      <x:c r="K254" s="25" t="str">
        <x:v>yıldırım - Özge Gürbüz</x:v>
      </x:c>
      <x:c r="L254" s="25" t="str">
        <x:v>​120255506866590399</x:v>
      </x:c>
      <x:c r="M254" s="25" t="str">
        <x:v>ACTIVE</x:v>
      </x:c>
      <x:c r="N254" s="25" t="str">
        <x:v>REACH</x:v>
      </x:c>
      <x:c r="O254" s="27" t="n">
        <x:v>0</x:v>
      </x:c>
      <x:c r="P254" s="27" t="n">
        <x:v>0</x:v>
      </x:c>
      <x:c r="Q254" s="27" t="n">
        <x:v>100</x:v>
      </x:c>
      <x:c r="R254" s="27" t="n">
        <x:v>0</x:v>
      </x:c>
      <x:c r="S254" s="27" t="n">
        <x:v>456.59</x:v>
      </x:c>
      <x:c r="T254" s="28" t="n">
        <x:v>54491</x:v>
      </x:c>
      <x:c r="U254" s="28" t="n">
        <x:v>51537</x:v>
      </x:c>
      <x:c r="V254" s="28" t="n">
        <x:v>24</x:v>
      </x:c>
      <x:c r="W254" s="28" t="n">
        <x:v>0</x:v>
      </x:c>
      <x:c r="X254" s="28" t="n">
        <x:v>0</x:v>
      </x:c>
      <x:c r="Y254" s="28" t="n">
        <x:v>0</x:v>
      </x:c>
      <x:c r="Z254" s="28" t="n">
        <x:v>0</x:v>
      </x:c>
      <x:c r="AA254" s="28" t="n">
        <x:v>2781</x:v>
      </x:c>
    </x:row>
    <x:row r="255">
      <x:c r="A255" s="25" t="str">
        <x:v>Temmuz 2026</x:v>
      </x:c>
      <x:c r="B255" s="25" t="str">
        <x:v>Yerli</x:v>
      </x:c>
      <x:c r="C255" s="25" t="str">
        <x:v>Türkçe</x:v>
      </x:c>
      <x:c r="D255" s="25" t="str">
        <x:v>Bilinirlik / İzlenme / Trafik</x:v>
      </x:c>
      <x:c r="E255" s="25" t="str">
        <x:v>Doktor Kampanyası</x:v>
      </x:c>
      <x:c r="F255" s="25" t="str">
        <x:v>Doruk Hastaneleri - SİNA ÖZEL Sağlık Hizmetleri A.ş</x:v>
      </x:c>
      <x:c r="G255" s="25" t="str">
        <x:v>TRY</x:v>
      </x:c>
      <x:c r="H255" s="25" t="str">
        <x:v>Doktor - Bilinirlik Kampanyası - Yıldırım</x:v>
      </x:c>
      <x:c r="I255" s="25" t="str">
        <x:v>​120255158812950399</x:v>
      </x:c>
      <x:c r="J255" s="25" t="str">
        <x:v>ACTIVE</x:v>
      </x:c>
      <x:c r="K255" s="25" t="str">
        <x:v>yıldırım - Özgür Ulaş Özdoğan</x:v>
      </x:c>
      <x:c r="L255" s="25" t="str">
        <x:v>​120255506982060399</x:v>
      </x:c>
      <x:c r="M255" s="25" t="str">
        <x:v>ACTIVE</x:v>
      </x:c>
      <x:c r="N255" s="25" t="str">
        <x:v>REACH</x:v>
      </x:c>
      <x:c r="O255" s="27" t="n">
        <x:v>0</x:v>
      </x:c>
      <x:c r="P255" s="27" t="n">
        <x:v>0</x:v>
      </x:c>
      <x:c r="Q255" s="27" t="n">
        <x:v>100</x:v>
      </x:c>
      <x:c r="R255" s="27" t="n">
        <x:v>0</x:v>
      </x:c>
      <x:c r="S255" s="27" t="n">
        <x:v>1288.38</x:v>
      </x:c>
      <x:c r="T255" s="28" t="n">
        <x:v>141351</x:v>
      </x:c>
      <x:c r="U255" s="28" t="n">
        <x:v>132875</x:v>
      </x:c>
      <x:c r="V255" s="28" t="n">
        <x:v>54</x:v>
      </x:c>
      <x:c r="W255" s="28" t="n">
        <x:v>0</x:v>
      </x:c>
      <x:c r="X255" s="28" t="n">
        <x:v>0</x:v>
      </x:c>
      <x:c r="Y255" s="28" t="n">
        <x:v>0</x:v>
      </x:c>
      <x:c r="Z255" s="28" t="n">
        <x:v>0</x:v>
      </x:c>
      <x:c r="AA255" s="28" t="n">
        <x:v>6754</x:v>
      </x:c>
    </x:row>
    <x:row r="256">
      <x:c r="A256" s="25" t="str">
        <x:v>Ağustos 2026</x:v>
      </x:c>
      <x:c r="B256" s="25" t="str">
        <x:v>Yerli</x:v>
      </x:c>
      <x:c r="C256" s="25" t="str">
        <x:v>Türkçe</x:v>
      </x:c>
      <x:c r="D256" s="25" t="str">
        <x:v>Bilinirlik / İzlenme / Trafik</x:v>
      </x:c>
      <x:c r="E256" s="25" t="str">
        <x:v>Doktor Kampanyası</x:v>
      </x:c>
      <x:c r="F256" s="25" t="str">
        <x:v>Doruk Hastaneleri - SİNA ÖZEL Sağlık Hizmetleri A.ş</x:v>
      </x:c>
      <x:c r="G256" s="25" t="str">
        <x:v>TRY</x:v>
      </x:c>
      <x:c r="H256" s="25" t="str">
        <x:v>Doktor - Bilinirlik Kampanyası - Yıldırım</x:v>
      </x:c>
      <x:c r="I256" s="25" t="str">
        <x:v>​120255158812950399</x:v>
      </x:c>
      <x:c r="J256" s="25" t="str">
        <x:v>ACTIVE</x:v>
      </x:c>
      <x:c r="K256" s="25" t="str">
        <x:v>yıldırım - Özgür Ulaş Özdoğan</x:v>
      </x:c>
      <x:c r="L256" s="25" t="str">
        <x:v>​120255506982060399</x:v>
      </x:c>
      <x:c r="M256" s="25" t="str">
        <x:v>ACTIVE</x:v>
      </x:c>
      <x:c r="N256" s="25" t="str">
        <x:v>REACH</x:v>
      </x:c>
      <x:c r="O256" s="27" t="n">
        <x:v>0</x:v>
      </x:c>
      <x:c r="P256" s="27" t="n">
        <x:v>0</x:v>
      </x:c>
      <x:c r="Q256" s="27" t="n">
        <x:v>100</x:v>
      </x:c>
      <x:c r="R256" s="27" t="n">
        <x:v>0</x:v>
      </x:c>
      <x:c r="S256" s="27" t="n">
        <x:v>447.59</x:v>
      </x:c>
      <x:c r="T256" s="28" t="n">
        <x:v>53403</x:v>
      </x:c>
      <x:c r="U256" s="28" t="n">
        <x:v>51648</x:v>
      </x:c>
      <x:c r="V256" s="28" t="n">
        <x:v>46</x:v>
      </x:c>
      <x:c r="W256" s="28" t="n">
        <x:v>0</x:v>
      </x:c>
      <x:c r="X256" s="28" t="n">
        <x:v>0</x:v>
      </x:c>
      <x:c r="Y256" s="28" t="n">
        <x:v>0</x:v>
      </x:c>
      <x:c r="Z256" s="28" t="n">
        <x:v>0</x:v>
      </x:c>
      <x:c r="AA256" s="28" t="n">
        <x:v>2981</x:v>
      </x:c>
    </x:row>
    <x:row r="257">
      <x:c r="A257" s="25" t="str">
        <x:v>Temmuz 2026</x:v>
      </x:c>
      <x:c r="B257" s="25" t="str">
        <x:v>Yerli</x:v>
      </x:c>
      <x:c r="C257" s="25" t="str">
        <x:v>Türkçe</x:v>
      </x:c>
      <x:c r="D257" s="25" t="str">
        <x:v>Bilinirlik / İzlenme / Trafik</x:v>
      </x:c>
      <x:c r="E257" s="25" t="str">
        <x:v>Doktor Kampanyası</x:v>
      </x:c>
      <x:c r="F257" s="25" t="str">
        <x:v>Doruk Hastaneleri - SİNA ÖZEL Sağlık Hizmetleri A.ş</x:v>
      </x:c>
      <x:c r="G257" s="25" t="str">
        <x:v>TRY</x:v>
      </x:c>
      <x:c r="H257" s="25" t="str">
        <x:v>Doktor - Bilinirlik Kampanyası - Yıldırım</x:v>
      </x:c>
      <x:c r="I257" s="25" t="str">
        <x:v>​120255158812950399</x:v>
      </x:c>
      <x:c r="J257" s="25" t="str">
        <x:v>ACTIVE</x:v>
      </x:c>
      <x:c r="K257" s="25" t="str">
        <x:v>yıldırım - Tunç Polat Edizsoy</x:v>
      </x:c>
      <x:c r="L257" s="25" t="str">
        <x:v>​120255507135650399</x:v>
      </x:c>
      <x:c r="M257" s="25" t="str">
        <x:v>ACTIVE</x:v>
      </x:c>
      <x:c r="N257" s="25" t="str">
        <x:v>REACH</x:v>
      </x:c>
      <x:c r="O257" s="27" t="n">
        <x:v>0</x:v>
      </x:c>
      <x:c r="P257" s="27" t="n">
        <x:v>0</x:v>
      </x:c>
      <x:c r="Q257" s="27" t="n">
        <x:v>100</x:v>
      </x:c>
      <x:c r="R257" s="27" t="n">
        <x:v>0</x:v>
      </x:c>
      <x:c r="S257" s="27" t="n">
        <x:v>1295.82</x:v>
      </x:c>
      <x:c r="T257" s="28" t="n">
        <x:v>141427</x:v>
      </x:c>
      <x:c r="U257" s="28" t="n">
        <x:v>136056</x:v>
      </x:c>
      <x:c r="V257" s="28" t="n">
        <x:v>69</x:v>
      </x:c>
      <x:c r="W257" s="28" t="n">
        <x:v>0</x:v>
      </x:c>
      <x:c r="X257" s="28" t="n">
        <x:v>0</x:v>
      </x:c>
      <x:c r="Y257" s="28" t="n">
        <x:v>0</x:v>
      </x:c>
      <x:c r="Z257" s="28" t="n">
        <x:v>0</x:v>
      </x:c>
      <x:c r="AA257" s="28" t="n">
        <x:v>7051</x:v>
      </x:c>
    </x:row>
    <x:row r="258">
      <x:c r="A258" s="25" t="str">
        <x:v>Ağustos 2026</x:v>
      </x:c>
      <x:c r="B258" s="25" t="str">
        <x:v>Yerli</x:v>
      </x:c>
      <x:c r="C258" s="25" t="str">
        <x:v>Türkçe</x:v>
      </x:c>
      <x:c r="D258" s="25" t="str">
        <x:v>Bilinirlik / İzlenme / Trafik</x:v>
      </x:c>
      <x:c r="E258" s="25" t="str">
        <x:v>Doktor Kampanyası</x:v>
      </x:c>
      <x:c r="F258" s="25" t="str">
        <x:v>Doruk Hastaneleri - SİNA ÖZEL Sağlık Hizmetleri A.ş</x:v>
      </x:c>
      <x:c r="G258" s="25" t="str">
        <x:v>TRY</x:v>
      </x:c>
      <x:c r="H258" s="25" t="str">
        <x:v>Doktor - Bilinirlik Kampanyası - Yıldırım</x:v>
      </x:c>
      <x:c r="I258" s="25" t="str">
        <x:v>​120255158812950399</x:v>
      </x:c>
      <x:c r="J258" s="25" t="str">
        <x:v>ACTIVE</x:v>
      </x:c>
      <x:c r="K258" s="25" t="str">
        <x:v>yıldırım - Tunç Polat Edizsoy</x:v>
      </x:c>
      <x:c r="L258" s="25" t="str">
        <x:v>​120255507135650399</x:v>
      </x:c>
      <x:c r="M258" s="25" t="str">
        <x:v>ACTIVE</x:v>
      </x:c>
      <x:c r="N258" s="25" t="str">
        <x:v>REACH</x:v>
      </x:c>
      <x:c r="O258" s="27" t="n">
        <x:v>0</x:v>
      </x:c>
      <x:c r="P258" s="27" t="n">
        <x:v>0</x:v>
      </x:c>
      <x:c r="Q258" s="27" t="n">
        <x:v>100</x:v>
      </x:c>
      <x:c r="R258" s="27" t="n">
        <x:v>0</x:v>
      </x:c>
      <x:c r="S258" s="27" t="n">
        <x:v>457.68</x:v>
      </x:c>
      <x:c r="T258" s="28" t="n">
        <x:v>54036</x:v>
      </x:c>
      <x:c r="U258" s="28" t="n">
        <x:v>52496</x:v>
      </x:c>
      <x:c r="V258" s="28" t="n">
        <x:v>28</x:v>
      </x:c>
      <x:c r="W258" s="28" t="n">
        <x:v>0</x:v>
      </x:c>
      <x:c r="X258" s="28" t="n">
        <x:v>0</x:v>
      </x:c>
      <x:c r="Y258" s="28" t="n">
        <x:v>0</x:v>
      </x:c>
      <x:c r="Z258" s="28" t="n">
        <x:v>0</x:v>
      </x:c>
      <x:c r="AA258" s="28" t="n">
        <x:v>2637</x:v>
      </x:c>
    </x:row>
    <x:row r="259">
      <x:c r="A259" s="25" t="str">
        <x:v>Temmuz 2026</x:v>
      </x:c>
      <x:c r="B259" s="25" t="str">
        <x:v>Yerli</x:v>
      </x:c>
      <x:c r="C259" s="25" t="str">
        <x:v>Türkçe</x:v>
      </x:c>
      <x:c r="D259" s="25" t="str">
        <x:v>Bilinirlik / İzlenme / Trafik</x:v>
      </x:c>
      <x:c r="E259" s="25" t="str">
        <x:v>Doktor Kampanyası</x:v>
      </x:c>
      <x:c r="F259" s="25" t="str">
        <x:v>Doruk Hastaneleri - SİNA ÖZEL Sağlık Hizmetleri A.ş</x:v>
      </x:c>
      <x:c r="G259" s="25" t="str">
        <x:v>TRY</x:v>
      </x:c>
      <x:c r="H259" s="25" t="str">
        <x:v>Doktor - Bilinirlik Kampanyası - Yıldırım</x:v>
      </x:c>
      <x:c r="I259" s="25" t="str">
        <x:v>​120255158812950399</x:v>
      </x:c>
      <x:c r="J259" s="25" t="str">
        <x:v>ACTIVE</x:v>
      </x:c>
      <x:c r="K259" s="25" t="str">
        <x:v>yıldırım - Ünal Uluca</x:v>
      </x:c>
      <x:c r="L259" s="25" t="str">
        <x:v>​120255421046410399</x:v>
      </x:c>
      <x:c r="M259" s="25" t="str">
        <x:v>ACTIVE</x:v>
      </x:c>
      <x:c r="N259" s="25" t="str">
        <x:v>REACH</x:v>
      </x:c>
      <x:c r="O259" s="27" t="n">
        <x:v>0</x:v>
      </x:c>
      <x:c r="P259" s="27" t="n">
        <x:v>0</x:v>
      </x:c>
      <x:c r="Q259" s="27" t="n">
        <x:v>100</x:v>
      </x:c>
      <x:c r="R259" s="27" t="n">
        <x:v>0</x:v>
      </x:c>
      <x:c r="S259" s="27" t="n">
        <x:v>1504.34</x:v>
      </x:c>
      <x:c r="T259" s="28" t="n">
        <x:v>165981</x:v>
      </x:c>
      <x:c r="U259" s="28" t="n">
        <x:v>160522</x:v>
      </x:c>
      <x:c r="V259" s="28" t="n">
        <x:v>55</x:v>
      </x:c>
      <x:c r="W259" s="28" t="n">
        <x:v>0</x:v>
      </x:c>
      <x:c r="X259" s="28" t="n">
        <x:v>0</x:v>
      </x:c>
      <x:c r="Y259" s="28" t="n">
        <x:v>0</x:v>
      </x:c>
      <x:c r="Z259" s="28" t="n">
        <x:v>0</x:v>
      </x:c>
      <x:c r="AA259" s="28" t="n">
        <x:v>6986</x:v>
      </x:c>
    </x:row>
    <x:row r="260">
      <x:c r="A260" s="25" t="str">
        <x:v>Ağustos 2026</x:v>
      </x:c>
      <x:c r="B260" s="25" t="str">
        <x:v>Yerli</x:v>
      </x:c>
      <x:c r="C260" s="25" t="str">
        <x:v>Türkçe</x:v>
      </x:c>
      <x:c r="D260" s="25" t="str">
        <x:v>Bilinirlik / İzlenme / Trafik</x:v>
      </x:c>
      <x:c r="E260" s="25" t="str">
        <x:v>Doktor Kampanyası</x:v>
      </x:c>
      <x:c r="F260" s="25" t="str">
        <x:v>Doruk Hastaneleri - SİNA ÖZEL Sağlık Hizmetleri A.ş</x:v>
      </x:c>
      <x:c r="G260" s="25" t="str">
        <x:v>TRY</x:v>
      </x:c>
      <x:c r="H260" s="25" t="str">
        <x:v>Doktor - Bilinirlik Kampanyası - Yıldırım</x:v>
      </x:c>
      <x:c r="I260" s="25" t="str">
        <x:v>​120255158812950399</x:v>
      </x:c>
      <x:c r="J260" s="25" t="str">
        <x:v>ACTIVE</x:v>
      </x:c>
      <x:c r="K260" s="25" t="str">
        <x:v>yıldırım - Ünal Uluca</x:v>
      </x:c>
      <x:c r="L260" s="25" t="str">
        <x:v>​120255421046410399</x:v>
      </x:c>
      <x:c r="M260" s="25" t="str">
        <x:v>ACTIVE</x:v>
      </x:c>
      <x:c r="N260" s="25" t="str">
        <x:v>REACH</x:v>
      </x:c>
      <x:c r="O260" s="27" t="n">
        <x:v>0</x:v>
      </x:c>
      <x:c r="P260" s="27" t="n">
        <x:v>0</x:v>
      </x:c>
      <x:c r="Q260" s="27" t="n">
        <x:v>100</x:v>
      </x:c>
      <x:c r="R260" s="27" t="n">
        <x:v>0</x:v>
      </x:c>
      <x:c r="S260" s="27" t="n">
        <x:v>484.27</x:v>
      </x:c>
      <x:c r="T260" s="28" t="n">
        <x:v>57377</x:v>
      </x:c>
      <x:c r="U260" s="28" t="n">
        <x:v>56370</x:v>
      </x:c>
      <x:c r="V260" s="28" t="n">
        <x:v>14</x:v>
      </x:c>
      <x:c r="W260" s="28" t="n">
        <x:v>0</x:v>
      </x:c>
      <x:c r="X260" s="28" t="n">
        <x:v>0</x:v>
      </x:c>
      <x:c r="Y260" s="28" t="n">
        <x:v>0</x:v>
      </x:c>
      <x:c r="Z260" s="28" t="n">
        <x:v>0</x:v>
      </x:c>
      <x:c r="AA260" s="28" t="n">
        <x:v>2458</x:v>
      </x:c>
    </x:row>
    <x:row r="261">
      <x:c r="A261" s="25" t="str">
        <x:v>Temmuz 2026</x:v>
      </x:c>
      <x:c r="B261" s="25" t="str">
        <x:v>Yerli</x:v>
      </x:c>
      <x:c r="C261" s="25" t="str">
        <x:v>Türkçe</x:v>
      </x:c>
      <x:c r="D261" s="25" t="str">
        <x:v>Bilinirlik / İzlenme / Trafik</x:v>
      </x:c>
      <x:c r="E261" s="25" t="str">
        <x:v>Doktor Kampanyası</x:v>
      </x:c>
      <x:c r="F261" s="25" t="str">
        <x:v>Doruk Hastaneleri - SİNA ÖZEL Sağlık Hizmetleri A.ş</x:v>
      </x:c>
      <x:c r="G261" s="25" t="str">
        <x:v>TRY</x:v>
      </x:c>
      <x:c r="H261" s="25" t="str">
        <x:v>Doktor - Bilinirlik Kampanyası - Yıldırım</x:v>
      </x:c>
      <x:c r="I261" s="25" t="str">
        <x:v>​120255158812950399</x:v>
      </x:c>
      <x:c r="J261" s="25" t="str">
        <x:v>ACTIVE</x:v>
      </x:c>
      <x:c r="K261" s="25" t="str">
        <x:v>yıldırım - Yusuf Karabulut</x:v>
      </x:c>
      <x:c r="L261" s="25" t="str">
        <x:v>​120255746465770399</x:v>
      </x:c>
      <x:c r="M261" s="25" t="str">
        <x:v>ACTIVE</x:v>
      </x:c>
      <x:c r="N261" s="25" t="str">
        <x:v>REACH</x:v>
      </x:c>
      <x:c r="O261" s="27" t="n">
        <x:v>0</x:v>
      </x:c>
      <x:c r="P261" s="27" t="n">
        <x:v>0</x:v>
      </x:c>
      <x:c r="Q261" s="27" t="n">
        <x:v>100</x:v>
      </x:c>
      <x:c r="R261" s="27" t="n">
        <x:v>0</x:v>
      </x:c>
      <x:c r="S261" s="27" t="n">
        <x:v>556.37</x:v>
      </x:c>
      <x:c r="T261" s="28" t="n">
        <x:v>55612</x:v>
      </x:c>
      <x:c r="U261" s="28" t="n">
        <x:v>49062</x:v>
      </x:c>
      <x:c r="V261" s="28" t="n">
        <x:v>38</x:v>
      </x:c>
      <x:c r="W261" s="28" t="n">
        <x:v>0</x:v>
      </x:c>
      <x:c r="X261" s="28" t="n">
        <x:v>0</x:v>
      </x:c>
      <x:c r="Y261" s="28" t="n">
        <x:v>0</x:v>
      </x:c>
      <x:c r="Z261" s="28" t="n">
        <x:v>0</x:v>
      </x:c>
      <x:c r="AA261" s="28" t="n">
        <x:v>2058</x:v>
      </x:c>
    </x:row>
    <x:row r="262">
      <x:c r="A262" s="25" t="str">
        <x:v>Ağustos 2026</x:v>
      </x:c>
      <x:c r="B262" s="25" t="str">
        <x:v>Yerli</x:v>
      </x:c>
      <x:c r="C262" s="25" t="str">
        <x:v>Türkçe</x:v>
      </x:c>
      <x:c r="D262" s="25" t="str">
        <x:v>Bilinirlik / İzlenme / Trafik</x:v>
      </x:c>
      <x:c r="E262" s="25" t="str">
        <x:v>Doktor Kampanyası</x:v>
      </x:c>
      <x:c r="F262" s="25" t="str">
        <x:v>Doruk Hastaneleri - SİNA ÖZEL Sağlık Hizmetleri A.ş</x:v>
      </x:c>
      <x:c r="G262" s="25" t="str">
        <x:v>TRY</x:v>
      </x:c>
      <x:c r="H262" s="25" t="str">
        <x:v>Doktor - Bilinirlik Kampanyası - Yıldırım</x:v>
      </x:c>
      <x:c r="I262" s="25" t="str">
        <x:v>​120255158812950399</x:v>
      </x:c>
      <x:c r="J262" s="25" t="str">
        <x:v>ACTIVE</x:v>
      </x:c>
      <x:c r="K262" s="25" t="str">
        <x:v>yıldırım - Yusuf Karabulut</x:v>
      </x:c>
      <x:c r="L262" s="25" t="str">
        <x:v>​120255746465770399</x:v>
      </x:c>
      <x:c r="M262" s="25" t="str">
        <x:v>ACTIVE</x:v>
      </x:c>
      <x:c r="N262" s="25" t="str">
        <x:v>REACH</x:v>
      </x:c>
      <x:c r="O262" s="27" t="n">
        <x:v>0</x:v>
      </x:c>
      <x:c r="P262" s="27" t="n">
        <x:v>0</x:v>
      </x:c>
      <x:c r="Q262" s="27" t="n">
        <x:v>100</x:v>
      </x:c>
      <x:c r="R262" s="27" t="n">
        <x:v>0</x:v>
      </x:c>
      <x:c r="S262" s="27" t="n">
        <x:v>466.06</x:v>
      </x:c>
      <x:c r="T262" s="28" t="n">
        <x:v>51628</x:v>
      </x:c>
      <x:c r="U262" s="28" t="n">
        <x:v>46783</x:v>
      </x:c>
      <x:c r="V262" s="28" t="n">
        <x:v>35</x:v>
      </x:c>
      <x:c r="W262" s="28" t="n">
        <x:v>0</x:v>
      </x:c>
      <x:c r="X262" s="28" t="n">
        <x:v>0</x:v>
      </x:c>
      <x:c r="Y262" s="28" t="n">
        <x:v>0</x:v>
      </x:c>
      <x:c r="Z262" s="28" t="n">
        <x:v>0</x:v>
      </x:c>
      <x:c r="AA262" s="28" t="n">
        <x:v>1755</x:v>
      </x:c>
    </x:row>
    <x:row r="263">
      <x:c r="A263" s="25" t="str">
        <x:v>Temmuz 2026</x:v>
      </x:c>
      <x:c r="B263" s="25" t="str">
        <x:v>Yerli</x:v>
      </x:c>
      <x:c r="C263" s="25" t="str">
        <x:v>Türkçe</x:v>
      </x:c>
      <x:c r="D263" s="25" t="str">
        <x:v>Bilinirlik / İzlenme / Trafik</x:v>
      </x:c>
      <x:c r="E263" s="25" t="str">
        <x:v>Doktor Kampanyası</x:v>
      </x:c>
      <x:c r="F263" s="25" t="str">
        <x:v>Doruk Hastaneleri - SİNA ÖZEL Sağlık Hizmetleri A.ş</x:v>
      </x:c>
      <x:c r="G263" s="25" t="str">
        <x:v>TRY</x:v>
      </x:c>
      <x:c r="H263" s="25" t="str">
        <x:v>Doktor - Bilinirlik Kampanyası - Yıldırım</x:v>
      </x:c>
      <x:c r="I263" s="25" t="str">
        <x:v>​120255158812950399</x:v>
      </x:c>
      <x:c r="J263" s="25" t="str">
        <x:v>ACTIVE</x:v>
      </x:c>
      <x:c r="K263" s="25" t="str">
        <x:v>yıldırım - Zeynep Sayar</x:v>
      </x:c>
      <x:c r="L263" s="25" t="str">
        <x:v>​120255507076930399</x:v>
      </x:c>
      <x:c r="M263" s="25" t="str">
        <x:v>ACTIVE</x:v>
      </x:c>
      <x:c r="N263" s="25" t="str">
        <x:v>REACH</x:v>
      </x:c>
      <x:c r="O263" s="27" t="n">
        <x:v>0</x:v>
      </x:c>
      <x:c r="P263" s="27" t="n">
        <x:v>0</x:v>
      </x:c>
      <x:c r="Q263" s="27" t="n">
        <x:v>100</x:v>
      </x:c>
      <x:c r="R263" s="27" t="n">
        <x:v>0</x:v>
      </x:c>
      <x:c r="S263" s="27" t="n">
        <x:v>1265.95</x:v>
      </x:c>
      <x:c r="T263" s="28" t="n">
        <x:v>138457</x:v>
      </x:c>
      <x:c r="U263" s="28" t="n">
        <x:v>130304</x:v>
      </x:c>
      <x:c r="V263" s="28" t="n">
        <x:v>45</x:v>
      </x:c>
      <x:c r="W263" s="28" t="n">
        <x:v>0</x:v>
      </x:c>
      <x:c r="X263" s="28" t="n">
        <x:v>0</x:v>
      </x:c>
      <x:c r="Y263" s="28" t="n">
        <x:v>0</x:v>
      </x:c>
      <x:c r="Z263" s="28" t="n">
        <x:v>0</x:v>
      </x:c>
      <x:c r="AA263" s="28" t="n">
        <x:v>6793</x:v>
      </x:c>
    </x:row>
    <x:row r="264">
      <x:c r="A264" s="25" t="str">
        <x:v>Ağustos 2026</x:v>
      </x:c>
      <x:c r="B264" s="25" t="str">
        <x:v>Yerli</x:v>
      </x:c>
      <x:c r="C264" s="25" t="str">
        <x:v>Türkçe</x:v>
      </x:c>
      <x:c r="D264" s="25" t="str">
        <x:v>Bilinirlik / İzlenme / Trafik</x:v>
      </x:c>
      <x:c r="E264" s="25" t="str">
        <x:v>Doktor Kampanyası</x:v>
      </x:c>
      <x:c r="F264" s="25" t="str">
        <x:v>Doruk Hastaneleri - SİNA ÖZEL Sağlık Hizmetleri A.ş</x:v>
      </x:c>
      <x:c r="G264" s="25" t="str">
        <x:v>TRY</x:v>
      </x:c>
      <x:c r="H264" s="25" t="str">
        <x:v>Doktor - Bilinirlik Kampanyası - Yıldırım</x:v>
      </x:c>
      <x:c r="I264" s="25" t="str">
        <x:v>​120255158812950399</x:v>
      </x:c>
      <x:c r="J264" s="25" t="str">
        <x:v>ACTIVE</x:v>
      </x:c>
      <x:c r="K264" s="25" t="str">
        <x:v>yıldırım - Zeynep Sayar</x:v>
      </x:c>
      <x:c r="L264" s="25" t="str">
        <x:v>​120255507076930399</x:v>
      </x:c>
      <x:c r="M264" s="25" t="str">
        <x:v>ACTIVE</x:v>
      </x:c>
      <x:c r="N264" s="25" t="str">
        <x:v>REACH</x:v>
      </x:c>
      <x:c r="O264" s="27" t="n">
        <x:v>0</x:v>
      </x:c>
      <x:c r="P264" s="27" t="n">
        <x:v>0</x:v>
      </x:c>
      <x:c r="Q264" s="27" t="n">
        <x:v>100</x:v>
      </x:c>
      <x:c r="R264" s="27" t="n">
        <x:v>0</x:v>
      </x:c>
      <x:c r="S264" s="27" t="n">
        <x:v>458.29</x:v>
      </x:c>
      <x:c r="T264" s="28" t="n">
        <x:v>53897</x:v>
      </x:c>
      <x:c r="U264" s="28" t="n">
        <x:v>52165</x:v>
      </x:c>
      <x:c r="V264" s="28" t="n">
        <x:v>20</x:v>
      </x:c>
      <x:c r="W264" s="28" t="n">
        <x:v>0</x:v>
      </x:c>
      <x:c r="X264" s="28" t="n">
        <x:v>0</x:v>
      </x:c>
      <x:c r="Y264" s="28" t="n">
        <x:v>0</x:v>
      </x:c>
      <x:c r="Z264" s="28" t="n">
        <x:v>0</x:v>
      </x:c>
      <x:c r="AA264" s="28" t="n">
        <x:v>2890</x:v>
      </x:c>
    </x:row>
    <x:row r="265">
      <x:c r="A265" s="25" t="str">
        <x:v>Temmuz 2026</x:v>
      </x:c>
      <x:c r="B265" s="25" t="str">
        <x:v>Yerli</x:v>
      </x:c>
      <x:c r="C265" s="25" t="str">
        <x:v>Türkçe</x:v>
      </x:c>
      <x:c r="D265" s="25" t="str">
        <x:v>Bilinirlik / İzlenme / Trafik</x:v>
      </x:c>
      <x:c r="E265" s="25" t="str">
        <x:v>Marka / Kurumsal</x:v>
      </x:c>
      <x:c r="F265" s="25" t="str">
        <x:v>Doruk Hastaneleri - SİNA ÖZEL Sağlık Hizmetleri A.ş</x:v>
      </x:c>
      <x:c r="G265" s="25" t="str">
        <x:v>TRY</x:v>
      </x:c>
      <x:c r="H265" s="25" t="str">
        <x:v>ÖSS-TSS - marka bilinirliği</x:v>
      </x:c>
      <x:c r="I265" s="25" t="str">
        <x:v>​120246924981440399</x:v>
      </x:c>
      <x:c r="J265" s="25" t="str">
        <x:v>ACTIVE</x:v>
      </x:c>
      <x:c r="K265" s="25" t="str">
        <x:v>ÖSS-TSS - genel kitle - bilinirlik - Kopya</x:v>
      </x:c>
      <x:c r="L265" s="25" t="str">
        <x:v>​120247116824090399</x:v>
      </x:c>
      <x:c r="M265" s="25" t="str">
        <x:v>ACTIVE</x:v>
      </x:c>
      <x:c r="N265" s="25" t="str">
        <x:v>REACH</x:v>
      </x:c>
      <x:c r="O265" s="27" t="n">
        <x:v>0</x:v>
      </x:c>
      <x:c r="P265" s="27" t="n">
        <x:v>0</x:v>
      </x:c>
      <x:c r="Q265" s="27" t="n">
        <x:v>1000</x:v>
      </x:c>
      <x:c r="R265" s="27" t="n">
        <x:v>0</x:v>
      </x:c>
      <x:c r="S265" s="27" t="n">
        <x:v>22697.97</x:v>
      </x:c>
      <x:c r="T265" s="28" t="n">
        <x:v>2468958</x:v>
      </x:c>
      <x:c r="U265" s="28" t="n">
        <x:v>959075</x:v>
      </x:c>
      <x:c r="V265" s="28" t="n">
        <x:v>2453</x:v>
      </x:c>
      <x:c r="W265" s="28" t="n">
        <x:v>0</x:v>
      </x:c>
      <x:c r="X265" s="28" t="n">
        <x:v>0</x:v>
      </x:c>
      <x:c r="Y265" s="28" t="n">
        <x:v>0</x:v>
      </x:c>
      <x:c r="Z265" s="28" t="n">
        <x:v>5</x:v>
      </x:c>
      <x:c r="AA265" s="28" t="n">
        <x:v>117441</x:v>
      </x:c>
    </x:row>
    <x:row r="266">
      <x:c r="A266" s="25" t="str">
        <x:v>Ağustos 2026</x:v>
      </x:c>
      <x:c r="B266" s="25" t="str">
        <x:v>Yerli</x:v>
      </x:c>
      <x:c r="C266" s="25" t="str">
        <x:v>Türkçe</x:v>
      </x:c>
      <x:c r="D266" s="25" t="str">
        <x:v>Bilinirlik / İzlenme / Trafik</x:v>
      </x:c>
      <x:c r="E266" s="25" t="str">
        <x:v>Marka / Kurumsal</x:v>
      </x:c>
      <x:c r="F266" s="25" t="str">
        <x:v>Doruk Hastaneleri - SİNA ÖZEL Sağlık Hizmetleri A.ş</x:v>
      </x:c>
      <x:c r="G266" s="25" t="str">
        <x:v>TRY</x:v>
      </x:c>
      <x:c r="H266" s="25" t="str">
        <x:v>ÖSS-TSS - marka bilinirliği</x:v>
      </x:c>
      <x:c r="I266" s="25" t="str">
        <x:v>​120246924981440399</x:v>
      </x:c>
      <x:c r="J266" s="25" t="str">
        <x:v>ACTIVE</x:v>
      </x:c>
      <x:c r="K266" s="25" t="str">
        <x:v>ÖSS-TSS - genel kitle - bilinirlik - Kopya</x:v>
      </x:c>
      <x:c r="L266" s="25" t="str">
        <x:v>​120247116824090399</x:v>
      </x:c>
      <x:c r="M266" s="25" t="str">
        <x:v>ACTIVE</x:v>
      </x:c>
      <x:c r="N266" s="25" t="str">
        <x:v>REACH</x:v>
      </x:c>
      <x:c r="O266" s="27" t="n">
        <x:v>0</x:v>
      </x:c>
      <x:c r="P266" s="27" t="n">
        <x:v>0</x:v>
      </x:c>
      <x:c r="Q266" s="27" t="n">
        <x:v>1000</x:v>
      </x:c>
      <x:c r="R266" s="27" t="n">
        <x:v>0</x:v>
      </x:c>
      <x:c r="S266" s="27" t="n">
        <x:v>4955.29</x:v>
      </x:c>
      <x:c r="T266" s="28" t="n">
        <x:v>505339</x:v>
      </x:c>
      <x:c r="U266" s="28" t="n">
        <x:v>408731</x:v>
      </x:c>
      <x:c r="V266" s="28" t="n">
        <x:v>511</x:v>
      </x:c>
      <x:c r="W266" s="28" t="n">
        <x:v>0</x:v>
      </x:c>
      <x:c r="X266" s="28" t="n">
        <x:v>0</x:v>
      </x:c>
      <x:c r="Y266" s="28" t="n">
        <x:v>0</x:v>
      </x:c>
      <x:c r="Z266" s="28" t="n">
        <x:v>0</x:v>
      </x:c>
      <x:c r="AA266" s="28" t="n">
        <x:v>24699</x:v>
      </x:c>
    </x:row>
    <x:row r="267">
      <x:c r="A267" s="25" t="str">
        <x:v>Temmuz 2026</x:v>
      </x:c>
      <x:c r="B267" s="25" t="str">
        <x:v>Yerli</x:v>
      </x:c>
      <x:c r="C267" s="25" t="str">
        <x:v>Türkçe</x:v>
      </x:c>
      <x:c r="D267" s="25" t="str">
        <x:v>Bilinirlik / İzlenme / Trafik</x:v>
      </x:c>
      <x:c r="E267" s="25" t="str">
        <x:v>Marka / Kurumsal</x:v>
      </x:c>
      <x:c r="F267" s="25" t="str">
        <x:v>Doruk Hastaneleri - SİNA ÖZEL Sağlık Hizmetleri A.ş</x:v>
      </x:c>
      <x:c r="G267" s="25" t="str">
        <x:v>TRY</x:v>
      </x:c>
      <x:c r="H267" s="25" t="str">
        <x:v>ÖSS-TSS - marka bilinirliği</x:v>
      </x:c>
      <x:c r="I267" s="25" t="str">
        <x:v>​120246924981440399</x:v>
      </x:c>
      <x:c r="J267" s="25" t="str">
        <x:v>ACTIVE</x:v>
      </x:c>
      <x:c r="K267" s="25" t="str">
        <x:v>ÖSS-TSS - özel kitle - bilinirlik - tss hedef kitle - Kopya</x:v>
      </x:c>
      <x:c r="L267" s="25" t="str">
        <x:v>​120247116843900399</x:v>
      </x:c>
      <x:c r="M267" s="25" t="str">
        <x:v>ACTIVE</x:v>
      </x:c>
      <x:c r="N267" s="25" t="str">
        <x:v>REACH</x:v>
      </x:c>
      <x:c r="O267" s="27" t="n">
        <x:v>0</x:v>
      </x:c>
      <x:c r="P267" s="27" t="n">
        <x:v>0</x:v>
      </x:c>
      <x:c r="Q267" s="27" t="n">
        <x:v>1000</x:v>
      </x:c>
      <x:c r="R267" s="27" t="n">
        <x:v>0</x:v>
      </x:c>
      <x:c r="S267" s="27" t="n">
        <x:v>20527.75</x:v>
      </x:c>
      <x:c r="T267" s="28" t="n">
        <x:v>857380</x:v>
      </x:c>
      <x:c r="U267" s="28" t="n">
        <x:v>81514</x:v>
      </x:c>
      <x:c r="V267" s="28" t="n">
        <x:v>949</x:v>
      </x:c>
      <x:c r="W267" s="28" t="n">
        <x:v>0</x:v>
      </x:c>
      <x:c r="X267" s="28" t="n">
        <x:v>0</x:v>
      </x:c>
      <x:c r="Y267" s="28" t="n">
        <x:v>0</x:v>
      </x:c>
      <x:c r="Z267" s="28" t="n">
        <x:v>7</x:v>
      </x:c>
      <x:c r="AA267" s="28" t="n">
        <x:v>40978</x:v>
      </x:c>
    </x:row>
    <x:row r="268">
      <x:c r="A268" s="25" t="str">
        <x:v>Ağustos 2026</x:v>
      </x:c>
      <x:c r="B268" s="25" t="str">
        <x:v>Yerli</x:v>
      </x:c>
      <x:c r="C268" s="25" t="str">
        <x:v>Türkçe</x:v>
      </x:c>
      <x:c r="D268" s="25" t="str">
        <x:v>Bilinirlik / İzlenme / Trafik</x:v>
      </x:c>
      <x:c r="E268" s="25" t="str">
        <x:v>Marka / Kurumsal</x:v>
      </x:c>
      <x:c r="F268" s="25" t="str">
        <x:v>Doruk Hastaneleri - SİNA ÖZEL Sağlık Hizmetleri A.ş</x:v>
      </x:c>
      <x:c r="G268" s="25" t="str">
        <x:v>TRY</x:v>
      </x:c>
      <x:c r="H268" s="25" t="str">
        <x:v>ÖSS-TSS - marka bilinirliği</x:v>
      </x:c>
      <x:c r="I268" s="25" t="str">
        <x:v>​120246924981440399</x:v>
      </x:c>
      <x:c r="J268" s="25" t="str">
        <x:v>ACTIVE</x:v>
      </x:c>
      <x:c r="K268" s="25" t="str">
        <x:v>ÖSS-TSS - özel kitle - bilinirlik - tss hedef kitle - Kopya</x:v>
      </x:c>
      <x:c r="L268" s="25" t="str">
        <x:v>​120247116843900399</x:v>
      </x:c>
      <x:c r="M268" s="25" t="str">
        <x:v>ACTIVE</x:v>
      </x:c>
      <x:c r="N268" s="25" t="str">
        <x:v>REACH</x:v>
      </x:c>
      <x:c r="O268" s="27" t="n">
        <x:v>0</x:v>
      </x:c>
      <x:c r="P268" s="27" t="n">
        <x:v>0</x:v>
      </x:c>
      <x:c r="Q268" s="27" t="n">
        <x:v>1000</x:v>
      </x:c>
      <x:c r="R268" s="27" t="n">
        <x:v>0</x:v>
      </x:c>
      <x:c r="S268" s="27" t="n">
        <x:v>4735.19</x:v>
      </x:c>
      <x:c r="T268" s="28" t="n">
        <x:v>149355</x:v>
      </x:c>
      <x:c r="U268" s="28" t="n">
        <x:v>65770</x:v>
      </x:c>
      <x:c r="V268" s="28" t="n">
        <x:v>159</x:v>
      </x:c>
      <x:c r="W268" s="28" t="n">
        <x:v>0</x:v>
      </x:c>
      <x:c r="X268" s="28" t="n">
        <x:v>0</x:v>
      </x:c>
      <x:c r="Y268" s="28" t="n">
        <x:v>0</x:v>
      </x:c>
      <x:c r="Z268" s="28" t="n">
        <x:v>1</x:v>
      </x:c>
      <x:c r="AA268" s="28" t="n">
        <x:v>7756</x:v>
      </x:c>
    </x:row>
    <x:row r="269">
      <x:c r="A269" s="25" t="str">
        <x:v>Temmuz 2026</x:v>
      </x:c>
      <x:c r="B269" s="25" t="str">
        <x:v>Yerli</x:v>
      </x:c>
      <x:c r="C269" s="25" t="str">
        <x:v>Türkçe</x:v>
      </x:c>
      <x:c r="D269" s="25" t="str">
        <x:v>Bilinirlik / İzlenme / Trafik</x:v>
      </x:c>
      <x:c r="E269" s="25" t="str">
        <x:v>Medikal Estetik / Plastik Cerrahi</x:v>
      </x:c>
      <x:c r="F269" s="25" t="str">
        <x:v>Doruk Hastaneleri - SİNA ÖZEL Sağlık Hizmetleri A.ş</x:v>
      </x:c>
      <x:c r="G269" s="25" t="str">
        <x:v>TRY</x:v>
      </x:c>
      <x:c r="H269" s="25" t="str">
        <x:v>Gönderi: "👃 Rinoplasti Ameliyatı Nedir? Yumuşak Doku Neden..."</x:v>
      </x:c>
      <x:c r="I269" s="25" t="str">
        <x:v>​120255739080510399</x:v>
      </x:c>
      <x:c r="J269" s="25" t="str">
        <x:v>ACTIVE</x:v>
      </x:c>
      <x:c r="K269" s="25" t="str">
        <x:v>Gönderi: "👃 Rinoplasti Ameliyatı Nedir? Yumuşak Doku Neden..."</x:v>
      </x:c>
      <x:c r="L269" s="25" t="str">
        <x:v>​120255739081510399</x:v>
      </x:c>
      <x:c r="M269" s="25" t="str">
        <x:v>ACTIVE</x:v>
      </x:c>
      <x:c r="N269" s="25" t="str">
        <x:v>PROFILE_AND_PAGE_ENGAGEMENT</x:v>
      </x:c>
      <x:c r="O269" s="27" t="n">
        <x:v>1000</x:v>
      </x:c>
      <x:c r="P269" s="27" t="n">
        <x:v>0</x:v>
      </x:c>
      <x:c r="Q269" s="27" t="n">
        <x:v>0</x:v>
      </x:c>
      <x:c r="R269" s="27" t="n">
        <x:v>0</x:v>
      </x:c>
      <x:c r="S269" s="27" t="n">
        <x:v>5763.11</x:v>
      </x:c>
      <x:c r="T269" s="28" t="n">
        <x:v>84104</x:v>
      </x:c>
      <x:c r="U269" s="28" t="n">
        <x:v>49005</x:v>
      </x:c>
      <x:c r="V269" s="28" t="n">
        <x:v>4008</x:v>
      </x:c>
      <x:c r="W269" s="28" t="n">
        <x:v>0</x:v>
      </x:c>
      <x:c r="X269" s="28" t="n">
        <x:v>0</x:v>
      </x:c>
      <x:c r="Y269" s="28" t="n">
        <x:v>0</x:v>
      </x:c>
      <x:c r="Z269" s="28" t="n">
        <x:v>3</x:v>
      </x:c>
      <x:c r="AA269" s="28" t="n">
        <x:v>24367</x:v>
      </x:c>
    </x:row>
    <x:row r="270">
      <x:c r="A270" s="25" t="str">
        <x:v>Ağustos 2026</x:v>
      </x:c>
      <x:c r="B270" s="25" t="str">
        <x:v>Yerli</x:v>
      </x:c>
      <x:c r="C270" s="25" t="str">
        <x:v>Türkçe</x:v>
      </x:c>
      <x:c r="D270" s="25" t="str">
        <x:v>Bilinirlik / İzlenme / Trafik</x:v>
      </x:c>
      <x:c r="E270" s="25" t="str">
        <x:v>Medikal Estetik / Plastik Cerrahi</x:v>
      </x:c>
      <x:c r="F270" s="25" t="str">
        <x:v>Doruk Hastaneleri - SİNA ÖZEL Sağlık Hizmetleri A.ş</x:v>
      </x:c>
      <x:c r="G270" s="25" t="str">
        <x:v>TRY</x:v>
      </x:c>
      <x:c r="H270" s="25" t="str">
        <x:v>Gönderi: "👃 Rinoplasti Ameliyatı Nedir? Yumuşak Doku Neden..."</x:v>
      </x:c>
      <x:c r="I270" s="25" t="str">
        <x:v>​120255739080510399</x:v>
      </x:c>
      <x:c r="J270" s="25" t="str">
        <x:v>ACTIVE</x:v>
      </x:c>
      <x:c r="K270" s="25" t="str">
        <x:v>Gönderi: "👃 Rinoplasti Ameliyatı Nedir? Yumuşak Doku Neden..."</x:v>
      </x:c>
      <x:c r="L270" s="25" t="str">
        <x:v>​120255739081510399</x:v>
      </x:c>
      <x:c r="M270" s="25" t="str">
        <x:v>ACTIVE</x:v>
      </x:c>
      <x:c r="N270" s="25" t="str">
        <x:v>PROFILE_AND_PAGE_ENGAGEMENT</x:v>
      </x:c>
      <x:c r="O270" s="27" t="n">
        <x:v>1000</x:v>
      </x:c>
      <x:c r="P270" s="27" t="n">
        <x:v>0</x:v>
      </x:c>
      <x:c r="Q270" s="27" t="n">
        <x:v>0</x:v>
      </x:c>
      <x:c r="R270" s="27" t="n">
        <x:v>0</x:v>
      </x:c>
      <x:c r="S270" s="27" t="n">
        <x:v>4871.13</x:v>
      </x:c>
      <x:c r="T270" s="28" t="n">
        <x:v>83041</x:v>
      </x:c>
      <x:c r="U270" s="28" t="n">
        <x:v>60995</x:v>
      </x:c>
      <x:c r="V270" s="28" t="n">
        <x:v>2766</x:v>
      </x:c>
      <x:c r="W270" s="28" t="n">
        <x:v>0</x:v>
      </x:c>
      <x:c r="X270" s="28" t="n">
        <x:v>0</x:v>
      </x:c>
      <x:c r="Y270" s="28" t="n">
        <x:v>0</x:v>
      </x:c>
      <x:c r="Z270" s="28" t="n">
        <x:v>2</x:v>
      </x:c>
      <x:c r="AA270" s="28" t="n">
        <x:v>23505</x:v>
      </x:c>
    </x:row>
    <x:row r="271">
      <x:c r="A271" s="25" t="str">
        <x:v>Temmuz 2026</x:v>
      </x:c>
      <x:c r="B271" s="25" t="str">
        <x:v>Yerli</x:v>
      </x:c>
      <x:c r="C271" s="25" t="str">
        <x:v>Türkçe</x:v>
      </x:c>
      <x:c r="D271" s="25" t="str">
        <x:v>Bilinirlik / İzlenme / Trafik</x:v>
      </x:c>
      <x:c r="E271" s="25" t="str">
        <x:v>Medikal Estetik / Plastik Cerrahi</x:v>
      </x:c>
      <x:c r="F271" s="25" t="str">
        <x:v>Doruk Hastaneleri - SİNA ÖZEL Sağlık Hizmetleri A.ş</x:v>
      </x:c>
      <x:c r="G271" s="25" t="str">
        <x:v>TRY</x:v>
      </x:c>
      <x:c r="H271" s="25" t="str">
        <x:v>Instagram gönderisi: 👃 Rinoplasti Ameliyatı...</x:v>
      </x:c>
      <x:c r="I271" s="25" t="str">
        <x:v>​120255739163090399</x:v>
      </x:c>
      <x:c r="J271" s="25" t="str">
        <x:v>ACTIVE</x:v>
      </x:c>
      <x:c r="K271" s="25" t="str">
        <x:v>Instagram gönderisi: 👃 Rinoplasti Ameliyatı...</x:v>
      </x:c>
      <x:c r="L271" s="25" t="str">
        <x:v>​120255739163830399</x:v>
      </x:c>
      <x:c r="M271" s="25" t="str">
        <x:v>ACTIVE</x:v>
      </x:c>
      <x:c r="N271" s="25" t="str">
        <x:v>VISIT_INSTAGRAM_PROFILE</x:v>
      </x:c>
      <x:c r="O271" s="27" t="n">
        <x:v>1000</x:v>
      </x:c>
      <x:c r="P271" s="27" t="n">
        <x:v>0</x:v>
      </x:c>
      <x:c r="Q271" s="27" t="n">
        <x:v>0</x:v>
      </x:c>
      <x:c r="R271" s="27" t="n">
        <x:v>0</x:v>
      </x:c>
      <x:c r="S271" s="27" t="n">
        <x:v>5953.86</x:v>
      </x:c>
      <x:c r="T271" s="28" t="n">
        <x:v>100275</x:v>
      </x:c>
      <x:c r="U271" s="28" t="n">
        <x:v>69479</x:v>
      </x:c>
      <x:c r="V271" s="28" t="n">
        <x:v>3556</x:v>
      </x:c>
      <x:c r="W271" s="28" t="n">
        <x:v>0</x:v>
      </x:c>
      <x:c r="X271" s="28" t="n">
        <x:v>0</x:v>
      </x:c>
      <x:c r="Y271" s="28" t="n">
        <x:v>0</x:v>
      </x:c>
      <x:c r="Z271" s="28" t="n">
        <x:v>3</x:v>
      </x:c>
      <x:c r="AA271" s="28" t="n">
        <x:v>34567</x:v>
      </x:c>
    </x:row>
    <x:row r="272">
      <x:c r="A272" s="25" t="str">
        <x:v>Ağustos 2026</x:v>
      </x:c>
      <x:c r="B272" s="25" t="str">
        <x:v>Yerli</x:v>
      </x:c>
      <x:c r="C272" s="25" t="str">
        <x:v>Türkçe</x:v>
      </x:c>
      <x:c r="D272" s="25" t="str">
        <x:v>Bilinirlik / İzlenme / Trafik</x:v>
      </x:c>
      <x:c r="E272" s="25" t="str">
        <x:v>Medikal Estetik / Plastik Cerrahi</x:v>
      </x:c>
      <x:c r="F272" s="25" t="str">
        <x:v>Doruk Hastaneleri - SİNA ÖZEL Sağlık Hizmetleri A.ş</x:v>
      </x:c>
      <x:c r="G272" s="25" t="str">
        <x:v>TRY</x:v>
      </x:c>
      <x:c r="H272" s="25" t="str">
        <x:v>Instagram gönderisi: 👃 Rinoplasti Ameliyatı...</x:v>
      </x:c>
      <x:c r="I272" s="25" t="str">
        <x:v>​120255739163090399</x:v>
      </x:c>
      <x:c r="J272" s="25" t="str">
        <x:v>ACTIVE</x:v>
      </x:c>
      <x:c r="K272" s="25" t="str">
        <x:v>Instagram gönderisi: 👃 Rinoplasti Ameliyatı...</x:v>
      </x:c>
      <x:c r="L272" s="25" t="str">
        <x:v>​120255739163830399</x:v>
      </x:c>
      <x:c r="M272" s="25" t="str">
        <x:v>ACTIVE</x:v>
      </x:c>
      <x:c r="N272" s="25" t="str">
        <x:v>VISIT_INSTAGRAM_PROFILE</x:v>
      </x:c>
      <x:c r="O272" s="27" t="n">
        <x:v>1000</x:v>
      </x:c>
      <x:c r="P272" s="27" t="n">
        <x:v>0</x:v>
      </x:c>
      <x:c r="Q272" s="27" t="n">
        <x:v>0</x:v>
      </x:c>
      <x:c r="R272" s="27" t="n">
        <x:v>0</x:v>
      </x:c>
      <x:c r="S272" s="27" t="n">
        <x:v>3977.04</x:v>
      </x:c>
      <x:c r="T272" s="28" t="n">
        <x:v>69994</x:v>
      </x:c>
      <x:c r="U272" s="28" t="n">
        <x:v>56830</x:v>
      </x:c>
      <x:c r="V272" s="28" t="n">
        <x:v>2022</x:v>
      </x:c>
      <x:c r="W272" s="28" t="n">
        <x:v>0</x:v>
      </x:c>
      <x:c r="X272" s="28" t="n">
        <x:v>0</x:v>
      </x:c>
      <x:c r="Y272" s="28" t="n">
        <x:v>0</x:v>
      </x:c>
      <x:c r="Z272" s="28" t="n">
        <x:v>1</x:v>
      </x:c>
      <x:c r="AA272" s="28" t="n">
        <x:v>24255</x:v>
      </x:c>
    </x:row>
    <x:row r="273">
      <x:c r="A273" s="25" t="str">
        <x:v>Temmuz 2026</x:v>
      </x:c>
      <x:c r="B273" s="25" t="str">
        <x:v>Yerli</x:v>
      </x:c>
      <x:c r="C273" s="25" t="str">
        <x:v>Türkçe</x:v>
      </x:c>
      <x:c r="D273" s="25" t="str">
        <x:v>Bilinirlik / İzlenme / Trafik</x:v>
      </x:c>
      <x:c r="E273" s="25" t="str">
        <x:v>Medikal Estetik / Plastik Cerrahi</x:v>
      </x:c>
      <x:c r="F273" s="25" t="str">
        <x:v>Doruk Hastaneleri - SİNA ÖZEL Sağlık Hizmetleri A.ş</x:v>
      </x:c>
      <x:c r="G273" s="25" t="str">
        <x:v>TRY</x:v>
      </x:c>
      <x:c r="H273" s="25" t="str">
        <x:v>Instagram gönderisi: Medikal estetik alanındaki...</x:v>
      </x:c>
      <x:c r="I273" s="25" t="str">
        <x:v>​120252323141170399</x:v>
      </x:c>
      <x:c r="J273" s="25" t="str">
        <x:v>ACTIVE</x:v>
      </x:c>
      <x:c r="K273" s="25" t="str">
        <x:v>Instagram gönderisi: Medikal estetik alanındaki...</x:v>
      </x:c>
      <x:c r="L273" s="25" t="str">
        <x:v>​120252323142470399</x:v>
      </x:c>
      <x:c r="M273" s="25" t="str">
        <x:v>ACTIVE</x:v>
      </x:c>
      <x:c r="N273" s="25" t="str">
        <x:v>VISIT_INSTAGRAM_PROFILE</x:v>
      </x:c>
      <x:c r="O273" s="27" t="n">
        <x:v>500</x:v>
      </x:c>
      <x:c r="P273" s="27" t="n">
        <x:v>0</x:v>
      </x:c>
      <x:c r="Q273" s="27" t="n">
        <x:v>0</x:v>
      </x:c>
      <x:c r="R273" s="27" t="n">
        <x:v>0</x:v>
      </x:c>
      <x:c r="S273" s="27" t="n">
        <x:v>10694.54</x:v>
      </x:c>
      <x:c r="T273" s="28" t="n">
        <x:v>177959</x:v>
      </x:c>
      <x:c r="U273" s="28" t="n">
        <x:v>94209</x:v>
      </x:c>
      <x:c r="V273" s="28" t="n">
        <x:v>2661</x:v>
      </x:c>
      <x:c r="W273" s="28" t="n">
        <x:v>0</x:v>
      </x:c>
      <x:c r="X273" s="28" t="n">
        <x:v>0</x:v>
      </x:c>
      <x:c r="Y273" s="28" t="n">
        <x:v>0</x:v>
      </x:c>
      <x:c r="Z273" s="28" t="n">
        <x:v>3</x:v>
      </x:c>
      <x:c r="AA273" s="28" t="n">
        <x:v>49042</x:v>
      </x:c>
    </x:row>
    <x:row r="274">
      <x:c r="A274" s="25" t="str">
        <x:v>Ağustos 2026</x:v>
      </x:c>
      <x:c r="B274" s="25" t="str">
        <x:v>Yerli</x:v>
      </x:c>
      <x:c r="C274" s="25" t="str">
        <x:v>Türkçe</x:v>
      </x:c>
      <x:c r="D274" s="25" t="str">
        <x:v>Bilinirlik / İzlenme / Trafik</x:v>
      </x:c>
      <x:c r="E274" s="25" t="str">
        <x:v>Medikal Estetik / Plastik Cerrahi</x:v>
      </x:c>
      <x:c r="F274" s="25" t="str">
        <x:v>Doruk Hastaneleri - SİNA ÖZEL Sağlık Hizmetleri A.ş</x:v>
      </x:c>
      <x:c r="G274" s="25" t="str">
        <x:v>TRY</x:v>
      </x:c>
      <x:c r="H274" s="25" t="str">
        <x:v>Instagram gönderisi: Medikal estetik alanındaki...</x:v>
      </x:c>
      <x:c r="I274" s="25" t="str">
        <x:v>​120252323141170399</x:v>
      </x:c>
      <x:c r="J274" s="25" t="str">
        <x:v>ACTIVE</x:v>
      </x:c>
      <x:c r="K274" s="25" t="str">
        <x:v>Instagram gönderisi: Medikal estetik alanındaki...</x:v>
      </x:c>
      <x:c r="L274" s="25" t="str">
        <x:v>​120252323142470399</x:v>
      </x:c>
      <x:c r="M274" s="25" t="str">
        <x:v>ACTIVE</x:v>
      </x:c>
      <x:c r="N274" s="25" t="str">
        <x:v>VISIT_INSTAGRAM_PROFILE</x:v>
      </x:c>
      <x:c r="O274" s="27" t="n">
        <x:v>500</x:v>
      </x:c>
      <x:c r="P274" s="27" t="n">
        <x:v>0</x:v>
      </x:c>
      <x:c r="Q274" s="27" t="n">
        <x:v>0</x:v>
      </x:c>
      <x:c r="R274" s="27" t="n">
        <x:v>0</x:v>
      </x:c>
      <x:c r="S274" s="27" t="n">
        <x:v>2253.4</x:v>
      </x:c>
      <x:c r="T274" s="28" t="n">
        <x:v>37754</x:v>
      </x:c>
      <x:c r="U274" s="28" t="n">
        <x:v>30185</x:v>
      </x:c>
      <x:c r="V274" s="28" t="n">
        <x:v>549</x:v>
      </x:c>
      <x:c r="W274" s="28" t="n">
        <x:v>0</x:v>
      </x:c>
      <x:c r="X274" s="28" t="n">
        <x:v>0</x:v>
      </x:c>
      <x:c r="Y274" s="28" t="n">
        <x:v>0</x:v>
      </x:c>
      <x:c r="Z274" s="28" t="n">
        <x:v>1</x:v>
      </x:c>
      <x:c r="AA274" s="28" t="n">
        <x:v>10073</x:v>
      </x:c>
    </x:row>
    <x:row r="275">
      <x:c r="A275" s="25" t="str">
        <x:v>Temmuz 2026</x:v>
      </x:c>
      <x:c r="B275" s="25" t="str">
        <x:v>Yerli</x:v>
      </x:c>
      <x:c r="C275" s="25" t="str">
        <x:v>Türkçe</x:v>
      </x:c>
      <x:c r="D275" s="25" t="str">
        <x:v>Bilinirlik / İzlenme / Trafik</x:v>
      </x:c>
      <x:c r="E275" s="25" t="str">
        <x:v>Onkoloji</x:v>
      </x:c>
      <x:c r="F275" s="25" t="str">
        <x:v>Doruk Hastaneleri - SİNA ÖZEL Sağlık Hizmetleri A.ş</x:v>
      </x:c>
      <x:c r="G275" s="25" t="str">
        <x:v>TRY</x:v>
      </x:c>
      <x:c r="H275" s="25" t="str">
        <x:v>Instagram gönderisi: 🎗️ Kanser Tanısı Fizik...</x:v>
      </x:c>
      <x:c r="I275" s="25" t="str">
        <x:v>​120255739336980399</x:v>
      </x:c>
      <x:c r="J275" s="25" t="str">
        <x:v>ACTIVE</x:v>
      </x:c>
      <x:c r="K275" s="25" t="str">
        <x:v>Instagram gönderisi: 🎗️ Kanser Tanısı Fizik...</x:v>
      </x:c>
      <x:c r="L275" s="25" t="str">
        <x:v>​120255739337190399</x:v>
      </x:c>
      <x:c r="M275" s="25" t="str">
        <x:v>ACTIVE</x:v>
      </x:c>
      <x:c r="N275" s="25" t="str">
        <x:v>VISIT_INSTAGRAM_PROFILE</x:v>
      </x:c>
      <x:c r="O275" s="27" t="n">
        <x:v>1000</x:v>
      </x:c>
      <x:c r="P275" s="27" t="n">
        <x:v>0</x:v>
      </x:c>
      <x:c r="Q275" s="27" t="n">
        <x:v>0</x:v>
      </x:c>
      <x:c r="R275" s="27" t="n">
        <x:v>0</x:v>
      </x:c>
      <x:c r="S275" s="27" t="n">
        <x:v>4298.33</x:v>
      </x:c>
      <x:c r="T275" s="28" t="n">
        <x:v>39128</x:v>
      </x:c>
      <x:c r="U275" s="28" t="n">
        <x:v>29951</x:v>
      </x:c>
      <x:c r="V275" s="28" t="n">
        <x:v>662</x:v>
      </x:c>
      <x:c r="W275" s="28" t="n">
        <x:v>0</x:v>
      </x:c>
      <x:c r="X275" s="28" t="n">
        <x:v>0</x:v>
      </x:c>
      <x:c r="Y275" s="28" t="n">
        <x:v>0</x:v>
      </x:c>
      <x:c r="Z275" s="28" t="n">
        <x:v>5</x:v>
      </x:c>
      <x:c r="AA275" s="28" t="n">
        <x:v>12029</x:v>
      </x:c>
    </x:row>
    <x:row r="276">
      <x:c r="A276" s="25" t="str">
        <x:v>Ağustos 2026</x:v>
      </x:c>
      <x:c r="B276" s="25" t="str">
        <x:v>Yerli</x:v>
      </x:c>
      <x:c r="C276" s="25" t="str">
        <x:v>Türkçe</x:v>
      </x:c>
      <x:c r="D276" s="25" t="str">
        <x:v>Bilinirlik / İzlenme / Trafik</x:v>
      </x:c>
      <x:c r="E276" s="25" t="str">
        <x:v>Onkoloji</x:v>
      </x:c>
      <x:c r="F276" s="25" t="str">
        <x:v>Doruk Hastaneleri - SİNA ÖZEL Sağlık Hizmetleri A.ş</x:v>
      </x:c>
      <x:c r="G276" s="25" t="str">
        <x:v>TRY</x:v>
      </x:c>
      <x:c r="H276" s="25" t="str">
        <x:v>Instagram gönderisi: 🎗️ Kanser Tanısı Fizik...</x:v>
      </x:c>
      <x:c r="I276" s="25" t="str">
        <x:v>​120255739336980399</x:v>
      </x:c>
      <x:c r="J276" s="25" t="str">
        <x:v>ACTIVE</x:v>
      </x:c>
      <x:c r="K276" s="25" t="str">
        <x:v>Instagram gönderisi: 🎗️ Kanser Tanısı Fizik...</x:v>
      </x:c>
      <x:c r="L276" s="25" t="str">
        <x:v>​120255739337190399</x:v>
      </x:c>
      <x:c r="M276" s="25" t="str">
        <x:v>ACTIVE</x:v>
      </x:c>
      <x:c r="N276" s="25" t="str">
        <x:v>VISIT_INSTAGRAM_PROFILE</x:v>
      </x:c>
      <x:c r="O276" s="27" t="n">
        <x:v>1000</x:v>
      </x:c>
      <x:c r="P276" s="27" t="n">
        <x:v>0</x:v>
      </x:c>
      <x:c r="Q276" s="27" t="n">
        <x:v>0</x:v>
      </x:c>
      <x:c r="R276" s="27" t="n">
        <x:v>0</x:v>
      </x:c>
      <x:c r="S276" s="27" t="n">
        <x:v>0</x:v>
      </x:c>
      <x:c r="T276" s="28" t="n">
        <x:v>0</x:v>
      </x:c>
      <x:c r="U276" s="28" t="n">
        <x:v>0</x:v>
      </x:c>
      <x:c r="V276" s="28" t="n">
        <x:v>0</x:v>
      </x:c>
      <x:c r="W276" s="28" t="n">
        <x:v>0</x:v>
      </x:c>
      <x:c r="X276" s="28" t="n">
        <x:v>0</x:v>
      </x:c>
      <x:c r="Y276" s="28" t="n">
        <x:v>0</x:v>
      </x:c>
      <x:c r="Z276" s="28" t="n">
        <x:v>0</x:v>
      </x:c>
      <x:c r="AA276" s="28" t="n">
        <x:v>0</x:v>
      </x:c>
    </x:row>
    <x:row r="277">
      <x:c r="A277" s="25" t="str">
        <x:v>Temmuz 2026</x:v>
      </x:c>
      <x:c r="B277" s="25" t="str">
        <x:v>Yerli</x:v>
      </x:c>
      <x:c r="C277" s="25" t="str">
        <x:v>Türkçe</x:v>
      </x:c>
      <x:c r="D277" s="25" t="str">
        <x:v>Lead</x:v>
      </x:c>
      <x:c r="E277" s="25" t="str">
        <x:v>Check-up</x:v>
      </x:c>
      <x:c r="F277" s="25" t="str">
        <x:v>Doruk Hastaneleri - SİNA ÖZEL Sağlık Hizmetleri A.ş</x:v>
      </x:c>
      <x:c r="G277" s="25" t="str">
        <x:v>TRY</x:v>
      </x:c>
      <x:c r="H277" s="25" t="str">
        <x:v>Checkup - genel - lead</x:v>
      </x:c>
      <x:c r="I277" s="25" t="str">
        <x:v>​120220089108220399</x:v>
      </x:c>
      <x:c r="J277" s="25" t="str">
        <x:v>ACTIVE</x:v>
      </x:c>
      <x:c r="K277" s="25" t="str">
        <x:v>erkek-checkup-dinamik</x:v>
      </x:c>
      <x:c r="L277" s="25" t="str">
        <x:v>​120236672077380399</x:v>
      </x:c>
      <x:c r="M277" s="25" t="str">
        <x:v>ACTIVE</x:v>
      </x:c>
      <x:c r="N277" s="25" t="str">
        <x:v>QUALITY_LEAD</x:v>
      </x:c>
      <x:c r="O277" s="27" t="n">
        <x:v>0</x:v>
      </x:c>
      <x:c r="P277" s="27" t="n">
        <x:v>0</x:v>
      </x:c>
      <x:c r="Q277" s="27" t="n">
        <x:v>500</x:v>
      </x:c>
      <x:c r="R277" s="27" t="n">
        <x:v>0</x:v>
      </x:c>
      <x:c r="S277" s="27" t="n">
        <x:v>10954.37</x:v>
      </x:c>
      <x:c r="T277" s="28" t="n">
        <x:v>106368</x:v>
      </x:c>
      <x:c r="U277" s="28" t="n">
        <x:v>41306</x:v>
      </x:c>
      <x:c r="V277" s="28" t="n">
        <x:v>912</x:v>
      </x:c>
      <x:c r="W277" s="28" t="n">
        <x:v>38</x:v>
      </x:c>
      <x:c r="X277" s="28" t="n">
        <x:v>0</x:v>
      </x:c>
      <x:c r="Y277" s="28" t="n">
        <x:v>38</x:v>
      </x:c>
      <x:c r="Z277" s="28" t="n">
        <x:v>38</x:v>
      </x:c>
      <x:c r="AA277" s="28" t="n">
        <x:v>12928</x:v>
      </x:c>
    </x:row>
    <x:row r="278">
      <x:c r="A278" s="25" t="str">
        <x:v>Ağustos 2026</x:v>
      </x:c>
      <x:c r="B278" s="25" t="str">
        <x:v>Yerli</x:v>
      </x:c>
      <x:c r="C278" s="25" t="str">
        <x:v>Türkçe</x:v>
      </x:c>
      <x:c r="D278" s="25" t="str">
        <x:v>Lead</x:v>
      </x:c>
      <x:c r="E278" s="25" t="str">
        <x:v>Check-up</x:v>
      </x:c>
      <x:c r="F278" s="25" t="str">
        <x:v>Doruk Hastaneleri - SİNA ÖZEL Sağlık Hizmetleri A.ş</x:v>
      </x:c>
      <x:c r="G278" s="25" t="str">
        <x:v>TRY</x:v>
      </x:c>
      <x:c r="H278" s="25" t="str">
        <x:v>Checkup - genel - lead</x:v>
      </x:c>
      <x:c r="I278" s="25" t="str">
        <x:v>​120220089108220399</x:v>
      </x:c>
      <x:c r="J278" s="25" t="str">
        <x:v>ACTIVE</x:v>
      </x:c>
      <x:c r="K278" s="25" t="str">
        <x:v>erkek-checkup-dinamik</x:v>
      </x:c>
      <x:c r="L278" s="25" t="str">
        <x:v>​120236672077380399</x:v>
      </x:c>
      <x:c r="M278" s="25" t="str">
        <x:v>ACTIVE</x:v>
      </x:c>
      <x:c r="N278" s="25" t="str">
        <x:v>QUALITY_LEAD</x:v>
      </x:c>
      <x:c r="O278" s="27" t="n">
        <x:v>0</x:v>
      </x:c>
      <x:c r="P278" s="27" t="n">
        <x:v>0</x:v>
      </x:c>
      <x:c r="Q278" s="27" t="n">
        <x:v>500</x:v>
      </x:c>
      <x:c r="R278" s="27" t="n">
        <x:v>0</x:v>
      </x:c>
      <x:c r="S278" s="27" t="n">
        <x:v>2319.52</x:v>
      </x:c>
      <x:c r="T278" s="28" t="n">
        <x:v>18509</x:v>
      </x:c>
      <x:c r="U278" s="28" t="n">
        <x:v>11864</x:v>
      </x:c>
      <x:c r="V278" s="28" t="n">
        <x:v>171</x:v>
      </x:c>
      <x:c r="W278" s="28" t="n">
        <x:v>7</x:v>
      </x:c>
      <x:c r="X278" s="28" t="n">
        <x:v>0</x:v>
      </x:c>
      <x:c r="Y278" s="28" t="n">
        <x:v>7</x:v>
      </x:c>
      <x:c r="Z278" s="28" t="n">
        <x:v>6</x:v>
      </x:c>
      <x:c r="AA278" s="28" t="n">
        <x:v>2839</x:v>
      </x:c>
    </x:row>
    <x:row r="279">
      <x:c r="A279" s="25" t="str">
        <x:v>Temmuz 2026</x:v>
      </x:c>
      <x:c r="B279" s="25" t="str">
        <x:v>Yerli</x:v>
      </x:c>
      <x:c r="C279" s="25" t="str">
        <x:v>Türkçe</x:v>
      </x:c>
      <x:c r="D279" s="25" t="str">
        <x:v>Lead</x:v>
      </x:c>
      <x:c r="E279" s="25" t="str">
        <x:v>Check-up</x:v>
      </x:c>
      <x:c r="F279" s="25" t="str">
        <x:v>Doruk Hastaneleri - SİNA ÖZEL Sağlık Hizmetleri A.ş</x:v>
      </x:c>
      <x:c r="G279" s="25" t="str">
        <x:v>TRY</x:v>
      </x:c>
      <x:c r="H279" s="25" t="str">
        <x:v>Checkup - genel - lead</x:v>
      </x:c>
      <x:c r="I279" s="25" t="str">
        <x:v>​120220089108220399</x:v>
      </x:c>
      <x:c r="J279" s="25" t="str">
        <x:v>ACTIVE</x:v>
      </x:c>
      <x:c r="K279" s="25" t="str">
        <x:v>kadın-checkup-dinamik</x:v>
      </x:c>
      <x:c r="L279" s="25" t="str">
        <x:v>​120236678758120399</x:v>
      </x:c>
      <x:c r="M279" s="25" t="str">
        <x:v>ACTIVE</x:v>
      </x:c>
      <x:c r="N279" s="25" t="str">
        <x:v>QUALITY_LEAD</x:v>
      </x:c>
      <x:c r="O279" s="27" t="n">
        <x:v>0</x:v>
      </x:c>
      <x:c r="P279" s="27" t="n">
        <x:v>0</x:v>
      </x:c>
      <x:c r="Q279" s="27" t="n">
        <x:v>500</x:v>
      </x:c>
      <x:c r="R279" s="27" t="n">
        <x:v>0</x:v>
      </x:c>
      <x:c r="S279" s="27" t="n">
        <x:v>10578.22</x:v>
      </x:c>
      <x:c r="T279" s="28" t="n">
        <x:v>75590</x:v>
      </x:c>
      <x:c r="U279" s="28" t="n">
        <x:v>32454</x:v>
      </x:c>
      <x:c r="V279" s="28" t="n">
        <x:v>680</x:v>
      </x:c>
      <x:c r="W279" s="28" t="n">
        <x:v>23</x:v>
      </x:c>
      <x:c r="X279" s="28" t="n">
        <x:v>0</x:v>
      </x:c>
      <x:c r="Y279" s="28" t="n">
        <x:v>23</x:v>
      </x:c>
      <x:c r="Z279" s="28" t="n">
        <x:v>22</x:v>
      </x:c>
      <x:c r="AA279" s="28" t="n">
        <x:v>9834</x:v>
      </x:c>
    </x:row>
    <x:row r="280">
      <x:c r="A280" s="25" t="str">
        <x:v>Ağustos 2026</x:v>
      </x:c>
      <x:c r="B280" s="25" t="str">
        <x:v>Yerli</x:v>
      </x:c>
      <x:c r="C280" s="25" t="str">
        <x:v>Türkçe</x:v>
      </x:c>
      <x:c r="D280" s="25" t="str">
        <x:v>Lead</x:v>
      </x:c>
      <x:c r="E280" s="25" t="str">
        <x:v>Check-up</x:v>
      </x:c>
      <x:c r="F280" s="25" t="str">
        <x:v>Doruk Hastaneleri - SİNA ÖZEL Sağlık Hizmetleri A.ş</x:v>
      </x:c>
      <x:c r="G280" s="25" t="str">
        <x:v>TRY</x:v>
      </x:c>
      <x:c r="H280" s="25" t="str">
        <x:v>Checkup - genel - lead</x:v>
      </x:c>
      <x:c r="I280" s="25" t="str">
        <x:v>​120220089108220399</x:v>
      </x:c>
      <x:c r="J280" s="25" t="str">
        <x:v>ACTIVE</x:v>
      </x:c>
      <x:c r="K280" s="25" t="str">
        <x:v>kadın-checkup-dinamik</x:v>
      </x:c>
      <x:c r="L280" s="25" t="str">
        <x:v>​120236678758120399</x:v>
      </x:c>
      <x:c r="M280" s="25" t="str">
        <x:v>ACTIVE</x:v>
      </x:c>
      <x:c r="N280" s="25" t="str">
        <x:v>QUALITY_LEAD</x:v>
      </x:c>
      <x:c r="O280" s="27" t="n">
        <x:v>0</x:v>
      </x:c>
      <x:c r="P280" s="27" t="n">
        <x:v>0</x:v>
      </x:c>
      <x:c r="Q280" s="27" t="n">
        <x:v>500</x:v>
      </x:c>
      <x:c r="R280" s="27" t="n">
        <x:v>0</x:v>
      </x:c>
      <x:c r="S280" s="27" t="n">
        <x:v>2310.76</x:v>
      </x:c>
      <x:c r="T280" s="28" t="n">
        <x:v>17655</x:v>
      </x:c>
      <x:c r="U280" s="28" t="n">
        <x:v>11220</x:v>
      </x:c>
      <x:c r="V280" s="28" t="n">
        <x:v>112</x:v>
      </x:c>
      <x:c r="W280" s="28" t="n">
        <x:v>6</x:v>
      </x:c>
      <x:c r="X280" s="28" t="n">
        <x:v>0</x:v>
      </x:c>
      <x:c r="Y280" s="28" t="n">
        <x:v>6</x:v>
      </x:c>
      <x:c r="Z280" s="28" t="n">
        <x:v>3</x:v>
      </x:c>
      <x:c r="AA280" s="28" t="n">
        <x:v>1992</x:v>
      </x:c>
    </x:row>
    <x:row r="281">
      <x:c r="A281" s="25" t="str">
        <x:v>Temmuz 2026</x:v>
      </x:c>
      <x:c r="B281" s="25" t="str">
        <x:v>Yerli</x:v>
      </x:c>
      <x:c r="C281" s="25" t="str">
        <x:v>Türkçe</x:v>
      </x:c>
      <x:c r="D281" s="25" t="str">
        <x:v>Lead</x:v>
      </x:c>
      <x:c r="E281" s="25" t="str">
        <x:v>Check-up</x:v>
      </x:c>
      <x:c r="F281" s="25" t="str">
        <x:v>Doruk Hastaneleri - SİNA ÖZEL Sağlık Hizmetleri A.ş</x:v>
      </x:c>
      <x:c r="G281" s="25" t="str">
        <x:v>TRY</x:v>
      </x:c>
      <x:c r="H281" s="25" t="str">
        <x:v>Prostat Checkup - lead</x:v>
      </x:c>
      <x:c r="I281" s="25" t="str">
        <x:v>​120251414264130399</x:v>
      </x:c>
      <x:c r="J281" s="25" t="str">
        <x:v>ACTIVE</x:v>
      </x:c>
      <x:c r="K281" s="25" t="str">
        <x:v>genel set</x:v>
      </x:c>
      <x:c r="L281" s="25" t="str">
        <x:v>​120251414264220399</x:v>
      </x:c>
      <x:c r="M281" s="25" t="str">
        <x:v>ACTIVE</x:v>
      </x:c>
      <x:c r="N281" s="25" t="str">
        <x:v>LEAD_GENERATION</x:v>
      </x:c>
      <x:c r="O281" s="27" t="n">
        <x:v>0</x:v>
      </x:c>
      <x:c r="P281" s="27" t="n">
        <x:v>0</x:v>
      </x:c>
      <x:c r="Q281" s="27" t="n">
        <x:v>500</x:v>
      </x:c>
      <x:c r="R281" s="27" t="n">
        <x:v>0</x:v>
      </x:c>
      <x:c r="S281" s="27" t="n">
        <x:v>11901.29</x:v>
      </x:c>
      <x:c r="T281" s="28" t="n">
        <x:v>185864</x:v>
      </x:c>
      <x:c r="U281" s="28" t="n">
        <x:v>54308</x:v>
      </x:c>
      <x:c r="V281" s="28" t="n">
        <x:v>4380</x:v>
      </x:c>
      <x:c r="W281" s="28" t="n">
        <x:v>81</x:v>
      </x:c>
      <x:c r="X281" s="28" t="n">
        <x:v>0</x:v>
      </x:c>
      <x:c r="Y281" s="28" t="n">
        <x:v>81</x:v>
      </x:c>
      <x:c r="Z281" s="28" t="n">
        <x:v>79</x:v>
      </x:c>
      <x:c r="AA281" s="28" t="n">
        <x:v>7776</x:v>
      </x:c>
    </x:row>
    <x:row r="282">
      <x:c r="A282" s="25" t="str">
        <x:v>Ağustos 2026</x:v>
      </x:c>
      <x:c r="B282" s="25" t="str">
        <x:v>Yerli</x:v>
      </x:c>
      <x:c r="C282" s="25" t="str">
        <x:v>Türkçe</x:v>
      </x:c>
      <x:c r="D282" s="25" t="str">
        <x:v>Lead</x:v>
      </x:c>
      <x:c r="E282" s="25" t="str">
        <x:v>Check-up</x:v>
      </x:c>
      <x:c r="F282" s="25" t="str">
        <x:v>Doruk Hastaneleri - SİNA ÖZEL Sağlık Hizmetleri A.ş</x:v>
      </x:c>
      <x:c r="G282" s="25" t="str">
        <x:v>TRY</x:v>
      </x:c>
      <x:c r="H282" s="25" t="str">
        <x:v>Prostat Checkup - lead</x:v>
      </x:c>
      <x:c r="I282" s="25" t="str">
        <x:v>​120251414264130399</x:v>
      </x:c>
      <x:c r="J282" s="25" t="str">
        <x:v>ACTIVE</x:v>
      </x:c>
      <x:c r="K282" s="25" t="str">
        <x:v>genel set</x:v>
      </x:c>
      <x:c r="L282" s="25" t="str">
        <x:v>​120251414264220399</x:v>
      </x:c>
      <x:c r="M282" s="25" t="str">
        <x:v>ACTIVE</x:v>
      </x:c>
      <x:c r="N282" s="25" t="str">
        <x:v>LEAD_GENERATION</x:v>
      </x:c>
      <x:c r="O282" s="27" t="n">
        <x:v>0</x:v>
      </x:c>
      <x:c r="P282" s="27" t="n">
        <x:v>0</x:v>
      </x:c>
      <x:c r="Q282" s="27" t="n">
        <x:v>500</x:v>
      </x:c>
      <x:c r="R282" s="27" t="n">
        <x:v>0</x:v>
      </x:c>
      <x:c r="S282" s="27" t="n">
        <x:v>2634.22</x:v>
      </x:c>
      <x:c r="T282" s="28" t="n">
        <x:v>33754</x:v>
      </x:c>
      <x:c r="U282" s="28" t="n">
        <x:v>22739</x:v>
      </x:c>
      <x:c r="V282" s="28" t="n">
        <x:v>889</x:v>
      </x:c>
      <x:c r="W282" s="28" t="n">
        <x:v>24</x:v>
      </x:c>
      <x:c r="X282" s="28" t="n">
        <x:v>0</x:v>
      </x:c>
      <x:c r="Y282" s="28" t="n">
        <x:v>24</x:v>
      </x:c>
      <x:c r="Z282" s="28" t="n">
        <x:v>24</x:v>
      </x:c>
      <x:c r="AA282" s="28" t="n">
        <x:v>1250</x:v>
      </x:c>
    </x:row>
    <x:row r="283">
      <x:c r="A283" s="25" t="str">
        <x:v>Temmuz 2026</x:v>
      </x:c>
      <x:c r="B283" s="25" t="str">
        <x:v>Yerli</x:v>
      </x:c>
      <x:c r="C283" s="25" t="str">
        <x:v>Türkçe</x:v>
      </x:c>
      <x:c r="D283" s="25" t="str">
        <x:v>Lead</x:v>
      </x:c>
      <x:c r="E283" s="25" t="str">
        <x:v>Diğer / Sınıflandırılacak</x:v>
      </x:c>
      <x:c r="F283" s="25" t="str">
        <x:v>Doruk Hastaneleri - SİNA ÖZEL Sağlık Hizmetleri A.ş</x:v>
      </x:c>
      <x:c r="G283" s="25" t="str">
        <x:v>TRY</x:v>
      </x:c>
      <x:c r="H283" s="25" t="str">
        <x:v>Baş Dönmesi ve Denge Ünitesi / lead</x:v>
      </x:c>
      <x:c r="I283" s="25" t="str">
        <x:v>​120214167265870399</x:v>
      </x:c>
      <x:c r="J283" s="25" t="str">
        <x:v>ACTIVE</x:v>
      </x:c>
      <x:c r="K283" s="25" t="str">
        <x:v>broad</x:v>
      </x:c>
      <x:c r="L283" s="25" t="str">
        <x:v>​120214167266120399</x:v>
      </x:c>
      <x:c r="M283" s="25" t="str">
        <x:v>ACTIVE</x:v>
      </x:c>
      <x:c r="N283" s="25" t="str">
        <x:v>QUALITY_LEAD</x:v>
      </x:c>
      <x:c r="O283" s="27" t="n">
        <x:v>0</x:v>
      </x:c>
      <x:c r="P283" s="27" t="n">
        <x:v>0</x:v>
      </x:c>
      <x:c r="Q283" s="27" t="n">
        <x:v>350</x:v>
      </x:c>
      <x:c r="R283" s="27" t="n">
        <x:v>0</x:v>
      </x:c>
      <x:c r="S283" s="27" t="n">
        <x:v>8115.76</x:v>
      </x:c>
      <x:c r="T283" s="28" t="n">
        <x:v>159572</x:v>
      </x:c>
      <x:c r="U283" s="28" t="n">
        <x:v>64491</x:v>
      </x:c>
      <x:c r="V283" s="28" t="n">
        <x:v>2083</x:v>
      </x:c>
      <x:c r="W283" s="28" t="n">
        <x:v>68</x:v>
      </x:c>
      <x:c r="X283" s="28" t="n">
        <x:v>0</x:v>
      </x:c>
      <x:c r="Y283" s="28" t="n">
        <x:v>68</x:v>
      </x:c>
      <x:c r="Z283" s="28" t="n">
        <x:v>62</x:v>
      </x:c>
      <x:c r="AA283" s="28" t="n">
        <x:v>13932</x:v>
      </x:c>
    </x:row>
    <x:row r="284">
      <x:c r="A284" s="25" t="str">
        <x:v>Ağustos 2026</x:v>
      </x:c>
      <x:c r="B284" s="25" t="str">
        <x:v>Yerli</x:v>
      </x:c>
      <x:c r="C284" s="25" t="str">
        <x:v>Türkçe</x:v>
      </x:c>
      <x:c r="D284" s="25" t="str">
        <x:v>Lead</x:v>
      </x:c>
      <x:c r="E284" s="25" t="str">
        <x:v>Diğer / Sınıflandırılacak</x:v>
      </x:c>
      <x:c r="F284" s="25" t="str">
        <x:v>Doruk Hastaneleri - SİNA ÖZEL Sağlık Hizmetleri A.ş</x:v>
      </x:c>
      <x:c r="G284" s="25" t="str">
        <x:v>TRY</x:v>
      </x:c>
      <x:c r="H284" s="25" t="str">
        <x:v>Baş Dönmesi ve Denge Ünitesi / lead</x:v>
      </x:c>
      <x:c r="I284" s="25" t="str">
        <x:v>​120214167265870399</x:v>
      </x:c>
      <x:c r="J284" s="25" t="str">
        <x:v>ACTIVE</x:v>
      </x:c>
      <x:c r="K284" s="25" t="str">
        <x:v>broad</x:v>
      </x:c>
      <x:c r="L284" s="25" t="str">
        <x:v>​120214167266120399</x:v>
      </x:c>
      <x:c r="M284" s="25" t="str">
        <x:v>ACTIVE</x:v>
      </x:c>
      <x:c r="N284" s="25" t="str">
        <x:v>QUALITY_LEAD</x:v>
      </x:c>
      <x:c r="O284" s="27" t="n">
        <x:v>0</x:v>
      </x:c>
      <x:c r="P284" s="27" t="n">
        <x:v>0</x:v>
      </x:c>
      <x:c r="Q284" s="27" t="n">
        <x:v>350</x:v>
      </x:c>
      <x:c r="R284" s="27" t="n">
        <x:v>0</x:v>
      </x:c>
      <x:c r="S284" s="27" t="n">
        <x:v>1664.84</x:v>
      </x:c>
      <x:c r="T284" s="28" t="n">
        <x:v>30168</x:v>
      </x:c>
      <x:c r="U284" s="28" t="n">
        <x:v>20715</x:v>
      </x:c>
      <x:c r="V284" s="28" t="n">
        <x:v>403</x:v>
      </x:c>
      <x:c r="W284" s="28" t="n">
        <x:v>11</x:v>
      </x:c>
      <x:c r="X284" s="28" t="n">
        <x:v>0</x:v>
      </x:c>
      <x:c r="Y284" s="28" t="n">
        <x:v>11</x:v>
      </x:c>
      <x:c r="Z284" s="28" t="n">
        <x:v>11</x:v>
      </x:c>
      <x:c r="AA284" s="28" t="n">
        <x:v>2941</x:v>
      </x:c>
    </x:row>
    <x:row r="285">
      <x:c r="A285" s="25" t="str">
        <x:v>Temmuz 2026</x:v>
      </x:c>
      <x:c r="B285" s="25" t="str">
        <x:v>Yerli</x:v>
      </x:c>
      <x:c r="C285" s="25" t="str">
        <x:v>Türkçe</x:v>
      </x:c>
      <x:c r="D285" s="25" t="str">
        <x:v>Lead</x:v>
      </x:c>
      <x:c r="E285" s="25" t="str">
        <x:v>Doğum Kampanyası</x:v>
      </x:c>
      <x:c r="F285" s="25" t="str">
        <x:v>Doruk Hastaneleri - SİNA ÖZEL Sağlık Hizmetleri A.ş</x:v>
      </x:c>
      <x:c r="G285" s="25" t="str">
        <x:v>TRY</x:v>
      </x:c>
      <x:c r="H285" s="25" t="str">
        <x:v>Gebe-Doğum Form Kampanyası</x:v>
      </x:c>
      <x:c r="I285" s="25" t="str">
        <x:v>​120242415465180399</x:v>
      </x:c>
      <x:c r="J285" s="25" t="str">
        <x:v>ACTIVE</x:v>
      </x:c>
      <x:c r="K285" s="25" t="str">
        <x:v>Doğum Kreatifleri</x:v>
      </x:c>
      <x:c r="L285" s="25" t="str">
        <x:v>​120242460508720399</x:v>
      </x:c>
      <x:c r="M285" s="25" t="str">
        <x:v>ACTIVE</x:v>
      </x:c>
      <x:c r="N285" s="25" t="str">
        <x:v>LEAD_GENERATION</x:v>
      </x:c>
      <x:c r="O285" s="27" t="n">
        <x:v>0</x:v>
      </x:c>
      <x:c r="P285" s="27" t="n">
        <x:v>0</x:v>
      </x:c>
      <x:c r="Q285" s="27" t="n">
        <x:v>3000</x:v>
      </x:c>
      <x:c r="R285" s="27" t="n">
        <x:v>0</x:v>
      </x:c>
      <x:c r="S285" s="27" t="n">
        <x:v>69158.28</x:v>
      </x:c>
      <x:c r="T285" s="28" t="n">
        <x:v>831819</x:v>
      </x:c>
      <x:c r="U285" s="28" t="n">
        <x:v>147310</x:v>
      </x:c>
      <x:c r="V285" s="28" t="n">
        <x:v>4129</x:v>
      </x:c>
      <x:c r="W285" s="28" t="n">
        <x:v>181</x:v>
      </x:c>
      <x:c r="X285" s="28" t="n">
        <x:v>0</x:v>
      </x:c>
      <x:c r="Y285" s="28" t="n">
        <x:v>181</x:v>
      </x:c>
      <x:c r="Z285" s="28" t="n">
        <x:v>15</x:v>
      </x:c>
      <x:c r="AA285" s="28" t="n">
        <x:v>0</x:v>
      </x:c>
    </x:row>
    <x:row r="286">
      <x:c r="A286" s="25" t="str">
        <x:v>Ağustos 2026</x:v>
      </x:c>
      <x:c r="B286" s="25" t="str">
        <x:v>Yerli</x:v>
      </x:c>
      <x:c r="C286" s="25" t="str">
        <x:v>Türkçe</x:v>
      </x:c>
      <x:c r="D286" s="25" t="str">
        <x:v>Lead</x:v>
      </x:c>
      <x:c r="E286" s="25" t="str">
        <x:v>Doğum Kampanyası</x:v>
      </x:c>
      <x:c r="F286" s="25" t="str">
        <x:v>Doruk Hastaneleri - SİNA ÖZEL Sağlık Hizmetleri A.ş</x:v>
      </x:c>
      <x:c r="G286" s="25" t="str">
        <x:v>TRY</x:v>
      </x:c>
      <x:c r="H286" s="25" t="str">
        <x:v>Gebe-Doğum Form Kampanyası</x:v>
      </x:c>
      <x:c r="I286" s="25" t="str">
        <x:v>​120242415465180399</x:v>
      </x:c>
      <x:c r="J286" s="25" t="str">
        <x:v>ACTIVE</x:v>
      </x:c>
      <x:c r="K286" s="25" t="str">
        <x:v>Doğum Kreatifleri</x:v>
      </x:c>
      <x:c r="L286" s="25" t="str">
        <x:v>​120242460508720399</x:v>
      </x:c>
      <x:c r="M286" s="25" t="str">
        <x:v>ACTIVE</x:v>
      </x:c>
      <x:c r="N286" s="25" t="str">
        <x:v>LEAD_GENERATION</x:v>
      </x:c>
      <x:c r="O286" s="27" t="n">
        <x:v>0</x:v>
      </x:c>
      <x:c r="P286" s="27" t="n">
        <x:v>0</x:v>
      </x:c>
      <x:c r="Q286" s="27" t="n">
        <x:v>3000</x:v>
      </x:c>
      <x:c r="R286" s="27" t="n">
        <x:v>0</x:v>
      </x:c>
      <x:c r="S286" s="27" t="n">
        <x:v>17077.27</x:v>
      </x:c>
      <x:c r="T286" s="28" t="n">
        <x:v>127311</x:v>
      </x:c>
      <x:c r="U286" s="28" t="n">
        <x:v>77878</x:v>
      </x:c>
      <x:c r="V286" s="28" t="n">
        <x:v>1018</x:v>
      </x:c>
      <x:c r="W286" s="28" t="n">
        <x:v>70</x:v>
      </x:c>
      <x:c r="X286" s="28" t="n">
        <x:v>0</x:v>
      </x:c>
      <x:c r="Y286" s="28" t="n">
        <x:v>70</x:v>
      </x:c>
      <x:c r="Z286" s="28" t="n">
        <x:v>1</x:v>
      </x:c>
      <x:c r="AA286" s="28" t="n">
        <x:v>0</x:v>
      </x:c>
    </x:row>
    <x:row r="287">
      <x:c r="A287" s="25" t="str">
        <x:v>Temmuz 2026</x:v>
      </x:c>
      <x:c r="B287" s="25" t="str">
        <x:v>Yerli</x:v>
      </x:c>
      <x:c r="C287" s="25" t="str">
        <x:v>Türkçe</x:v>
      </x:c>
      <x:c r="D287" s="25" t="str">
        <x:v>Lead</x:v>
      </x:c>
      <x:c r="E287" s="25" t="str">
        <x:v>Doğum Kampanyası</x:v>
      </x:c>
      <x:c r="F287" s="25" t="str">
        <x:v>Doruk Hastaneleri - SİNA ÖZEL Sağlık Hizmetleri A.ş</x:v>
      </x:c>
      <x:c r="G287" s="25" t="str">
        <x:v>TRY</x:v>
      </x:c>
      <x:c r="H287" s="25" t="str">
        <x:v>Gebe-Doğum Form Kampanyası</x:v>
      </x:c>
      <x:c r="I287" s="25" t="str">
        <x:v>​120242415465180399</x:v>
      </x:c>
      <x:c r="J287" s="25" t="str">
        <x:v>ACTIVE</x:v>
      </x:c>
      <x:c r="K287" s="25" t="str">
        <x:v>Gebe Okulu</x:v>
      </x:c>
      <x:c r="L287" s="25" t="str">
        <x:v>​120242415465170399</x:v>
      </x:c>
      <x:c r="M287" s="25" t="str">
        <x:v>ACTIVE</x:v>
      </x:c>
      <x:c r="N287" s="25" t="str">
        <x:v>LEAD_GENERATION</x:v>
      </x:c>
      <x:c r="O287" s="27" t="n">
        <x:v>0</x:v>
      </x:c>
      <x:c r="P287" s="27" t="n">
        <x:v>0</x:v>
      </x:c>
      <x:c r="Q287" s="27" t="n">
        <x:v>1500</x:v>
      </x:c>
      <x:c r="R287" s="27" t="n">
        <x:v>0</x:v>
      </x:c>
      <x:c r="S287" s="27" t="n">
        <x:v>35465.82</x:v>
      </x:c>
      <x:c r="T287" s="28" t="n">
        <x:v>408373</x:v>
      </x:c>
      <x:c r="U287" s="28" t="n">
        <x:v>52576</x:v>
      </x:c>
      <x:c r="V287" s="28" t="n">
        <x:v>1990</x:v>
      </x:c>
      <x:c r="W287" s="28" t="n">
        <x:v>116</x:v>
      </x:c>
      <x:c r="X287" s="28" t="n">
        <x:v>0</x:v>
      </x:c>
      <x:c r="Y287" s="28" t="n">
        <x:v>116</x:v>
      </x:c>
      <x:c r="Z287" s="28" t="n">
        <x:v>22</x:v>
      </x:c>
      <x:c r="AA287" s="28" t="n">
        <x:v>21097</x:v>
      </x:c>
    </x:row>
    <x:row r="288">
      <x:c r="A288" s="25" t="str">
        <x:v>Ağustos 2026</x:v>
      </x:c>
      <x:c r="B288" s="25" t="str">
        <x:v>Yerli</x:v>
      </x:c>
      <x:c r="C288" s="25" t="str">
        <x:v>Türkçe</x:v>
      </x:c>
      <x:c r="D288" s="25" t="str">
        <x:v>Lead</x:v>
      </x:c>
      <x:c r="E288" s="25" t="str">
        <x:v>Doğum Kampanyası</x:v>
      </x:c>
      <x:c r="F288" s="25" t="str">
        <x:v>Doruk Hastaneleri - SİNA ÖZEL Sağlık Hizmetleri A.ş</x:v>
      </x:c>
      <x:c r="G288" s="25" t="str">
        <x:v>TRY</x:v>
      </x:c>
      <x:c r="H288" s="25" t="str">
        <x:v>Gebe-Doğum Form Kampanyası</x:v>
      </x:c>
      <x:c r="I288" s="25" t="str">
        <x:v>​120242415465180399</x:v>
      </x:c>
      <x:c r="J288" s="25" t="str">
        <x:v>ACTIVE</x:v>
      </x:c>
      <x:c r="K288" s="25" t="str">
        <x:v>Gebe Okulu</x:v>
      </x:c>
      <x:c r="L288" s="25" t="str">
        <x:v>​120242415465170399</x:v>
      </x:c>
      <x:c r="M288" s="25" t="str">
        <x:v>ACTIVE</x:v>
      </x:c>
      <x:c r="N288" s="25" t="str">
        <x:v>LEAD_GENERATION</x:v>
      </x:c>
      <x:c r="O288" s="27" t="n">
        <x:v>0</x:v>
      </x:c>
      <x:c r="P288" s="27" t="n">
        <x:v>0</x:v>
      </x:c>
      <x:c r="Q288" s="27" t="n">
        <x:v>1500</x:v>
      </x:c>
      <x:c r="R288" s="27" t="n">
        <x:v>0</x:v>
      </x:c>
      <x:c r="S288" s="27" t="n">
        <x:v>7777.25</x:v>
      </x:c>
      <x:c r="T288" s="28" t="n">
        <x:v>88722</x:v>
      </x:c>
      <x:c r="U288" s="28" t="n">
        <x:v>33642</x:v>
      </x:c>
      <x:c r="V288" s="28" t="n">
        <x:v>446</x:v>
      </x:c>
      <x:c r="W288" s="28" t="n">
        <x:v>32</x:v>
      </x:c>
      <x:c r="X288" s="28" t="n">
        <x:v>0</x:v>
      </x:c>
      <x:c r="Y288" s="28" t="n">
        <x:v>32</x:v>
      </x:c>
      <x:c r="Z288" s="28" t="n">
        <x:v>1</x:v>
      </x:c>
      <x:c r="AA288" s="28" t="n">
        <x:v>5001</x:v>
      </x:c>
    </x:row>
    <x:row r="289">
      <x:c r="A289" s="25" t="str">
        <x:v>Temmuz 2026</x:v>
      </x:c>
      <x:c r="B289" s="25" t="str">
        <x:v>Yerli</x:v>
      </x:c>
      <x:c r="C289" s="25" t="str">
        <x:v>Türkçe</x:v>
      </x:c>
      <x:c r="D289" s="25" t="str">
        <x:v>Lead</x:v>
      </x:c>
      <x:c r="E289" s="25" t="str">
        <x:v>Doğum Kampanyası</x:v>
      </x:c>
      <x:c r="F289" s="25" t="str">
        <x:v>Doruk Hastaneleri - SİNA ÖZEL Sağlık Hizmetleri A.ş</x:v>
      </x:c>
      <x:c r="G289" s="25" t="str">
        <x:v>TRY</x:v>
      </x:c>
      <x:c r="H289" s="25" t="str">
        <x:v>Gebe-Doğum Form Kampanyası</x:v>
      </x:c>
      <x:c r="I289" s="25" t="str">
        <x:v>​120242415465180399</x:v>
      </x:c>
      <x:c r="J289" s="25" t="str">
        <x:v>ACTIVE</x:v>
      </x:c>
      <x:c r="K289" s="25" t="str">
        <x:v>Oda Süsleme</x:v>
      </x:c>
      <x:c r="L289" s="25" t="str">
        <x:v>​120242460981670399</x:v>
      </x:c>
      <x:c r="M289" s="25" t="str">
        <x:v>ACTIVE</x:v>
      </x:c>
      <x:c r="N289" s="25" t="str">
        <x:v>LEAD_GENERATION</x:v>
      </x:c>
      <x:c r="O289" s="27" t="n">
        <x:v>0</x:v>
      </x:c>
      <x:c r="P289" s="27" t="n">
        <x:v>0</x:v>
      </x:c>
      <x:c r="Q289" s="27" t="n">
        <x:v>2500</x:v>
      </x:c>
      <x:c r="R289" s="27" t="n">
        <x:v>0</x:v>
      </x:c>
      <x:c r="S289" s="27" t="n">
        <x:v>55506.46</x:v>
      </x:c>
      <x:c r="T289" s="28" t="n">
        <x:v>1039237</x:v>
      </x:c>
      <x:c r="U289" s="28" t="n">
        <x:v>325731</x:v>
      </x:c>
      <x:c r="V289" s="28" t="n">
        <x:v>4284</x:v>
      </x:c>
      <x:c r="W289" s="28" t="n">
        <x:v>172</x:v>
      </x:c>
      <x:c r="X289" s="28" t="n">
        <x:v>0</x:v>
      </x:c>
      <x:c r="Y289" s="28" t="n">
        <x:v>172</x:v>
      </x:c>
      <x:c r="Z289" s="28" t="n">
        <x:v>29</x:v>
      </x:c>
      <x:c r="AA289" s="28" t="n">
        <x:v>54089</x:v>
      </x:c>
    </x:row>
    <x:row r="290">
      <x:c r="A290" s="25" t="str">
        <x:v>Ağustos 2026</x:v>
      </x:c>
      <x:c r="B290" s="25" t="str">
        <x:v>Yerli</x:v>
      </x:c>
      <x:c r="C290" s="25" t="str">
        <x:v>Türkçe</x:v>
      </x:c>
      <x:c r="D290" s="25" t="str">
        <x:v>Lead</x:v>
      </x:c>
      <x:c r="E290" s="25" t="str">
        <x:v>Doğum Kampanyası</x:v>
      </x:c>
      <x:c r="F290" s="25" t="str">
        <x:v>Doruk Hastaneleri - SİNA ÖZEL Sağlık Hizmetleri A.ş</x:v>
      </x:c>
      <x:c r="G290" s="25" t="str">
        <x:v>TRY</x:v>
      </x:c>
      <x:c r="H290" s="25" t="str">
        <x:v>Gebe-Doğum Form Kampanyası</x:v>
      </x:c>
      <x:c r="I290" s="25" t="str">
        <x:v>​120242415465180399</x:v>
      </x:c>
      <x:c r="J290" s="25" t="str">
        <x:v>ACTIVE</x:v>
      </x:c>
      <x:c r="K290" s="25" t="str">
        <x:v>Oda Süsleme</x:v>
      </x:c>
      <x:c r="L290" s="25" t="str">
        <x:v>​120242460981670399</x:v>
      </x:c>
      <x:c r="M290" s="25" t="str">
        <x:v>ACTIVE</x:v>
      </x:c>
      <x:c r="N290" s="25" t="str">
        <x:v>LEAD_GENERATION</x:v>
      </x:c>
      <x:c r="O290" s="27" t="n">
        <x:v>0</x:v>
      </x:c>
      <x:c r="P290" s="27" t="n">
        <x:v>0</x:v>
      </x:c>
      <x:c r="Q290" s="27" t="n">
        <x:v>2500</x:v>
      </x:c>
      <x:c r="R290" s="27" t="n">
        <x:v>0</x:v>
      </x:c>
      <x:c r="S290" s="27" t="n">
        <x:v>11382.51</x:v>
      </x:c>
      <x:c r="T290" s="28" t="n">
        <x:v>211526</x:v>
      </x:c>
      <x:c r="U290" s="28" t="n">
        <x:v>111787</x:v>
      </x:c>
      <x:c r="V290" s="28" t="n">
        <x:v>876</x:v>
      </x:c>
      <x:c r="W290" s="28" t="n">
        <x:v>42</x:v>
      </x:c>
      <x:c r="X290" s="28" t="n">
        <x:v>0</x:v>
      </x:c>
      <x:c r="Y290" s="28" t="n">
        <x:v>42</x:v>
      </x:c>
      <x:c r="Z290" s="28" t="n">
        <x:v>6</x:v>
      </x:c>
      <x:c r="AA290" s="28" t="n">
        <x:v>11347</x:v>
      </x:c>
    </x:row>
    <x:row r="291">
      <x:c r="A291" s="25" t="str">
        <x:v>Temmuz 2026</x:v>
      </x:c>
      <x:c r="B291" s="25" t="str">
        <x:v>Yerli</x:v>
      </x:c>
      <x:c r="C291" s="25" t="str">
        <x:v>Türkçe</x:v>
      </x:c>
      <x:c r="D291" s="25" t="str">
        <x:v>Lead</x:v>
      </x:c>
      <x:c r="E291" s="25" t="str">
        <x:v>Fizik Tedavi / Rehabilitasyon</x:v>
      </x:c>
      <x:c r="F291" s="25" t="str">
        <x:v>Doruk Hastaneleri - SİNA ÖZEL Sağlık Hizmetleri A.ş</x:v>
      </x:c>
      <x:c r="G291" s="25" t="str">
        <x:v>TRY</x:v>
      </x:c>
      <x:c r="H291" s="25" t="str">
        <x:v>FTR Yatılı - lead</x:v>
      </x:c>
      <x:c r="I291" s="25" t="str">
        <x:v>​120246476228800399</x:v>
      </x:c>
      <x:c r="J291" s="25" t="str">
        <x:v>ACTIVE</x:v>
      </x:c>
      <x:c r="K291" s="25" t="str">
        <x:v>FTR Yatılı - lead - android</x:v>
      </x:c>
      <x:c r="L291" s="25" t="str">
        <x:v>​120246527191810399</x:v>
      </x:c>
      <x:c r="M291" s="25" t="str">
        <x:v>ACTIVE</x:v>
      </x:c>
      <x:c r="N291" s="25" t="str">
        <x:v>LEAD_GENERATION</x:v>
      </x:c>
      <x:c r="O291" s="27" t="n">
        <x:v>0</x:v>
      </x:c>
      <x:c r="P291" s="27" t="n">
        <x:v>0</x:v>
      </x:c>
      <x:c r="Q291" s="27" t="n">
        <x:v>1000</x:v>
      </x:c>
      <x:c r="R291" s="27" t="n">
        <x:v>0</x:v>
      </x:c>
      <x:c r="S291" s="27" t="n">
        <x:v>21946.67</x:v>
      </x:c>
      <x:c r="T291" s="28" t="n">
        <x:v>293609</x:v>
      </x:c>
      <x:c r="U291" s="28" t="n">
        <x:v>152859</x:v>
      </x:c>
      <x:c r="V291" s="28" t="n">
        <x:v>2142</x:v>
      </x:c>
      <x:c r="W291" s="28" t="n">
        <x:v>24</x:v>
      </x:c>
      <x:c r="X291" s="28" t="n">
        <x:v>0</x:v>
      </x:c>
      <x:c r="Y291" s="28" t="n">
        <x:v>24</x:v>
      </x:c>
      <x:c r="Z291" s="28" t="n">
        <x:v>4</x:v>
      </x:c>
      <x:c r="AA291" s="28" t="n">
        <x:v>49264</x:v>
      </x:c>
    </x:row>
    <x:row r="292">
      <x:c r="A292" s="25" t="str">
        <x:v>Ağustos 2026</x:v>
      </x:c>
      <x:c r="B292" s="25" t="str">
        <x:v>Yerli</x:v>
      </x:c>
      <x:c r="C292" s="25" t="str">
        <x:v>Türkçe</x:v>
      </x:c>
      <x:c r="D292" s="25" t="str">
        <x:v>Lead</x:v>
      </x:c>
      <x:c r="E292" s="25" t="str">
        <x:v>Fizik Tedavi / Rehabilitasyon</x:v>
      </x:c>
      <x:c r="F292" s="25" t="str">
        <x:v>Doruk Hastaneleri - SİNA ÖZEL Sağlık Hizmetleri A.ş</x:v>
      </x:c>
      <x:c r="G292" s="25" t="str">
        <x:v>TRY</x:v>
      </x:c>
      <x:c r="H292" s="25" t="str">
        <x:v>FTR Yatılı - lead</x:v>
      </x:c>
      <x:c r="I292" s="25" t="str">
        <x:v>​120246476228800399</x:v>
      </x:c>
      <x:c r="J292" s="25" t="str">
        <x:v>ACTIVE</x:v>
      </x:c>
      <x:c r="K292" s="25" t="str">
        <x:v>FTR Yatılı - lead - android</x:v>
      </x:c>
      <x:c r="L292" s="25" t="str">
        <x:v>​120246527191810399</x:v>
      </x:c>
      <x:c r="M292" s="25" t="str">
        <x:v>ACTIVE</x:v>
      </x:c>
      <x:c r="N292" s="25" t="str">
        <x:v>LEAD_GENERATION</x:v>
      </x:c>
      <x:c r="O292" s="27" t="n">
        <x:v>0</x:v>
      </x:c>
      <x:c r="P292" s="27" t="n">
        <x:v>0</x:v>
      </x:c>
      <x:c r="Q292" s="27" t="n">
        <x:v>1000</x:v>
      </x:c>
      <x:c r="R292" s="27" t="n">
        <x:v>0</x:v>
      </x:c>
      <x:c r="S292" s="27" t="n">
        <x:v>5253.35</x:v>
      </x:c>
      <x:c r="T292" s="28" t="n">
        <x:v>71385</x:v>
      </x:c>
      <x:c r="U292" s="28" t="n">
        <x:v>53941</x:v>
      </x:c>
      <x:c r="V292" s="28" t="n">
        <x:v>473</x:v>
      </x:c>
      <x:c r="W292" s="28" t="n">
        <x:v>6</x:v>
      </x:c>
      <x:c r="X292" s="28" t="n">
        <x:v>0</x:v>
      </x:c>
      <x:c r="Y292" s="28" t="n">
        <x:v>6</x:v>
      </x:c>
      <x:c r="Z292" s="28" t="n">
        <x:v>1</x:v>
      </x:c>
      <x:c r="AA292" s="28" t="n">
        <x:v>9916</x:v>
      </x:c>
    </x:row>
    <x:row r="293">
      <x:c r="A293" s="25" t="str">
        <x:v>Temmuz 2026</x:v>
      </x:c>
      <x:c r="B293" s="25" t="str">
        <x:v>Yerli</x:v>
      </x:c>
      <x:c r="C293" s="25" t="str">
        <x:v>Türkçe</x:v>
      </x:c>
      <x:c r="D293" s="25" t="str">
        <x:v>Lead</x:v>
      </x:c>
      <x:c r="E293" s="25" t="str">
        <x:v>Fizik Tedavi / Rehabilitasyon</x:v>
      </x:c>
      <x:c r="F293" s="25" t="str">
        <x:v>Doruk Hastaneleri - SİNA ÖZEL Sağlık Hizmetleri A.ş</x:v>
      </x:c>
      <x:c r="G293" s="25" t="str">
        <x:v>TRY</x:v>
      </x:c>
      <x:c r="H293" s="25" t="str">
        <x:v>FTR Yatılı - lead</x:v>
      </x:c>
      <x:c r="I293" s="25" t="str">
        <x:v>​120246476228800399</x:v>
      </x:c>
      <x:c r="J293" s="25" t="str">
        <x:v>ACTIVE</x:v>
      </x:c>
      <x:c r="K293" s="25" t="str">
        <x:v>FTR Yatılı - lead - ios</x:v>
      </x:c>
      <x:c r="L293" s="25" t="str">
        <x:v>​120246527115490399</x:v>
      </x:c>
      <x:c r="M293" s="25" t="str">
        <x:v>ACTIVE</x:v>
      </x:c>
      <x:c r="N293" s="25" t="str">
        <x:v>LEAD_GENERATION</x:v>
      </x:c>
      <x:c r="O293" s="27" t="n">
        <x:v>0</x:v>
      </x:c>
      <x:c r="P293" s="27" t="n">
        <x:v>0</x:v>
      </x:c>
      <x:c r="Q293" s="27" t="n">
        <x:v>3000</x:v>
      </x:c>
      <x:c r="R293" s="27" t="n">
        <x:v>0</x:v>
      </x:c>
      <x:c r="S293" s="27" t="n">
        <x:v>68722.53</x:v>
      </x:c>
      <x:c r="T293" s="28" t="n">
        <x:v>940449</x:v>
      </x:c>
      <x:c r="U293" s="28" t="n">
        <x:v>523780</x:v>
      </x:c>
      <x:c r="V293" s="28" t="n">
        <x:v>6113</x:v>
      </x:c>
      <x:c r="W293" s="28" t="n">
        <x:v>115</x:v>
      </x:c>
      <x:c r="X293" s="28" t="n">
        <x:v>0</x:v>
      </x:c>
      <x:c r="Y293" s="28" t="n">
        <x:v>115</x:v>
      </x:c>
      <x:c r="Z293" s="28" t="n">
        <x:v>25</x:v>
      </x:c>
      <x:c r="AA293" s="28" t="n">
        <x:v>158961</x:v>
      </x:c>
    </x:row>
    <x:row r="294">
      <x:c r="A294" s="25" t="str">
        <x:v>Ağustos 2026</x:v>
      </x:c>
      <x:c r="B294" s="25" t="str">
        <x:v>Yerli</x:v>
      </x:c>
      <x:c r="C294" s="25" t="str">
        <x:v>Türkçe</x:v>
      </x:c>
      <x:c r="D294" s="25" t="str">
        <x:v>Lead</x:v>
      </x:c>
      <x:c r="E294" s="25" t="str">
        <x:v>Fizik Tedavi / Rehabilitasyon</x:v>
      </x:c>
      <x:c r="F294" s="25" t="str">
        <x:v>Doruk Hastaneleri - SİNA ÖZEL Sağlık Hizmetleri A.ş</x:v>
      </x:c>
      <x:c r="G294" s="25" t="str">
        <x:v>TRY</x:v>
      </x:c>
      <x:c r="H294" s="25" t="str">
        <x:v>FTR Yatılı - lead</x:v>
      </x:c>
      <x:c r="I294" s="25" t="str">
        <x:v>​120246476228800399</x:v>
      </x:c>
      <x:c r="J294" s="25" t="str">
        <x:v>ACTIVE</x:v>
      </x:c>
      <x:c r="K294" s="25" t="str">
        <x:v>FTR Yatılı - lead - ios</x:v>
      </x:c>
      <x:c r="L294" s="25" t="str">
        <x:v>​120246527115490399</x:v>
      </x:c>
      <x:c r="M294" s="25" t="str">
        <x:v>ACTIVE</x:v>
      </x:c>
      <x:c r="N294" s="25" t="str">
        <x:v>LEAD_GENERATION</x:v>
      </x:c>
      <x:c r="O294" s="27" t="n">
        <x:v>0</x:v>
      </x:c>
      <x:c r="P294" s="27" t="n">
        <x:v>0</x:v>
      </x:c>
      <x:c r="Q294" s="27" t="n">
        <x:v>3000</x:v>
      </x:c>
      <x:c r="R294" s="27" t="n">
        <x:v>0</x:v>
      </x:c>
      <x:c r="S294" s="27" t="n">
        <x:v>15371.81</x:v>
      </x:c>
      <x:c r="T294" s="28" t="n">
        <x:v>194655</x:v>
      </x:c>
      <x:c r="U294" s="28" t="n">
        <x:v>161374</x:v>
      </x:c>
      <x:c r="V294" s="28" t="n">
        <x:v>1191</x:v>
      </x:c>
      <x:c r="W294" s="28" t="n">
        <x:v>18</x:v>
      </x:c>
      <x:c r="X294" s="28" t="n">
        <x:v>0</x:v>
      </x:c>
      <x:c r="Y294" s="28" t="n">
        <x:v>18</x:v>
      </x:c>
      <x:c r="Z294" s="28" t="n">
        <x:v>3</x:v>
      </x:c>
      <x:c r="AA294" s="28" t="n">
        <x:v>27309</x:v>
      </x:c>
    </x:row>
    <x:row r="295">
      <x:c r="A295" s="25" t="str">
        <x:v>Temmuz 2026</x:v>
      </x:c>
      <x:c r="B295" s="25" t="str">
        <x:v>Yerli</x:v>
      </x:c>
      <x:c r="C295" s="25" t="str">
        <x:v>Türkçe</x:v>
      </x:c>
      <x:c r="D295" s="25" t="str">
        <x:v>Lead</x:v>
      </x:c>
      <x:c r="E295" s="25" t="str">
        <x:v>İnsan Kaynakları</x:v>
      </x:c>
      <x:c r="F295" s="25" t="str">
        <x:v>Doruk Hastaneleri - SİNA ÖZEL Sağlık Hizmetleri A.ş</x:v>
      </x:c>
      <x:c r="G295" s="25" t="str">
        <x:v>TRY</x:v>
      </x:c>
      <x:c r="H295" s="25" t="str">
        <x:v>Hemşire İş Başvuru - lead</x:v>
      </x:c>
      <x:c r="I295" s="25" t="str">
        <x:v>​120246691590090399</x:v>
      </x:c>
      <x:c r="J295" s="25" t="str">
        <x:v>ACTIVE</x:v>
      </x:c>
      <x:c r="K295" s="25" t="str">
        <x:v>Hemşire İş Başvuru - lead</x:v>
      </x:c>
      <x:c r="L295" s="25" t="str">
        <x:v>​120246691590100399</x:v>
      </x:c>
      <x:c r="M295" s="25" t="str">
        <x:v>ACTIVE</x:v>
      </x:c>
      <x:c r="N295" s="25" t="str">
        <x:v>LEAD_GENERATION</x:v>
      </x:c>
      <x:c r="O295" s="27" t="n">
        <x:v>0</x:v>
      </x:c>
      <x:c r="P295" s="27" t="n">
        <x:v>0</x:v>
      </x:c>
      <x:c r="Q295" s="27" t="n">
        <x:v>1000</x:v>
      </x:c>
      <x:c r="R295" s="27" t="n">
        <x:v>0</x:v>
      </x:c>
      <x:c r="S295" s="27" t="n">
        <x:v>22618.18</x:v>
      </x:c>
      <x:c r="T295" s="28" t="n">
        <x:v>393471</x:v>
      </x:c>
      <x:c r="U295" s="28" t="n">
        <x:v>103597</x:v>
      </x:c>
      <x:c r="V295" s="28" t="n">
        <x:v>2646</x:v>
      </x:c>
      <x:c r="W295" s="28" t="n">
        <x:v>64</x:v>
      </x:c>
      <x:c r="X295" s="28" t="n">
        <x:v>0</x:v>
      </x:c>
      <x:c r="Y295" s="28" t="n">
        <x:v>64</x:v>
      </x:c>
      <x:c r="Z295" s="28" t="n">
        <x:v>60</x:v>
      </x:c>
      <x:c r="AA295" s="28" t="n">
        <x:v>0</x:v>
      </x:c>
    </x:row>
    <x:row r="296">
      <x:c r="A296" s="25" t="str">
        <x:v>Ağustos 2026</x:v>
      </x:c>
      <x:c r="B296" s="25" t="str">
        <x:v>Yerli</x:v>
      </x:c>
      <x:c r="C296" s="25" t="str">
        <x:v>Türkçe</x:v>
      </x:c>
      <x:c r="D296" s="25" t="str">
        <x:v>Lead</x:v>
      </x:c>
      <x:c r="E296" s="25" t="str">
        <x:v>İnsan Kaynakları</x:v>
      </x:c>
      <x:c r="F296" s="25" t="str">
        <x:v>Doruk Hastaneleri - SİNA ÖZEL Sağlık Hizmetleri A.ş</x:v>
      </x:c>
      <x:c r="G296" s="25" t="str">
        <x:v>TRY</x:v>
      </x:c>
      <x:c r="H296" s="25" t="str">
        <x:v>Hemşire İş Başvuru - lead</x:v>
      </x:c>
      <x:c r="I296" s="25" t="str">
        <x:v>​120246691590090399</x:v>
      </x:c>
      <x:c r="J296" s="25" t="str">
        <x:v>ACTIVE</x:v>
      </x:c>
      <x:c r="K296" s="25" t="str">
        <x:v>Hemşire İş Başvuru - lead</x:v>
      </x:c>
      <x:c r="L296" s="25" t="str">
        <x:v>​120246691590100399</x:v>
      </x:c>
      <x:c r="M296" s="25" t="str">
        <x:v>ACTIVE</x:v>
      </x:c>
      <x:c r="N296" s="25" t="str">
        <x:v>LEAD_GENERATION</x:v>
      </x:c>
      <x:c r="O296" s="27" t="n">
        <x:v>0</x:v>
      </x:c>
      <x:c r="P296" s="27" t="n">
        <x:v>0</x:v>
      </x:c>
      <x:c r="Q296" s="27" t="n">
        <x:v>1000</x:v>
      </x:c>
      <x:c r="R296" s="27" t="n">
        <x:v>0</x:v>
      </x:c>
      <x:c r="S296" s="27" t="n">
        <x:v>4948.45</x:v>
      </x:c>
      <x:c r="T296" s="28" t="n">
        <x:v>88236</x:v>
      </x:c>
      <x:c r="U296" s="28" t="n">
        <x:v>44851</x:v>
      </x:c>
      <x:c r="V296" s="28" t="n">
        <x:v>505</x:v>
      </x:c>
      <x:c r="W296" s="28" t="n">
        <x:v>13</x:v>
      </x:c>
      <x:c r="X296" s="28" t="n">
        <x:v>0</x:v>
      </x:c>
      <x:c r="Y296" s="28" t="n">
        <x:v>13</x:v>
      </x:c>
      <x:c r="Z296" s="28" t="n">
        <x:v>13</x:v>
      </x:c>
      <x:c r="AA296" s="28" t="n">
        <x:v>0</x:v>
      </x:c>
    </x:row>
    <x:row r="297">
      <x:c r="A297" s="25" t="str">
        <x:v>Temmuz 2026</x:v>
      </x:c>
      <x:c r="B297" s="25" t="str">
        <x:v>Yerli</x:v>
      </x:c>
      <x:c r="C297" s="25" t="str">
        <x:v>Türkçe</x:v>
      </x:c>
      <x:c r="D297" s="25" t="str">
        <x:v>Lead</x:v>
      </x:c>
      <x:c r="E297" s="25" t="str">
        <x:v>İnsan Kaynakları</x:v>
      </x:c>
      <x:c r="F297" s="25" t="str">
        <x:v>Doruk Hastaneleri - SİNA ÖZEL Sağlık Hizmetleri A.ş</x:v>
      </x:c>
      <x:c r="G297" s="25" t="str">
        <x:v>TRY</x:v>
      </x:c>
      <x:c r="H297" s="25" t="str">
        <x:v>Uzman Hekim Başvuru</x:v>
      </x:c>
      <x:c r="I297" s="25" t="str">
        <x:v>​120244050701710399</x:v>
      </x:c>
      <x:c r="J297" s="25" t="str">
        <x:v>ACTIVE</x:v>
      </x:c>
      <x:c r="K297" s="25" t="str">
        <x:v>Genel</x:v>
      </x:c>
      <x:c r="L297" s="25" t="str">
        <x:v>​120244050701720399</x:v>
      </x:c>
      <x:c r="M297" s="25" t="str">
        <x:v>ACTIVE</x:v>
      </x:c>
      <x:c r="N297" s="25" t="str">
        <x:v>LEAD_GENERATION</x:v>
      </x:c>
      <x:c r="O297" s="27" t="n">
        <x:v>1000</x:v>
      </x:c>
      <x:c r="P297" s="27" t="n">
        <x:v>0</x:v>
      </x:c>
      <x:c r="Q297" s="27" t="n">
        <x:v>0</x:v>
      </x:c>
      <x:c r="R297" s="27" t="n">
        <x:v>0</x:v>
      </x:c>
      <x:c r="S297" s="27" t="n">
        <x:v>22472.44</x:v>
      </x:c>
      <x:c r="T297" s="28" t="n">
        <x:v>185189</x:v>
      </x:c>
      <x:c r="U297" s="28" t="n">
        <x:v>63908</x:v>
      </x:c>
      <x:c r="V297" s="28" t="n">
        <x:v>2157</x:v>
      </x:c>
      <x:c r="W297" s="28" t="n">
        <x:v>112</x:v>
      </x:c>
      <x:c r="X297" s="28" t="n">
        <x:v>0</x:v>
      </x:c>
      <x:c r="Y297" s="28" t="n">
        <x:v>112</x:v>
      </x:c>
      <x:c r="Z297" s="28" t="n">
        <x:v>3</x:v>
      </x:c>
      <x:c r="AA297" s="28" t="n">
        <x:v>0</x:v>
      </x:c>
    </x:row>
    <x:row r="298">
      <x:c r="A298" s="25" t="str">
        <x:v>Ağustos 2026</x:v>
      </x:c>
      <x:c r="B298" s="25" t="str">
        <x:v>Yerli</x:v>
      </x:c>
      <x:c r="C298" s="25" t="str">
        <x:v>Türkçe</x:v>
      </x:c>
      <x:c r="D298" s="25" t="str">
        <x:v>Lead</x:v>
      </x:c>
      <x:c r="E298" s="25" t="str">
        <x:v>İnsan Kaynakları</x:v>
      </x:c>
      <x:c r="F298" s="25" t="str">
        <x:v>Doruk Hastaneleri - SİNA ÖZEL Sağlık Hizmetleri A.ş</x:v>
      </x:c>
      <x:c r="G298" s="25" t="str">
        <x:v>TRY</x:v>
      </x:c>
      <x:c r="H298" s="25" t="str">
        <x:v>Uzman Hekim Başvuru</x:v>
      </x:c>
      <x:c r="I298" s="25" t="str">
        <x:v>​120244050701710399</x:v>
      </x:c>
      <x:c r="J298" s="25" t="str">
        <x:v>ACTIVE</x:v>
      </x:c>
      <x:c r="K298" s="25" t="str">
        <x:v>Genel</x:v>
      </x:c>
      <x:c r="L298" s="25" t="str">
        <x:v>​120244050701720399</x:v>
      </x:c>
      <x:c r="M298" s="25" t="str">
        <x:v>ACTIVE</x:v>
      </x:c>
      <x:c r="N298" s="25" t="str">
        <x:v>LEAD_GENERATION</x:v>
      </x:c>
      <x:c r="O298" s="27" t="n">
        <x:v>1000</x:v>
      </x:c>
      <x:c r="P298" s="27" t="n">
        <x:v>0</x:v>
      </x:c>
      <x:c r="Q298" s="27" t="n">
        <x:v>0</x:v>
      </x:c>
      <x:c r="R298" s="27" t="n">
        <x:v>0</x:v>
      </x:c>
      <x:c r="S298" s="27" t="n">
        <x:v>4623.19</x:v>
      </x:c>
      <x:c r="T298" s="28" t="n">
        <x:v>37982</x:v>
      </x:c>
      <x:c r="U298" s="28" t="n">
        <x:v>23300</x:v>
      </x:c>
      <x:c r="V298" s="28" t="n">
        <x:v>445</x:v>
      </x:c>
      <x:c r="W298" s="28" t="n">
        <x:v>28</x:v>
      </x:c>
      <x:c r="X298" s="28" t="n">
        <x:v>0</x:v>
      </x:c>
      <x:c r="Y298" s="28" t="n">
        <x:v>28</x:v>
      </x:c>
      <x:c r="Z298" s="28" t="n">
        <x:v>0</x:v>
      </x:c>
      <x:c r="AA298" s="28" t="n">
        <x:v>0</x:v>
      </x:c>
    </x:row>
    <x:row r="299">
      <x:c r="A299" s="25" t="str">
        <x:v>Temmuz 2026</x:v>
      </x:c>
      <x:c r="B299" s="25" t="str">
        <x:v>Yerli</x:v>
      </x:c>
      <x:c r="C299" s="25" t="str">
        <x:v>Türkçe</x:v>
      </x:c>
      <x:c r="D299" s="25" t="str">
        <x:v>Lead</x:v>
      </x:c>
      <x:c r="E299" s="25" t="str">
        <x:v>Medikal Estetik / Plastik Cerrahi</x:v>
      </x:c>
      <x:c r="F299" s="25" t="str">
        <x:v>Doruk Hastaneleri - SİNA ÖZEL Sağlık Hizmetleri A.ş</x:v>
      </x:c>
      <x:c r="G299" s="25" t="str">
        <x:v>TRY</x:v>
      </x:c>
      <x:c r="H299" s="25" t="str">
        <x:v>ABO / Göz Kapağı Estetiği / plastik cerrahi / lead</x:v>
      </x:c>
      <x:c r="I299" s="25" t="str">
        <x:v>​120211731920800399</x:v>
      </x:c>
      <x:c r="J299" s="25" t="str">
        <x:v>ACTIVE</x:v>
      </x:c>
      <x:c r="K299" s="25" t="str">
        <x:v>Yeni Potansiyel Müşteriler Reklam Seti</x:v>
      </x:c>
      <x:c r="L299" s="25" t="str">
        <x:v>​120211731920850399</x:v>
      </x:c>
      <x:c r="M299" s="25" t="str">
        <x:v>ACTIVE</x:v>
      </x:c>
      <x:c r="N299" s="25" t="str">
        <x:v>QUALITY_LEAD</x:v>
      </x:c>
      <x:c r="O299" s="27" t="n">
        <x:v>0</x:v>
      </x:c>
      <x:c r="P299" s="27" t="n">
        <x:v>0</x:v>
      </x:c>
      <x:c r="Q299" s="27" t="n">
        <x:v>300</x:v>
      </x:c>
      <x:c r="R299" s="27" t="n">
        <x:v>0</x:v>
      </x:c>
      <x:c r="S299" s="27" t="n">
        <x:v>6070.59</x:v>
      </x:c>
      <x:c r="T299" s="28" t="n">
        <x:v>58883</x:v>
      </x:c>
      <x:c r="U299" s="28" t="n">
        <x:v>27659</x:v>
      </x:c>
      <x:c r="V299" s="28" t="n">
        <x:v>339</x:v>
      </x:c>
      <x:c r="W299" s="28" t="n">
        <x:v>20</x:v>
      </x:c>
      <x:c r="X299" s="28" t="n">
        <x:v>0</x:v>
      </x:c>
      <x:c r="Y299" s="28" t="n">
        <x:v>20</x:v>
      </x:c>
      <x:c r="Z299" s="28" t="n">
        <x:v>4</x:v>
      </x:c>
      <x:c r="AA299" s="28" t="n">
        <x:v>0</x:v>
      </x:c>
    </x:row>
    <x:row r="300">
      <x:c r="A300" s="25" t="str">
        <x:v>Ağustos 2026</x:v>
      </x:c>
      <x:c r="B300" s="25" t="str">
        <x:v>Yerli</x:v>
      </x:c>
      <x:c r="C300" s="25" t="str">
        <x:v>Türkçe</x:v>
      </x:c>
      <x:c r="D300" s="25" t="str">
        <x:v>Lead</x:v>
      </x:c>
      <x:c r="E300" s="25" t="str">
        <x:v>Medikal Estetik / Plastik Cerrahi</x:v>
      </x:c>
      <x:c r="F300" s="25" t="str">
        <x:v>Doruk Hastaneleri - SİNA ÖZEL Sağlık Hizmetleri A.ş</x:v>
      </x:c>
      <x:c r="G300" s="25" t="str">
        <x:v>TRY</x:v>
      </x:c>
      <x:c r="H300" s="25" t="str">
        <x:v>ABO / Göz Kapağı Estetiği / plastik cerrahi / lead</x:v>
      </x:c>
      <x:c r="I300" s="25" t="str">
        <x:v>​120211731920800399</x:v>
      </x:c>
      <x:c r="J300" s="25" t="str">
        <x:v>ACTIVE</x:v>
      </x:c>
      <x:c r="K300" s="25" t="str">
        <x:v>Yeni Potansiyel Müşteriler Reklam Seti</x:v>
      </x:c>
      <x:c r="L300" s="25" t="str">
        <x:v>​120211731920850399</x:v>
      </x:c>
      <x:c r="M300" s="25" t="str">
        <x:v>ACTIVE</x:v>
      </x:c>
      <x:c r="N300" s="25" t="str">
        <x:v>QUALITY_LEAD</x:v>
      </x:c>
      <x:c r="O300" s="27" t="n">
        <x:v>0</x:v>
      </x:c>
      <x:c r="P300" s="27" t="n">
        <x:v>0</x:v>
      </x:c>
      <x:c r="Q300" s="27" t="n">
        <x:v>300</x:v>
      </x:c>
      <x:c r="R300" s="27" t="n">
        <x:v>0</x:v>
      </x:c>
      <x:c r="S300" s="27" t="n">
        <x:v>1101.94</x:v>
      </x:c>
      <x:c r="T300" s="28" t="n">
        <x:v>11191</x:v>
      </x:c>
      <x:c r="U300" s="28" t="n">
        <x:v>7916</x:v>
      </x:c>
      <x:c r="V300" s="28" t="n">
        <x:v>67</x:v>
      </x:c>
      <x:c r="W300" s="28" t="n">
        <x:v>4</x:v>
      </x:c>
      <x:c r="X300" s="28" t="n">
        <x:v>0</x:v>
      </x:c>
      <x:c r="Y300" s="28" t="n">
        <x:v>4</x:v>
      </x:c>
      <x:c r="Z300" s="28" t="n">
        <x:v>1</x:v>
      </x:c>
      <x:c r="AA300" s="28" t="n">
        <x:v>0</x:v>
      </x:c>
    </x:row>
    <x:row r="301">
      <x:c r="A301" s="25" t="str">
        <x:v>Temmuz 2026</x:v>
      </x:c>
      <x:c r="B301" s="25" t="str">
        <x:v>Yerli</x:v>
      </x:c>
      <x:c r="C301" s="25" t="str">
        <x:v>Türkçe</x:v>
      </x:c>
      <x:c r="D301" s="25" t="str">
        <x:v>Lead</x:v>
      </x:c>
      <x:c r="E301" s="25" t="str">
        <x:v>Medikal Estetik / Plastik Cerrahi</x:v>
      </x:c>
      <x:c r="F301" s="25" t="str">
        <x:v>Doruk Hastaneleri - SİNA ÖZEL Sağlık Hizmetleri A.ş</x:v>
      </x:c>
      <x:c r="G301" s="25" t="str">
        <x:v>TRY</x:v>
      </x:c>
      <x:c r="H301" s="25" t="str">
        <x:v>ABO / Medikal Estetik lead / 16.04.2026</x:v>
      </x:c>
      <x:c r="I301" s="25" t="str">
        <x:v>​120248812698040399</x:v>
      </x:c>
      <x:c r="J301" s="25" t="str">
        <x:v>ACTIVE</x:v>
      </x:c>
      <x:c r="K301" s="25" t="str">
        <x:v>botox  /  18 - 50  K</x:v>
      </x:c>
      <x:c r="L301" s="25" t="str">
        <x:v>​120249236798060399</x:v>
      </x:c>
      <x:c r="M301" s="25" t="str">
        <x:v>ACTIVE</x:v>
      </x:c>
      <x:c r="N301" s="25" t="str">
        <x:v>LEAD_GENERATION</x:v>
      </x:c>
      <x:c r="O301" s="27" t="n">
        <x:v>0</x:v>
      </x:c>
      <x:c r="P301" s="27" t="n">
        <x:v>0</x:v>
      </x:c>
      <x:c r="Q301" s="27" t="n">
        <x:v>300</x:v>
      </x:c>
      <x:c r="R301" s="27" t="n">
        <x:v>0</x:v>
      </x:c>
      <x:c r="S301" s="27" t="n">
        <x:v>7177</x:v>
      </x:c>
      <x:c r="T301" s="28" t="n">
        <x:v>62176</x:v>
      </x:c>
      <x:c r="U301" s="28" t="n">
        <x:v>34433</x:v>
      </x:c>
      <x:c r="V301" s="28" t="n">
        <x:v>813</x:v>
      </x:c>
      <x:c r="W301" s="28" t="n">
        <x:v>102</x:v>
      </x:c>
      <x:c r="X301" s="28" t="n">
        <x:v>0</x:v>
      </x:c>
      <x:c r="Y301" s="28" t="n">
        <x:v>102</x:v>
      </x:c>
      <x:c r="Z301" s="28" t="n">
        <x:v>102</x:v>
      </x:c>
      <x:c r="AA301" s="28" t="n">
        <x:v>6755</x:v>
      </x:c>
    </x:row>
    <x:row r="302">
      <x:c r="A302" s="25" t="str">
        <x:v>Ağustos 2026</x:v>
      </x:c>
      <x:c r="B302" s="25" t="str">
        <x:v>Yerli</x:v>
      </x:c>
      <x:c r="C302" s="25" t="str">
        <x:v>Türkçe</x:v>
      </x:c>
      <x:c r="D302" s="25" t="str">
        <x:v>Lead</x:v>
      </x:c>
      <x:c r="E302" s="25" t="str">
        <x:v>Medikal Estetik / Plastik Cerrahi</x:v>
      </x:c>
      <x:c r="F302" s="25" t="str">
        <x:v>Doruk Hastaneleri - SİNA ÖZEL Sağlık Hizmetleri A.ş</x:v>
      </x:c>
      <x:c r="G302" s="25" t="str">
        <x:v>TRY</x:v>
      </x:c>
      <x:c r="H302" s="25" t="str">
        <x:v>ABO / Medikal Estetik lead / 16.04.2026</x:v>
      </x:c>
      <x:c r="I302" s="25" t="str">
        <x:v>​120248812698040399</x:v>
      </x:c>
      <x:c r="J302" s="25" t="str">
        <x:v>ACTIVE</x:v>
      </x:c>
      <x:c r="K302" s="25" t="str">
        <x:v>botox  /  18 - 50  K</x:v>
      </x:c>
      <x:c r="L302" s="25" t="str">
        <x:v>​120249236798060399</x:v>
      </x:c>
      <x:c r="M302" s="25" t="str">
        <x:v>ACTIVE</x:v>
      </x:c>
      <x:c r="N302" s="25" t="str">
        <x:v>LEAD_GENERATION</x:v>
      </x:c>
      <x:c r="O302" s="27" t="n">
        <x:v>0</x:v>
      </x:c>
      <x:c r="P302" s="27" t="n">
        <x:v>0</x:v>
      </x:c>
      <x:c r="Q302" s="27" t="n">
        <x:v>300</x:v>
      </x:c>
      <x:c r="R302" s="27" t="n">
        <x:v>0</x:v>
      </x:c>
      <x:c r="S302" s="27" t="n">
        <x:v>1557.39</x:v>
      </x:c>
      <x:c r="T302" s="28" t="n">
        <x:v>13506</x:v>
      </x:c>
      <x:c r="U302" s="28" t="n">
        <x:v>10276</x:v>
      </x:c>
      <x:c r="V302" s="28" t="n">
        <x:v>154</x:v>
      </x:c>
      <x:c r="W302" s="28" t="n">
        <x:v>21</x:v>
      </x:c>
      <x:c r="X302" s="28" t="n">
        <x:v>0</x:v>
      </x:c>
      <x:c r="Y302" s="28" t="n">
        <x:v>21</x:v>
      </x:c>
      <x:c r="Z302" s="28" t="n">
        <x:v>21</x:v>
      </x:c>
      <x:c r="AA302" s="28" t="n">
        <x:v>1473</x:v>
      </x:c>
    </x:row>
    <x:row r="303">
      <x:c r="A303" s="25" t="str">
        <x:v>Temmuz 2026</x:v>
      </x:c>
      <x:c r="B303" s="25" t="str">
        <x:v>Yerli</x:v>
      </x:c>
      <x:c r="C303" s="25" t="str">
        <x:v>Türkçe</x:v>
      </x:c>
      <x:c r="D303" s="25" t="str">
        <x:v>Lead</x:v>
      </x:c>
      <x:c r="E303" s="25" t="str">
        <x:v>Medikal Estetik / Plastik Cerrahi</x:v>
      </x:c>
      <x:c r="F303" s="25" t="str">
        <x:v>Doruk Hastaneleri - SİNA ÖZEL Sağlık Hizmetleri A.ş</x:v>
      </x:c>
      <x:c r="G303" s="25" t="str">
        <x:v>TRY</x:v>
      </x:c>
      <x:c r="H303" s="25" t="str">
        <x:v>ABO / Medikal Estetik lead / 16.04.2026</x:v>
      </x:c>
      <x:c r="I303" s="25" t="str">
        <x:v>​120248812698040399</x:v>
      </x:c>
      <x:c r="J303" s="25" t="str">
        <x:v>ACTIVE</x:v>
      </x:c>
      <x:c r="K303" s="25" t="str">
        <x:v>cilt bakımı  /  18 - 50  K</x:v>
      </x:c>
      <x:c r="L303" s="25" t="str">
        <x:v>​120249237096680399</x:v>
      </x:c>
      <x:c r="M303" s="25" t="str">
        <x:v>ACTIVE</x:v>
      </x:c>
      <x:c r="N303" s="25" t="str">
        <x:v>LEAD_GENERATION</x:v>
      </x:c>
      <x:c r="O303" s="27" t="n">
        <x:v>0</x:v>
      </x:c>
      <x:c r="P303" s="27" t="n">
        <x:v>0</x:v>
      </x:c>
      <x:c r="Q303" s="27" t="n">
        <x:v>300</x:v>
      </x:c>
      <x:c r="R303" s="27" t="n">
        <x:v>0</x:v>
      </x:c>
      <x:c r="S303" s="27" t="n">
        <x:v>6902.93</x:v>
      </x:c>
      <x:c r="T303" s="28" t="n">
        <x:v>58482</x:v>
      </x:c>
      <x:c r="U303" s="28" t="n">
        <x:v>29871</x:v>
      </x:c>
      <x:c r="V303" s="28" t="n">
        <x:v>607</x:v>
      </x:c>
      <x:c r="W303" s="28" t="n">
        <x:v>51</x:v>
      </x:c>
      <x:c r="X303" s="28" t="n">
        <x:v>0</x:v>
      </x:c>
      <x:c r="Y303" s="28" t="n">
        <x:v>51</x:v>
      </x:c>
      <x:c r="Z303" s="28" t="n">
        <x:v>57</x:v>
      </x:c>
      <x:c r="AA303" s="28" t="n">
        <x:v>7961</x:v>
      </x:c>
    </x:row>
    <x:row r="304">
      <x:c r="A304" s="25" t="str">
        <x:v>Ağustos 2026</x:v>
      </x:c>
      <x:c r="B304" s="25" t="str">
        <x:v>Yerli</x:v>
      </x:c>
      <x:c r="C304" s="25" t="str">
        <x:v>Türkçe</x:v>
      </x:c>
      <x:c r="D304" s="25" t="str">
        <x:v>Lead</x:v>
      </x:c>
      <x:c r="E304" s="25" t="str">
        <x:v>Medikal Estetik / Plastik Cerrahi</x:v>
      </x:c>
      <x:c r="F304" s="25" t="str">
        <x:v>Doruk Hastaneleri - SİNA ÖZEL Sağlık Hizmetleri A.ş</x:v>
      </x:c>
      <x:c r="G304" s="25" t="str">
        <x:v>TRY</x:v>
      </x:c>
      <x:c r="H304" s="25" t="str">
        <x:v>ABO / Medikal Estetik lead / 16.04.2026</x:v>
      </x:c>
      <x:c r="I304" s="25" t="str">
        <x:v>​120248812698040399</x:v>
      </x:c>
      <x:c r="J304" s="25" t="str">
        <x:v>ACTIVE</x:v>
      </x:c>
      <x:c r="K304" s="25" t="str">
        <x:v>cilt bakımı  /  18 - 50  K</x:v>
      </x:c>
      <x:c r="L304" s="25" t="str">
        <x:v>​120249237096680399</x:v>
      </x:c>
      <x:c r="M304" s="25" t="str">
        <x:v>ACTIVE</x:v>
      </x:c>
      <x:c r="N304" s="25" t="str">
        <x:v>LEAD_GENERATION</x:v>
      </x:c>
      <x:c r="O304" s="27" t="n">
        <x:v>0</x:v>
      </x:c>
      <x:c r="P304" s="27" t="n">
        <x:v>0</x:v>
      </x:c>
      <x:c r="Q304" s="27" t="n">
        <x:v>300</x:v>
      </x:c>
      <x:c r="R304" s="27" t="n">
        <x:v>0</x:v>
      </x:c>
      <x:c r="S304" s="27" t="n">
        <x:v>1440.82</x:v>
      </x:c>
      <x:c r="T304" s="28" t="n">
        <x:v>10838</x:v>
      </x:c>
      <x:c r="U304" s="28" t="n">
        <x:v>8232</x:v>
      </x:c>
      <x:c r="V304" s="28" t="n">
        <x:v>120</x:v>
      </x:c>
      <x:c r="W304" s="28" t="n">
        <x:v>8</x:v>
      </x:c>
      <x:c r="X304" s="28" t="n">
        <x:v>0</x:v>
      </x:c>
      <x:c r="Y304" s="28" t="n">
        <x:v>8</x:v>
      </x:c>
      <x:c r="Z304" s="28" t="n">
        <x:v>7</x:v>
      </x:c>
      <x:c r="AA304" s="28" t="n">
        <x:v>1430</x:v>
      </x:c>
    </x:row>
    <x:row r="305">
      <x:c r="A305" s="25" t="str">
        <x:v>Temmuz 2026</x:v>
      </x:c>
      <x:c r="B305" s="25" t="str">
        <x:v>Yerli</x:v>
      </x:c>
      <x:c r="C305" s="25" t="str">
        <x:v>Türkçe</x:v>
      </x:c>
      <x:c r="D305" s="25" t="str">
        <x:v>Lead</x:v>
      </x:c>
      <x:c r="E305" s="25" t="str">
        <x:v>Medikal Estetik / Plastik Cerrahi</x:v>
      </x:c>
      <x:c r="F305" s="25" t="str">
        <x:v>Doruk Hastaneleri - SİNA ÖZEL Sağlık Hizmetleri A.ş</x:v>
      </x:c>
      <x:c r="G305" s="25" t="str">
        <x:v>TRY</x:v>
      </x:c>
      <x:c r="H305" s="25" t="str">
        <x:v>ABO / Medikal Estetik lead / 16.04.2026</x:v>
      </x:c>
      <x:c r="I305" s="25" t="str">
        <x:v>​120248812698040399</x:v>
      </x:c>
      <x:c r="J305" s="25" t="str">
        <x:v>ACTIVE</x:v>
      </x:c>
      <x:c r="K305" s="25" t="str">
        <x:v>dolgu /  18 - 50  K</x:v>
      </x:c>
      <x:c r="L305" s="25" t="str">
        <x:v>​120248812698110399</x:v>
      </x:c>
      <x:c r="M305" s="25" t="str">
        <x:v>ACTIVE</x:v>
      </x:c>
      <x:c r="N305" s="25" t="str">
        <x:v>LEAD_GENERATION</x:v>
      </x:c>
      <x:c r="O305" s="27" t="n">
        <x:v>0</x:v>
      </x:c>
      <x:c r="P305" s="27" t="n">
        <x:v>0</x:v>
      </x:c>
      <x:c r="Q305" s="27" t="n">
        <x:v>300</x:v>
      </x:c>
      <x:c r="R305" s="27" t="n">
        <x:v>0</x:v>
      </x:c>
      <x:c r="S305" s="27" t="n">
        <x:v>6957.44</x:v>
      </x:c>
      <x:c r="T305" s="28" t="n">
        <x:v>72311</x:v>
      </x:c>
      <x:c r="U305" s="28" t="n">
        <x:v>36749</x:v>
      </x:c>
      <x:c r="V305" s="28" t="n">
        <x:v>567</x:v>
      </x:c>
      <x:c r="W305" s="28" t="n">
        <x:v>39</x:v>
      </x:c>
      <x:c r="X305" s="28" t="n">
        <x:v>0</x:v>
      </x:c>
      <x:c r="Y305" s="28" t="n">
        <x:v>39</x:v>
      </x:c>
      <x:c r="Z305" s="28" t="n">
        <x:v>40</x:v>
      </x:c>
      <x:c r="AA305" s="28" t="n">
        <x:v>7406</x:v>
      </x:c>
    </x:row>
    <x:row r="306">
      <x:c r="A306" s="25" t="str">
        <x:v>Ağustos 2026</x:v>
      </x:c>
      <x:c r="B306" s="25" t="str">
        <x:v>Yerli</x:v>
      </x:c>
      <x:c r="C306" s="25" t="str">
        <x:v>Türkçe</x:v>
      </x:c>
      <x:c r="D306" s="25" t="str">
        <x:v>Lead</x:v>
      </x:c>
      <x:c r="E306" s="25" t="str">
        <x:v>Medikal Estetik / Plastik Cerrahi</x:v>
      </x:c>
      <x:c r="F306" s="25" t="str">
        <x:v>Doruk Hastaneleri - SİNA ÖZEL Sağlık Hizmetleri A.ş</x:v>
      </x:c>
      <x:c r="G306" s="25" t="str">
        <x:v>TRY</x:v>
      </x:c>
      <x:c r="H306" s="25" t="str">
        <x:v>ABO / Medikal Estetik lead / 16.04.2026</x:v>
      </x:c>
      <x:c r="I306" s="25" t="str">
        <x:v>​120248812698040399</x:v>
      </x:c>
      <x:c r="J306" s="25" t="str">
        <x:v>ACTIVE</x:v>
      </x:c>
      <x:c r="K306" s="25" t="str">
        <x:v>dolgu /  18 - 50  K</x:v>
      </x:c>
      <x:c r="L306" s="25" t="str">
        <x:v>​120248812698110399</x:v>
      </x:c>
      <x:c r="M306" s="25" t="str">
        <x:v>ACTIVE</x:v>
      </x:c>
      <x:c r="N306" s="25" t="str">
        <x:v>LEAD_GENERATION</x:v>
      </x:c>
      <x:c r="O306" s="27" t="n">
        <x:v>0</x:v>
      </x:c>
      <x:c r="P306" s="27" t="n">
        <x:v>0</x:v>
      </x:c>
      <x:c r="Q306" s="27" t="n">
        <x:v>300</x:v>
      </x:c>
      <x:c r="R306" s="27" t="n">
        <x:v>0</x:v>
      </x:c>
      <x:c r="S306" s="27" t="n">
        <x:v>1693.41</x:v>
      </x:c>
      <x:c r="T306" s="28" t="n">
        <x:v>17223</x:v>
      </x:c>
      <x:c r="U306" s="28" t="n">
        <x:v>13603</x:v>
      </x:c>
      <x:c r="V306" s="28" t="n">
        <x:v>122</x:v>
      </x:c>
      <x:c r="W306" s="28" t="n">
        <x:v>12</x:v>
      </x:c>
      <x:c r="X306" s="28" t="n">
        <x:v>0</x:v>
      </x:c>
      <x:c r="Y306" s="28" t="n">
        <x:v>12</x:v>
      </x:c>
      <x:c r="Z306" s="28" t="n">
        <x:v>13</x:v>
      </x:c>
      <x:c r="AA306" s="28" t="n">
        <x:v>1817</x:v>
      </x:c>
    </x:row>
    <x:row r="307">
      <x:c r="A307" s="25" t="str">
        <x:v>Temmuz 2026</x:v>
      </x:c>
      <x:c r="B307" s="25" t="str">
        <x:v>Yerli</x:v>
      </x:c>
      <x:c r="C307" s="25" t="str">
        <x:v>Türkçe</x:v>
      </x:c>
      <x:c r="D307" s="25" t="str">
        <x:v>Lead</x:v>
      </x:c>
      <x:c r="E307" s="25" t="str">
        <x:v>Medikal Estetik / Plastik Cerrahi</x:v>
      </x:c>
      <x:c r="F307" s="25" t="str">
        <x:v>Doruk Hastaneleri - SİNA ÖZEL Sağlık Hizmetleri A.ş</x:v>
      </x:c>
      <x:c r="G307" s="25" t="str">
        <x:v>TRY</x:v>
      </x:c>
      <x:c r="H307" s="25" t="str">
        <x:v>ABO / Medikal Estetik lead / 16.04.2026</x:v>
      </x:c>
      <x:c r="I307" s="25" t="str">
        <x:v>​120248812698040399</x:v>
      </x:c>
      <x:c r="J307" s="25" t="str">
        <x:v>ACTIVE</x:v>
      </x:c>
      <x:c r="K307" s="25" t="str">
        <x:v>genel /  18 - 50  K</x:v>
      </x:c>
      <x:c r="L307" s="25" t="str">
        <x:v>​120249237617200399</x:v>
      </x:c>
      <x:c r="M307" s="25" t="str">
        <x:v>ACTIVE</x:v>
      </x:c>
      <x:c r="N307" s="25" t="str">
        <x:v>LEAD_GENERATION</x:v>
      </x:c>
      <x:c r="O307" s="27" t="n">
        <x:v>0</x:v>
      </x:c>
      <x:c r="P307" s="27" t="n">
        <x:v>0</x:v>
      </x:c>
      <x:c r="Q307" s="27" t="n">
        <x:v>300</x:v>
      </x:c>
      <x:c r="R307" s="27" t="n">
        <x:v>0</x:v>
      </x:c>
      <x:c r="S307" s="27" t="n">
        <x:v>7142.26</x:v>
      </x:c>
      <x:c r="T307" s="28" t="n">
        <x:v>39125</x:v>
      </x:c>
      <x:c r="U307" s="28" t="n">
        <x:v>20470</x:v>
      </x:c>
      <x:c r="V307" s="28" t="n">
        <x:v>609</x:v>
      </x:c>
      <x:c r="W307" s="28" t="n">
        <x:v>46</x:v>
      </x:c>
      <x:c r="X307" s="28" t="n">
        <x:v>0</x:v>
      </x:c>
      <x:c r="Y307" s="28" t="n">
        <x:v>46</x:v>
      </x:c>
      <x:c r="Z307" s="28" t="n">
        <x:v>58</x:v>
      </x:c>
      <x:c r="AA307" s="28" t="n">
        <x:v>6030</x:v>
      </x:c>
    </x:row>
    <x:row r="308">
      <x:c r="A308" s="25" t="str">
        <x:v>Ağustos 2026</x:v>
      </x:c>
      <x:c r="B308" s="25" t="str">
        <x:v>Yerli</x:v>
      </x:c>
      <x:c r="C308" s="25" t="str">
        <x:v>Türkçe</x:v>
      </x:c>
      <x:c r="D308" s="25" t="str">
        <x:v>Lead</x:v>
      </x:c>
      <x:c r="E308" s="25" t="str">
        <x:v>Medikal Estetik / Plastik Cerrahi</x:v>
      </x:c>
      <x:c r="F308" s="25" t="str">
        <x:v>Doruk Hastaneleri - SİNA ÖZEL Sağlık Hizmetleri A.ş</x:v>
      </x:c>
      <x:c r="G308" s="25" t="str">
        <x:v>TRY</x:v>
      </x:c>
      <x:c r="H308" s="25" t="str">
        <x:v>ABO / Medikal Estetik lead / 16.04.2026</x:v>
      </x:c>
      <x:c r="I308" s="25" t="str">
        <x:v>​120248812698040399</x:v>
      </x:c>
      <x:c r="J308" s="25" t="str">
        <x:v>ACTIVE</x:v>
      </x:c>
      <x:c r="K308" s="25" t="str">
        <x:v>genel /  18 - 50  K</x:v>
      </x:c>
      <x:c r="L308" s="25" t="str">
        <x:v>​120249237617200399</x:v>
      </x:c>
      <x:c r="M308" s="25" t="str">
        <x:v>ACTIVE</x:v>
      </x:c>
      <x:c r="N308" s="25" t="str">
        <x:v>LEAD_GENERATION</x:v>
      </x:c>
      <x:c r="O308" s="27" t="n">
        <x:v>0</x:v>
      </x:c>
      <x:c r="P308" s="27" t="n">
        <x:v>0</x:v>
      </x:c>
      <x:c r="Q308" s="27" t="n">
        <x:v>300</x:v>
      </x:c>
      <x:c r="R308" s="27" t="n">
        <x:v>0</x:v>
      </x:c>
      <x:c r="S308" s="27" t="n">
        <x:v>1528.19</x:v>
      </x:c>
      <x:c r="T308" s="28" t="n">
        <x:v>9335</x:v>
      </x:c>
      <x:c r="U308" s="28" t="n">
        <x:v>6855</x:v>
      </x:c>
      <x:c r="V308" s="28" t="n">
        <x:v>127</x:v>
      </x:c>
      <x:c r="W308" s="28" t="n">
        <x:v>4</x:v>
      </x:c>
      <x:c r="X308" s="28" t="n">
        <x:v>0</x:v>
      </x:c>
      <x:c r="Y308" s="28" t="n">
        <x:v>4</x:v>
      </x:c>
      <x:c r="Z308" s="28" t="n">
        <x:v>6</x:v>
      </x:c>
      <x:c r="AA308" s="28" t="n">
        <x:v>1321</x:v>
      </x:c>
    </x:row>
    <x:row r="309">
      <x:c r="A309" s="25" t="str">
        <x:v>Temmuz 2026</x:v>
      </x:c>
      <x:c r="B309" s="25" t="str">
        <x:v>Yerli</x:v>
      </x:c>
      <x:c r="C309" s="25" t="str">
        <x:v>Türkçe</x:v>
      </x:c>
      <x:c r="D309" s="25" t="str">
        <x:v>Lead</x:v>
      </x:c>
      <x:c r="E309" s="25" t="str">
        <x:v>Medikal Estetik / Plastik Cerrahi</x:v>
      </x:c>
      <x:c r="F309" s="25" t="str">
        <x:v>Doruk Hastaneleri - SİNA ÖZEL Sağlık Hizmetleri A.ş</x:v>
      </x:c>
      <x:c r="G309" s="25" t="str">
        <x:v>TRY</x:v>
      </x:c>
      <x:c r="H309" s="25" t="str">
        <x:v>ABO / Medikal Estetik lead / 16.04.2026</x:v>
      </x:c>
      <x:c r="I309" s="25" t="str">
        <x:v>​120248812698040399</x:v>
      </x:c>
      <x:c r="J309" s="25" t="str">
        <x:v>ACTIVE</x:v>
      </x:c>
      <x:c r="K309" s="25" t="str">
        <x:v>massater botoxu  /  18 - 50  K</x:v>
      </x:c>
      <x:c r="L309" s="25" t="str">
        <x:v>​120249237347420399</x:v>
      </x:c>
      <x:c r="M309" s="25" t="str">
        <x:v>ACTIVE</x:v>
      </x:c>
      <x:c r="N309" s="25" t="str">
        <x:v>LEAD_GENERATION</x:v>
      </x:c>
      <x:c r="O309" s="27" t="n">
        <x:v>0</x:v>
      </x:c>
      <x:c r="P309" s="27" t="n">
        <x:v>0</x:v>
      </x:c>
      <x:c r="Q309" s="27" t="n">
        <x:v>300</x:v>
      </x:c>
      <x:c r="R309" s="27" t="n">
        <x:v>0</x:v>
      </x:c>
      <x:c r="S309" s="27" t="n">
        <x:v>7012.81</x:v>
      </x:c>
      <x:c r="T309" s="28" t="n">
        <x:v>89528</x:v>
      </x:c>
      <x:c r="U309" s="28" t="n">
        <x:v>50655</x:v>
      </x:c>
      <x:c r="V309" s="28" t="n">
        <x:v>627</x:v>
      </x:c>
      <x:c r="W309" s="28" t="n">
        <x:v>41</x:v>
      </x:c>
      <x:c r="X309" s="28" t="n">
        <x:v>0</x:v>
      </x:c>
      <x:c r="Y309" s="28" t="n">
        <x:v>41</x:v>
      </x:c>
      <x:c r="Z309" s="28" t="n">
        <x:v>43</x:v>
      </x:c>
      <x:c r="AA309" s="28" t="n">
        <x:v>10712</x:v>
      </x:c>
    </x:row>
    <x:row r="310">
      <x:c r="A310" s="25" t="str">
        <x:v>Ağustos 2026</x:v>
      </x:c>
      <x:c r="B310" s="25" t="str">
        <x:v>Yerli</x:v>
      </x:c>
      <x:c r="C310" s="25" t="str">
        <x:v>Türkçe</x:v>
      </x:c>
      <x:c r="D310" s="25" t="str">
        <x:v>Lead</x:v>
      </x:c>
      <x:c r="E310" s="25" t="str">
        <x:v>Medikal Estetik / Plastik Cerrahi</x:v>
      </x:c>
      <x:c r="F310" s="25" t="str">
        <x:v>Doruk Hastaneleri - SİNA ÖZEL Sağlık Hizmetleri A.ş</x:v>
      </x:c>
      <x:c r="G310" s="25" t="str">
        <x:v>TRY</x:v>
      </x:c>
      <x:c r="H310" s="25" t="str">
        <x:v>ABO / Medikal Estetik lead / 16.04.2026</x:v>
      </x:c>
      <x:c r="I310" s="25" t="str">
        <x:v>​120248812698040399</x:v>
      </x:c>
      <x:c r="J310" s="25" t="str">
        <x:v>ACTIVE</x:v>
      </x:c>
      <x:c r="K310" s="25" t="str">
        <x:v>massater botoxu  /  18 - 50  K</x:v>
      </x:c>
      <x:c r="L310" s="25" t="str">
        <x:v>​120249237347420399</x:v>
      </x:c>
      <x:c r="M310" s="25" t="str">
        <x:v>ACTIVE</x:v>
      </x:c>
      <x:c r="N310" s="25" t="str">
        <x:v>LEAD_GENERATION</x:v>
      </x:c>
      <x:c r="O310" s="27" t="n">
        <x:v>0</x:v>
      </x:c>
      <x:c r="P310" s="27" t="n">
        <x:v>0</x:v>
      </x:c>
      <x:c r="Q310" s="27" t="n">
        <x:v>300</x:v>
      </x:c>
      <x:c r="R310" s="27" t="n">
        <x:v>0</x:v>
      </x:c>
      <x:c r="S310" s="27" t="n">
        <x:v>1481.64</x:v>
      </x:c>
      <x:c r="T310" s="28" t="n">
        <x:v>21002</x:v>
      </x:c>
      <x:c r="U310" s="28" t="n">
        <x:v>16226</x:v>
      </x:c>
      <x:c r="V310" s="28" t="n">
        <x:v>140</x:v>
      </x:c>
      <x:c r="W310" s="28" t="n">
        <x:v>10</x:v>
      </x:c>
      <x:c r="X310" s="28" t="n">
        <x:v>0</x:v>
      </x:c>
      <x:c r="Y310" s="28" t="n">
        <x:v>10</x:v>
      </x:c>
      <x:c r="Z310" s="28" t="n">
        <x:v>10</x:v>
      </x:c>
      <x:c r="AA310" s="28" t="n">
        <x:v>2442</x:v>
      </x:c>
    </x:row>
    <x:row r="311">
      <x:c r="A311" s="25" t="str">
        <x:v>Temmuz 2026</x:v>
      </x:c>
      <x:c r="B311" s="25" t="str">
        <x:v>Yerli</x:v>
      </x:c>
      <x:c r="C311" s="25" t="str">
        <x:v>Türkçe</x:v>
      </x:c>
      <x:c r="D311" s="25" t="str">
        <x:v>Lead</x:v>
      </x:c>
      <x:c r="E311" s="25" t="str">
        <x:v>Medikal Estetik / Plastik Cerrahi</x:v>
      </x:c>
      <x:c r="F311" s="25" t="str">
        <x:v>Doruk Hastaneleri - SİNA ÖZEL Sağlık Hizmetleri A.ş</x:v>
      </x:c>
      <x:c r="G311" s="25" t="str">
        <x:v>TRY</x:v>
      </x:c>
      <x:c r="H311" s="25" t="str">
        <x:v>ABO / Medikal Estetik lead / 16.04.2026</x:v>
      </x:c>
      <x:c r="I311" s="25" t="str">
        <x:v>​120248812698040399</x:v>
      </x:c>
      <x:c r="J311" s="25" t="str">
        <x:v>ACTIVE</x:v>
      </x:c>
      <x:c r="K311" s="25" t="str">
        <x:v>medikal estetik uygulamaları /  18 - 50</x:v>
      </x:c>
      <x:c r="L311" s="25" t="str">
        <x:v>​120249764590750399</x:v>
      </x:c>
      <x:c r="M311" s="25" t="str">
        <x:v>ACTIVE</x:v>
      </x:c>
      <x:c r="N311" s="25" t="str">
        <x:v>LEAD_GENERATION</x:v>
      </x:c>
      <x:c r="O311" s="27" t="n">
        <x:v>0</x:v>
      </x:c>
      <x:c r="P311" s="27" t="n">
        <x:v>0</x:v>
      </x:c>
      <x:c r="Q311" s="27" t="n">
        <x:v>300</x:v>
      </x:c>
      <x:c r="R311" s="27" t="n">
        <x:v>0</x:v>
      </x:c>
      <x:c r="S311" s="27" t="n">
        <x:v>6990.81</x:v>
      </x:c>
      <x:c r="T311" s="28" t="n">
        <x:v>57638</x:v>
      </x:c>
      <x:c r="U311" s="28" t="n">
        <x:v>32812</x:v>
      </x:c>
      <x:c r="V311" s="28" t="n">
        <x:v>501</x:v>
      </x:c>
      <x:c r="W311" s="28" t="n">
        <x:v>45</x:v>
      </x:c>
      <x:c r="X311" s="28" t="n">
        <x:v>0</x:v>
      </x:c>
      <x:c r="Y311" s="28" t="n">
        <x:v>45</x:v>
      </x:c>
      <x:c r="Z311" s="28" t="n">
        <x:v>39</x:v>
      </x:c>
      <x:c r="AA311" s="28" t="n">
        <x:v>6330</x:v>
      </x:c>
    </x:row>
    <x:row r="312">
      <x:c r="A312" s="25" t="str">
        <x:v>Ağustos 2026</x:v>
      </x:c>
      <x:c r="B312" s="25" t="str">
        <x:v>Yerli</x:v>
      </x:c>
      <x:c r="C312" s="25" t="str">
        <x:v>Türkçe</x:v>
      </x:c>
      <x:c r="D312" s="25" t="str">
        <x:v>Lead</x:v>
      </x:c>
      <x:c r="E312" s="25" t="str">
        <x:v>Medikal Estetik / Plastik Cerrahi</x:v>
      </x:c>
      <x:c r="F312" s="25" t="str">
        <x:v>Doruk Hastaneleri - SİNA ÖZEL Sağlık Hizmetleri A.ş</x:v>
      </x:c>
      <x:c r="G312" s="25" t="str">
        <x:v>TRY</x:v>
      </x:c>
      <x:c r="H312" s="25" t="str">
        <x:v>ABO / Medikal Estetik lead / 16.04.2026</x:v>
      </x:c>
      <x:c r="I312" s="25" t="str">
        <x:v>​120248812698040399</x:v>
      </x:c>
      <x:c r="J312" s="25" t="str">
        <x:v>ACTIVE</x:v>
      </x:c>
      <x:c r="K312" s="25" t="str">
        <x:v>medikal estetik uygulamaları /  18 - 50</x:v>
      </x:c>
      <x:c r="L312" s="25" t="str">
        <x:v>​120249764590750399</x:v>
      </x:c>
      <x:c r="M312" s="25" t="str">
        <x:v>ACTIVE</x:v>
      </x:c>
      <x:c r="N312" s="25" t="str">
        <x:v>LEAD_GENERATION</x:v>
      </x:c>
      <x:c r="O312" s="27" t="n">
        <x:v>0</x:v>
      </x:c>
      <x:c r="P312" s="27" t="n">
        <x:v>0</x:v>
      </x:c>
      <x:c r="Q312" s="27" t="n">
        <x:v>300</x:v>
      </x:c>
      <x:c r="R312" s="27" t="n">
        <x:v>0</x:v>
      </x:c>
      <x:c r="S312" s="27" t="n">
        <x:v>1497.09</x:v>
      </x:c>
      <x:c r="T312" s="28" t="n">
        <x:v>13857</x:v>
      </x:c>
      <x:c r="U312" s="28" t="n">
        <x:v>10197</x:v>
      </x:c>
      <x:c r="V312" s="28" t="n">
        <x:v>103</x:v>
      </x:c>
      <x:c r="W312" s="28" t="n">
        <x:v>7</x:v>
      </x:c>
      <x:c r="X312" s="28" t="n">
        <x:v>0</x:v>
      </x:c>
      <x:c r="Y312" s="28" t="n">
        <x:v>7</x:v>
      </x:c>
      <x:c r="Z312" s="28" t="n">
        <x:v>7</x:v>
      </x:c>
      <x:c r="AA312" s="28" t="n">
        <x:v>1607</x:v>
      </x:c>
    </x:row>
    <x:row r="313">
      <x:c r="A313" s="25" t="str">
        <x:v>Temmuz 2026</x:v>
      </x:c>
      <x:c r="B313" s="25" t="str">
        <x:v>Yerli</x:v>
      </x:c>
      <x:c r="C313" s="25" t="str">
        <x:v>Türkçe</x:v>
      </x:c>
      <x:c r="D313" s="25" t="str">
        <x:v>Lead</x:v>
      </x:c>
      <x:c r="E313" s="25" t="str">
        <x:v>Medikal Estetik / Plastik Cerrahi</x:v>
      </x:c>
      <x:c r="F313" s="25" t="str">
        <x:v>Doruk Hastaneleri - SİNA ÖZEL Sağlık Hizmetleri A.ş</x:v>
      </x:c>
      <x:c r="G313" s="25" t="str">
        <x:v>TRY</x:v>
      </x:c>
      <x:c r="H313" s="25" t="str">
        <x:v>ABO / Medikal Estetik lead / 16.04.2026</x:v>
      </x:c>
      <x:c r="I313" s="25" t="str">
        <x:v>​120248812698040399</x:v>
      </x:c>
      <x:c r="J313" s="25" t="str">
        <x:v>ACTIVE</x:v>
      </x:c>
      <x:c r="K313" s="25" t="str">
        <x:v>Saç tedavileri  /  18 - 50  K - E</x:v>
      </x:c>
      <x:c r="L313" s="25" t="str">
        <x:v>​120250026634190399</x:v>
      </x:c>
      <x:c r="M313" s="25" t="str">
        <x:v>ACTIVE</x:v>
      </x:c>
      <x:c r="N313" s="25" t="str">
        <x:v>LEAD_GENERATION</x:v>
      </x:c>
      <x:c r="O313" s="27" t="n">
        <x:v>0</x:v>
      </x:c>
      <x:c r="P313" s="27" t="n">
        <x:v>0</x:v>
      </x:c>
      <x:c r="Q313" s="27" t="n">
        <x:v>300</x:v>
      </x:c>
      <x:c r="R313" s="27" t="n">
        <x:v>0</x:v>
      </x:c>
      <x:c r="S313" s="27" t="n">
        <x:v>7313.3</x:v>
      </x:c>
      <x:c r="T313" s="28" t="n">
        <x:v>97999</x:v>
      </x:c>
      <x:c r="U313" s="28" t="n">
        <x:v>40216</x:v>
      </x:c>
      <x:c r="V313" s="28" t="n">
        <x:v>1159</x:v>
      </x:c>
      <x:c r="W313" s="28" t="n">
        <x:v>141</x:v>
      </x:c>
      <x:c r="X313" s="28" t="n">
        <x:v>0</x:v>
      </x:c>
      <x:c r="Y313" s="28" t="n">
        <x:v>141</x:v>
      </x:c>
      <x:c r="Z313" s="28" t="n">
        <x:v>146</x:v>
      </x:c>
      <x:c r="AA313" s="28" t="n">
        <x:v>8405</x:v>
      </x:c>
    </x:row>
    <x:row r="314">
      <x:c r="A314" s="25" t="str">
        <x:v>Ağustos 2026</x:v>
      </x:c>
      <x:c r="B314" s="25" t="str">
        <x:v>Yerli</x:v>
      </x:c>
      <x:c r="C314" s="25" t="str">
        <x:v>Türkçe</x:v>
      </x:c>
      <x:c r="D314" s="25" t="str">
        <x:v>Lead</x:v>
      </x:c>
      <x:c r="E314" s="25" t="str">
        <x:v>Medikal Estetik / Plastik Cerrahi</x:v>
      </x:c>
      <x:c r="F314" s="25" t="str">
        <x:v>Doruk Hastaneleri - SİNA ÖZEL Sağlık Hizmetleri A.ş</x:v>
      </x:c>
      <x:c r="G314" s="25" t="str">
        <x:v>TRY</x:v>
      </x:c>
      <x:c r="H314" s="25" t="str">
        <x:v>ABO / Medikal Estetik lead / 16.04.2026</x:v>
      </x:c>
      <x:c r="I314" s="25" t="str">
        <x:v>​120248812698040399</x:v>
      </x:c>
      <x:c r="J314" s="25" t="str">
        <x:v>ACTIVE</x:v>
      </x:c>
      <x:c r="K314" s="25" t="str">
        <x:v>Saç tedavileri  /  18 - 50  K - E</x:v>
      </x:c>
      <x:c r="L314" s="25" t="str">
        <x:v>​120250026634190399</x:v>
      </x:c>
      <x:c r="M314" s="25" t="str">
        <x:v>ACTIVE</x:v>
      </x:c>
      <x:c r="N314" s="25" t="str">
        <x:v>LEAD_GENERATION</x:v>
      </x:c>
      <x:c r="O314" s="27" t="n">
        <x:v>0</x:v>
      </x:c>
      <x:c r="P314" s="27" t="n">
        <x:v>0</x:v>
      </x:c>
      <x:c r="Q314" s="27" t="n">
        <x:v>300</x:v>
      </x:c>
      <x:c r="R314" s="27" t="n">
        <x:v>0</x:v>
      </x:c>
      <x:c r="S314" s="27" t="n">
        <x:v>1657.22</x:v>
      </x:c>
      <x:c r="T314" s="28" t="n">
        <x:v>26273</x:v>
      </x:c>
      <x:c r="U314" s="28" t="n">
        <x:v>18031</x:v>
      </x:c>
      <x:c r="V314" s="28" t="n">
        <x:v>252</x:v>
      </x:c>
      <x:c r="W314" s="28" t="n">
        <x:v>35</x:v>
      </x:c>
      <x:c r="X314" s="28" t="n">
        <x:v>0</x:v>
      </x:c>
      <x:c r="Y314" s="28" t="n">
        <x:v>35</x:v>
      </x:c>
      <x:c r="Z314" s="28" t="n">
        <x:v>40</x:v>
      </x:c>
      <x:c r="AA314" s="28" t="n">
        <x:v>1926</x:v>
      </x:c>
    </x:row>
    <x:row r="315">
      <x:c r="A315" s="25" t="str">
        <x:v>Temmuz 2026</x:v>
      </x:c>
      <x:c r="B315" s="25" t="str">
        <x:v>Yerli</x:v>
      </x:c>
      <x:c r="C315" s="25" t="str">
        <x:v>Türkçe</x:v>
      </x:c>
      <x:c r="D315" s="25" t="str">
        <x:v>Lead</x:v>
      </x:c>
      <x:c r="E315" s="25" t="str">
        <x:v>Medikal Estetik / Plastik Cerrahi</x:v>
      </x:c>
      <x:c r="F315" s="25" t="str">
        <x:v>Doruk Hastaneleri - SİNA ÖZEL Sağlık Hizmetleri A.ş</x:v>
      </x:c>
      <x:c r="G315" s="25" t="str">
        <x:v>TRY</x:v>
      </x:c>
      <x:c r="H315" s="25" t="str">
        <x:v>ABO / Medikal Estetik lead / 16.04.2026</x:v>
      </x:c>
      <x:c r="I315" s="25" t="str">
        <x:v>​120248812698040399</x:v>
      </x:c>
      <x:c r="J315" s="25" t="str">
        <x:v>ACTIVE</x:v>
      </x:c>
      <x:c r="K315" s="25" t="str">
        <x:v>vücut şekillendirme  /  18 - 50  K</x:v>
      </x:c>
      <x:c r="L315" s="25" t="str">
        <x:v>​120248850800470399</x:v>
      </x:c>
      <x:c r="M315" s="25" t="str">
        <x:v>ACTIVE</x:v>
      </x:c>
      <x:c r="N315" s="25" t="str">
        <x:v>LEAD_GENERATION</x:v>
      </x:c>
      <x:c r="O315" s="27" t="n">
        <x:v>0</x:v>
      </x:c>
      <x:c r="P315" s="27" t="n">
        <x:v>0</x:v>
      </x:c>
      <x:c r="Q315" s="27" t="n">
        <x:v>300</x:v>
      </x:c>
      <x:c r="R315" s="27" t="n">
        <x:v>0</x:v>
      </x:c>
      <x:c r="S315" s="27" t="n">
        <x:v>6912.34</x:v>
      </x:c>
      <x:c r="T315" s="28" t="n">
        <x:v>24505</x:v>
      </x:c>
      <x:c r="U315" s="28" t="n">
        <x:v>12541</x:v>
      </x:c>
      <x:c r="V315" s="28" t="n">
        <x:v>390</x:v>
      </x:c>
      <x:c r="W315" s="28" t="n">
        <x:v>42</x:v>
      </x:c>
      <x:c r="X315" s="28" t="n">
        <x:v>0</x:v>
      </x:c>
      <x:c r="Y315" s="28" t="n">
        <x:v>42</x:v>
      </x:c>
      <x:c r="Z315" s="28" t="n">
        <x:v>39</x:v>
      </x:c>
      <x:c r="AA315" s="28" t="n">
        <x:v>4269</x:v>
      </x:c>
    </x:row>
    <x:row r="316">
      <x:c r="A316" s="25" t="str">
        <x:v>Ağustos 2026</x:v>
      </x:c>
      <x:c r="B316" s="25" t="str">
        <x:v>Yerli</x:v>
      </x:c>
      <x:c r="C316" s="25" t="str">
        <x:v>Türkçe</x:v>
      </x:c>
      <x:c r="D316" s="25" t="str">
        <x:v>Lead</x:v>
      </x:c>
      <x:c r="E316" s="25" t="str">
        <x:v>Medikal Estetik / Plastik Cerrahi</x:v>
      </x:c>
      <x:c r="F316" s="25" t="str">
        <x:v>Doruk Hastaneleri - SİNA ÖZEL Sağlık Hizmetleri A.ş</x:v>
      </x:c>
      <x:c r="G316" s="25" t="str">
        <x:v>TRY</x:v>
      </x:c>
      <x:c r="H316" s="25" t="str">
        <x:v>ABO / Medikal Estetik lead / 16.04.2026</x:v>
      </x:c>
      <x:c r="I316" s="25" t="str">
        <x:v>​120248812698040399</x:v>
      </x:c>
      <x:c r="J316" s="25" t="str">
        <x:v>ACTIVE</x:v>
      </x:c>
      <x:c r="K316" s="25" t="str">
        <x:v>vücut şekillendirme  /  18 - 50  K</x:v>
      </x:c>
      <x:c r="L316" s="25" t="str">
        <x:v>​120248850800470399</x:v>
      </x:c>
      <x:c r="M316" s="25" t="str">
        <x:v>ACTIVE</x:v>
      </x:c>
      <x:c r="N316" s="25" t="str">
        <x:v>LEAD_GENERATION</x:v>
      </x:c>
      <x:c r="O316" s="27" t="n">
        <x:v>0</x:v>
      </x:c>
      <x:c r="P316" s="27" t="n">
        <x:v>0</x:v>
      </x:c>
      <x:c r="Q316" s="27" t="n">
        <x:v>300</x:v>
      </x:c>
      <x:c r="R316" s="27" t="n">
        <x:v>0</x:v>
      </x:c>
      <x:c r="S316" s="27" t="n">
        <x:v>1497.85</x:v>
      </x:c>
      <x:c r="T316" s="28" t="n">
        <x:v>4952</x:v>
      </x:c>
      <x:c r="U316" s="28" t="n">
        <x:v>3401</x:v>
      </x:c>
      <x:c r="V316" s="28" t="n">
        <x:v>76</x:v>
      </x:c>
      <x:c r="W316" s="28" t="n">
        <x:v>9</x:v>
      </x:c>
      <x:c r="X316" s="28" t="n">
        <x:v>0</x:v>
      </x:c>
      <x:c r="Y316" s="28" t="n">
        <x:v>9</x:v>
      </x:c>
      <x:c r="Z316" s="28" t="n">
        <x:v>9</x:v>
      </x:c>
      <x:c r="AA316" s="28" t="n">
        <x:v>833</x:v>
      </x:c>
    </x:row>
    <x:row r="317">
      <x:c r="A317" s="25" t="str">
        <x:v>Temmuz 2026</x:v>
      </x:c>
      <x:c r="B317" s="25" t="str">
        <x:v>Yerli</x:v>
      </x:c>
      <x:c r="C317" s="25" t="str">
        <x:v>Türkçe</x:v>
      </x:c>
      <x:c r="D317" s="25" t="str">
        <x:v>Lead</x:v>
      </x:c>
      <x:c r="E317" s="25" t="str">
        <x:v>Medikal Estetik / Plastik Cerrahi</x:v>
      </x:c>
      <x:c r="F317" s="25" t="str">
        <x:v>Doruk Hastaneleri - SİNA ÖZEL Sağlık Hizmetleri A.ş</x:v>
      </x:c>
      <x:c r="G317" s="25" t="str">
        <x:v>TRY</x:v>
      </x:c>
      <x:c r="H317" s="25" t="str">
        <x:v>ABO / Meme Estetiği / plastik cerrahi / lead</x:v>
      </x:c>
      <x:c r="I317" s="25" t="str">
        <x:v>​120211732311210399</x:v>
      </x:c>
      <x:c r="J317" s="25" t="str">
        <x:v>ACTIVE</x:v>
      </x:c>
      <x:c r="K317" s="25" t="str">
        <x:v>Yeni Potansiyel Müşteriler Reklam Seti</x:v>
      </x:c>
      <x:c r="L317" s="25" t="str">
        <x:v>​120211732311200399</x:v>
      </x:c>
      <x:c r="M317" s="25" t="str">
        <x:v>ACTIVE</x:v>
      </x:c>
      <x:c r="N317" s="25" t="str">
        <x:v>LEAD_GENERATION</x:v>
      </x:c>
      <x:c r="O317" s="27" t="n">
        <x:v>0</x:v>
      </x:c>
      <x:c r="P317" s="27" t="n">
        <x:v>0</x:v>
      </x:c>
      <x:c r="Q317" s="27" t="n">
        <x:v>1000</x:v>
      </x:c>
      <x:c r="R317" s="27" t="n">
        <x:v>0</x:v>
      </x:c>
      <x:c r="S317" s="27" t="n">
        <x:v>19798.39</x:v>
      </x:c>
      <x:c r="T317" s="28" t="n">
        <x:v>173058</x:v>
      </x:c>
      <x:c r="U317" s="28" t="n">
        <x:v>73565</x:v>
      </x:c>
      <x:c r="V317" s="28" t="n">
        <x:v>1010</x:v>
      </x:c>
      <x:c r="W317" s="28" t="n">
        <x:v>58</x:v>
      </x:c>
      <x:c r="X317" s="28" t="n">
        <x:v>0</x:v>
      </x:c>
      <x:c r="Y317" s="28" t="n">
        <x:v>58</x:v>
      </x:c>
      <x:c r="Z317" s="28" t="n">
        <x:v>7</x:v>
      </x:c>
      <x:c r="AA317" s="28" t="n">
        <x:v>0</x:v>
      </x:c>
    </x:row>
    <x:row r="318">
      <x:c r="A318" s="25" t="str">
        <x:v>Ağustos 2026</x:v>
      </x:c>
      <x:c r="B318" s="25" t="str">
        <x:v>Yerli</x:v>
      </x:c>
      <x:c r="C318" s="25" t="str">
        <x:v>Türkçe</x:v>
      </x:c>
      <x:c r="D318" s="25" t="str">
        <x:v>Lead</x:v>
      </x:c>
      <x:c r="E318" s="25" t="str">
        <x:v>Medikal Estetik / Plastik Cerrahi</x:v>
      </x:c>
      <x:c r="F318" s="25" t="str">
        <x:v>Doruk Hastaneleri - SİNA ÖZEL Sağlık Hizmetleri A.ş</x:v>
      </x:c>
      <x:c r="G318" s="25" t="str">
        <x:v>TRY</x:v>
      </x:c>
      <x:c r="H318" s="25" t="str">
        <x:v>ABO / Meme Estetiği / plastik cerrahi / lead</x:v>
      </x:c>
      <x:c r="I318" s="25" t="str">
        <x:v>​120211732311210399</x:v>
      </x:c>
      <x:c r="J318" s="25" t="str">
        <x:v>ACTIVE</x:v>
      </x:c>
      <x:c r="K318" s="25" t="str">
        <x:v>Yeni Potansiyel Müşteriler Reklam Seti</x:v>
      </x:c>
      <x:c r="L318" s="25" t="str">
        <x:v>​120211732311200399</x:v>
      </x:c>
      <x:c r="M318" s="25" t="str">
        <x:v>ACTIVE</x:v>
      </x:c>
      <x:c r="N318" s="25" t="str">
        <x:v>LEAD_GENERATION</x:v>
      </x:c>
      <x:c r="O318" s="27" t="n">
        <x:v>0</x:v>
      </x:c>
      <x:c r="P318" s="27" t="n">
        <x:v>0</x:v>
      </x:c>
      <x:c r="Q318" s="27" t="n">
        <x:v>1000</x:v>
      </x:c>
      <x:c r="R318" s="27" t="n">
        <x:v>0</x:v>
      </x:c>
      <x:c r="S318" s="27" t="n">
        <x:v>3667.96</x:v>
      </x:c>
      <x:c r="T318" s="28" t="n">
        <x:v>31058</x:v>
      </x:c>
      <x:c r="U318" s="28" t="n">
        <x:v>19028</x:v>
      </x:c>
      <x:c r="V318" s="28" t="n">
        <x:v>150</x:v>
      </x:c>
      <x:c r="W318" s="28" t="n">
        <x:v>6</x:v>
      </x:c>
      <x:c r="X318" s="28" t="n">
        <x:v>0</x:v>
      </x:c>
      <x:c r="Y318" s="28" t="n">
        <x:v>6</x:v>
      </x:c>
      <x:c r="Z318" s="28" t="n">
        <x:v>0</x:v>
      </x:c>
      <x:c r="AA318" s="28" t="n">
        <x:v>0</x:v>
      </x:c>
    </x:row>
    <x:row r="319">
      <x:c r="A319" s="25" t="str">
        <x:v>Temmuz 2026</x:v>
      </x:c>
      <x:c r="B319" s="25" t="str">
        <x:v>Yerli</x:v>
      </x:c>
      <x:c r="C319" s="25" t="str">
        <x:v>Türkçe</x:v>
      </x:c>
      <x:c r="D319" s="25" t="str">
        <x:v>Lead</x:v>
      </x:c>
      <x:c r="E319" s="25" t="str">
        <x:v>Medikal Estetik / Plastik Cerrahi</x:v>
      </x:c>
      <x:c r="F319" s="25" t="str">
        <x:v>Doruk Hastaneleri - SİNA ÖZEL Sağlık Hizmetleri A.ş</x:v>
      </x:c>
      <x:c r="G319" s="25" t="str">
        <x:v>TRY</x:v>
      </x:c>
      <x:c r="H319" s="25" t="str">
        <x:v>ABO / Rinoplasti / plastik cerrahi / lead</x:v>
      </x:c>
      <x:c r="I319" s="25" t="str">
        <x:v>​120211732654260399</x:v>
      </x:c>
      <x:c r="J319" s="25" t="str">
        <x:v>ACTIVE</x:v>
      </x:c>
      <x:c r="K319" s="25" t="str">
        <x:v>broad 23-45 K/E</x:v>
      </x:c>
      <x:c r="L319" s="25" t="str">
        <x:v>​120211732654280399</x:v>
      </x:c>
      <x:c r="M319" s="25" t="str">
        <x:v>ACTIVE</x:v>
      </x:c>
      <x:c r="N319" s="25" t="str">
        <x:v>LEAD_GENERATION</x:v>
      </x:c>
      <x:c r="O319" s="27" t="n">
        <x:v>0</x:v>
      </x:c>
      <x:c r="P319" s="27" t="n">
        <x:v>0</x:v>
      </x:c>
      <x:c r="Q319" s="27" t="n">
        <x:v>800</x:v>
      </x:c>
      <x:c r="R319" s="27" t="n">
        <x:v>0</x:v>
      </x:c>
      <x:c r="S319" s="27" t="n">
        <x:v>16042.89</x:v>
      </x:c>
      <x:c r="T319" s="28" t="n">
        <x:v>100574</x:v>
      </x:c>
      <x:c r="U319" s="28" t="n">
        <x:v>38504</x:v>
      </x:c>
      <x:c r="V319" s="28" t="n">
        <x:v>672</x:v>
      </x:c>
      <x:c r="W319" s="28" t="n">
        <x:v>21</x:v>
      </x:c>
      <x:c r="X319" s="28" t="n">
        <x:v>0</x:v>
      </x:c>
      <x:c r="Y319" s="28" t="n">
        <x:v>21</x:v>
      </x:c>
      <x:c r="Z319" s="28" t="n">
        <x:v>3</x:v>
      </x:c>
      <x:c r="AA319" s="28" t="n">
        <x:v>0</x:v>
      </x:c>
    </x:row>
    <x:row r="320">
      <x:c r="A320" s="25" t="str">
        <x:v>Ağustos 2026</x:v>
      </x:c>
      <x:c r="B320" s="25" t="str">
        <x:v>Yerli</x:v>
      </x:c>
      <x:c r="C320" s="25" t="str">
        <x:v>Türkçe</x:v>
      </x:c>
      <x:c r="D320" s="25" t="str">
        <x:v>Lead</x:v>
      </x:c>
      <x:c r="E320" s="25" t="str">
        <x:v>Medikal Estetik / Plastik Cerrahi</x:v>
      </x:c>
      <x:c r="F320" s="25" t="str">
        <x:v>Doruk Hastaneleri - SİNA ÖZEL Sağlık Hizmetleri A.ş</x:v>
      </x:c>
      <x:c r="G320" s="25" t="str">
        <x:v>TRY</x:v>
      </x:c>
      <x:c r="H320" s="25" t="str">
        <x:v>ABO / Rinoplasti / plastik cerrahi / lead</x:v>
      </x:c>
      <x:c r="I320" s="25" t="str">
        <x:v>​120211732654260399</x:v>
      </x:c>
      <x:c r="J320" s="25" t="str">
        <x:v>ACTIVE</x:v>
      </x:c>
      <x:c r="K320" s="25" t="str">
        <x:v>broad 23-45 K/E</x:v>
      </x:c>
      <x:c r="L320" s="25" t="str">
        <x:v>​120211732654280399</x:v>
      </x:c>
      <x:c r="M320" s="25" t="str">
        <x:v>ACTIVE</x:v>
      </x:c>
      <x:c r="N320" s="25" t="str">
        <x:v>LEAD_GENERATION</x:v>
      </x:c>
      <x:c r="O320" s="27" t="n">
        <x:v>0</x:v>
      </x:c>
      <x:c r="P320" s="27" t="n">
        <x:v>0</x:v>
      </x:c>
      <x:c r="Q320" s="27" t="n">
        <x:v>800</x:v>
      </x:c>
      <x:c r="R320" s="27" t="n">
        <x:v>0</x:v>
      </x:c>
      <x:c r="S320" s="27" t="n">
        <x:v>3131.81</x:v>
      </x:c>
      <x:c r="T320" s="28" t="n">
        <x:v>22967</x:v>
      </x:c>
      <x:c r="U320" s="28" t="n">
        <x:v>14296</x:v>
      </x:c>
      <x:c r="V320" s="28" t="n">
        <x:v>129</x:v>
      </x:c>
      <x:c r="W320" s="28" t="n">
        <x:v>6</x:v>
      </x:c>
      <x:c r="X320" s="28" t="n">
        <x:v>0</x:v>
      </x:c>
      <x:c r="Y320" s="28" t="n">
        <x:v>6</x:v>
      </x:c>
      <x:c r="Z320" s="28" t="n">
        <x:v>1</x:v>
      </x:c>
      <x:c r="AA320" s="28" t="n">
        <x:v>0</x:v>
      </x:c>
    </x:row>
    <x:row r="321">
      <x:c r="A321" s="25" t="str">
        <x:v>Temmuz 2026</x:v>
      </x:c>
      <x:c r="B321" s="25" t="str">
        <x:v>Yerli</x:v>
      </x:c>
      <x:c r="C321" s="25" t="str">
        <x:v>Türkçe</x:v>
      </x:c>
      <x:c r="D321" s="25" t="str">
        <x:v>Lead</x:v>
      </x:c>
      <x:c r="E321" s="25" t="str">
        <x:v>Medikal Estetik / Plastik Cerrahi</x:v>
      </x:c>
      <x:c r="F321" s="25" t="str">
        <x:v>Doruk Hastaneleri - SİNA ÖZEL Sağlık Hizmetleri A.ş</x:v>
      </x:c>
      <x:c r="G321" s="25" t="str">
        <x:v>TRY</x:v>
      </x:c>
      <x:c r="H321" s="25" t="str">
        <x:v>ABO / Vücut Şekillendirme / plastik cerrahi / lead</x:v>
      </x:c>
      <x:c r="I321" s="25" t="str">
        <x:v>​120211732712890399</x:v>
      </x:c>
      <x:c r="J321" s="25" t="str">
        <x:v>ACTIVE</x:v>
      </x:c>
      <x:c r="K321" s="25" t="str">
        <x:v>broad 23 - 50 K</x:v>
      </x:c>
      <x:c r="L321" s="25" t="str">
        <x:v>​120211732712910399</x:v>
      </x:c>
      <x:c r="M321" s="25" t="str">
        <x:v>ACTIVE</x:v>
      </x:c>
      <x:c r="N321" s="25" t="str">
        <x:v>LEAD_GENERATION</x:v>
      </x:c>
      <x:c r="O321" s="27" t="n">
        <x:v>0</x:v>
      </x:c>
      <x:c r="P321" s="27" t="n">
        <x:v>0</x:v>
      </x:c>
      <x:c r="Q321" s="27" t="n">
        <x:v>300</x:v>
      </x:c>
      <x:c r="R321" s="27" t="n">
        <x:v>0</x:v>
      </x:c>
      <x:c r="S321" s="27" t="n">
        <x:v>6204.61</x:v>
      </x:c>
      <x:c r="T321" s="28" t="n">
        <x:v>24076</x:v>
      </x:c>
      <x:c r="U321" s="28" t="n">
        <x:v>9234</x:v>
      </x:c>
      <x:c r="V321" s="28" t="n">
        <x:v>284</x:v>
      </x:c>
      <x:c r="W321" s="28" t="n">
        <x:v>29</x:v>
      </x:c>
      <x:c r="X321" s="28" t="n">
        <x:v>0</x:v>
      </x:c>
      <x:c r="Y321" s="28" t="n">
        <x:v>29</x:v>
      </x:c>
      <x:c r="Z321" s="28" t="n">
        <x:v>5</x:v>
      </x:c>
      <x:c r="AA321" s="28" t="n">
        <x:v>0</x:v>
      </x:c>
    </x:row>
    <x:row r="322">
      <x:c r="A322" s="25" t="str">
        <x:v>Ağustos 2026</x:v>
      </x:c>
      <x:c r="B322" s="25" t="str">
        <x:v>Yerli</x:v>
      </x:c>
      <x:c r="C322" s="25" t="str">
        <x:v>Türkçe</x:v>
      </x:c>
      <x:c r="D322" s="25" t="str">
        <x:v>Lead</x:v>
      </x:c>
      <x:c r="E322" s="25" t="str">
        <x:v>Medikal Estetik / Plastik Cerrahi</x:v>
      </x:c>
      <x:c r="F322" s="25" t="str">
        <x:v>Doruk Hastaneleri - SİNA ÖZEL Sağlık Hizmetleri A.ş</x:v>
      </x:c>
      <x:c r="G322" s="25" t="str">
        <x:v>TRY</x:v>
      </x:c>
      <x:c r="H322" s="25" t="str">
        <x:v>ABO / Vücut Şekillendirme / plastik cerrahi / lead</x:v>
      </x:c>
      <x:c r="I322" s="25" t="str">
        <x:v>​120211732712890399</x:v>
      </x:c>
      <x:c r="J322" s="25" t="str">
        <x:v>ACTIVE</x:v>
      </x:c>
      <x:c r="K322" s="25" t="str">
        <x:v>broad 23 - 50 K</x:v>
      </x:c>
      <x:c r="L322" s="25" t="str">
        <x:v>​120211732712910399</x:v>
      </x:c>
      <x:c r="M322" s="25" t="str">
        <x:v>ACTIVE</x:v>
      </x:c>
      <x:c r="N322" s="25" t="str">
        <x:v>LEAD_GENERATION</x:v>
      </x:c>
      <x:c r="O322" s="27" t="n">
        <x:v>0</x:v>
      </x:c>
      <x:c r="P322" s="27" t="n">
        <x:v>0</x:v>
      </x:c>
      <x:c r="Q322" s="27" t="n">
        <x:v>300</x:v>
      </x:c>
      <x:c r="R322" s="27" t="n">
        <x:v>0</x:v>
      </x:c>
      <x:c r="S322" s="27" t="n">
        <x:v>1227.74</x:v>
      </x:c>
      <x:c r="T322" s="28" t="n">
        <x:v>4990</x:v>
      </x:c>
      <x:c r="U322" s="28" t="n">
        <x:v>3099</x:v>
      </x:c>
      <x:c r="V322" s="28" t="n">
        <x:v>57</x:v>
      </x:c>
      <x:c r="W322" s="28" t="n">
        <x:v>6</x:v>
      </x:c>
      <x:c r="X322" s="28" t="n">
        <x:v>0</x:v>
      </x:c>
      <x:c r="Y322" s="28" t="n">
        <x:v>6</x:v>
      </x:c>
      <x:c r="Z322" s="28" t="n">
        <x:v>0</x:v>
      </x:c>
      <x:c r="AA322" s="28" t="n">
        <x:v>0</x:v>
      </x:c>
    </x:row>
    <x:row r="323">
      <x:c r="A323" s="25" t="str">
        <x:v>Temmuz 2026</x:v>
      </x:c>
      <x:c r="B323" s="25" t="str">
        <x:v>Yerli</x:v>
      </x:c>
      <x:c r="C323" s="25" t="str">
        <x:v>Türkçe</x:v>
      </x:c>
      <x:c r="D323" s="25" t="str">
        <x:v>Lead</x:v>
      </x:c>
      <x:c r="E323" s="25" t="str">
        <x:v>Medikal Estetik / Plastik Cerrahi</x:v>
      </x:c>
      <x:c r="F323" s="25" t="str">
        <x:v>Doruk Hastaneleri - SİNA ÖZEL Sağlık Hizmetleri A.ş</x:v>
      </x:c>
      <x:c r="G323" s="25" t="str">
        <x:v>TRY</x:v>
      </x:c>
      <x:c r="H323" s="25" t="str">
        <x:v>ABO / Yüz Germe (Facelift) / plastik cerrahi / lead</x:v>
      </x:c>
      <x:c r="I323" s="25" t="str">
        <x:v>​120211732754080399</x:v>
      </x:c>
      <x:c r="J323" s="25" t="str">
        <x:v>ACTIVE</x:v>
      </x:c>
      <x:c r="K323" s="25" t="str">
        <x:v>broad 25-45 K</x:v>
      </x:c>
      <x:c r="L323" s="25" t="str">
        <x:v>​120211732754070399</x:v>
      </x:c>
      <x:c r="M323" s="25" t="str">
        <x:v>ACTIVE</x:v>
      </x:c>
      <x:c r="N323" s="25" t="str">
        <x:v>LEAD_GENERATION</x:v>
      </x:c>
      <x:c r="O323" s="27" t="n">
        <x:v>0</x:v>
      </x:c>
      <x:c r="P323" s="27" t="n">
        <x:v>0</x:v>
      </x:c>
      <x:c r="Q323" s="27" t="n">
        <x:v>300</x:v>
      </x:c>
      <x:c r="R323" s="27" t="n">
        <x:v>0</x:v>
      </x:c>
      <x:c r="S323" s="27" t="n">
        <x:v>6137.23</x:v>
      </x:c>
      <x:c r="T323" s="28" t="n">
        <x:v>19094</x:v>
      </x:c>
      <x:c r="U323" s="28" t="n">
        <x:v>7044</x:v>
      </x:c>
      <x:c r="V323" s="28" t="n">
        <x:v>264</x:v>
      </x:c>
      <x:c r="W323" s="28" t="n">
        <x:v>12</x:v>
      </x:c>
      <x:c r="X323" s="28" t="n">
        <x:v>0</x:v>
      </x:c>
      <x:c r="Y323" s="28" t="n">
        <x:v>12</x:v>
      </x:c>
      <x:c r="Z323" s="28" t="n">
        <x:v>3</x:v>
      </x:c>
      <x:c r="AA323" s="28" t="n">
        <x:v>0</x:v>
      </x:c>
    </x:row>
    <x:row r="324">
      <x:c r="A324" s="25" t="str">
        <x:v>Ağustos 2026</x:v>
      </x:c>
      <x:c r="B324" s="25" t="str">
        <x:v>Yerli</x:v>
      </x:c>
      <x:c r="C324" s="25" t="str">
        <x:v>Türkçe</x:v>
      </x:c>
      <x:c r="D324" s="25" t="str">
        <x:v>Lead</x:v>
      </x:c>
      <x:c r="E324" s="25" t="str">
        <x:v>Medikal Estetik / Plastik Cerrahi</x:v>
      </x:c>
      <x:c r="F324" s="25" t="str">
        <x:v>Doruk Hastaneleri - SİNA ÖZEL Sağlık Hizmetleri A.ş</x:v>
      </x:c>
      <x:c r="G324" s="25" t="str">
        <x:v>TRY</x:v>
      </x:c>
      <x:c r="H324" s="25" t="str">
        <x:v>ABO / Yüz Germe (Facelift) / plastik cerrahi / lead</x:v>
      </x:c>
      <x:c r="I324" s="25" t="str">
        <x:v>​120211732754080399</x:v>
      </x:c>
      <x:c r="J324" s="25" t="str">
        <x:v>ACTIVE</x:v>
      </x:c>
      <x:c r="K324" s="25" t="str">
        <x:v>broad 25-45 K</x:v>
      </x:c>
      <x:c r="L324" s="25" t="str">
        <x:v>​120211732754070399</x:v>
      </x:c>
      <x:c r="M324" s="25" t="str">
        <x:v>ACTIVE</x:v>
      </x:c>
      <x:c r="N324" s="25" t="str">
        <x:v>LEAD_GENERATION</x:v>
      </x:c>
      <x:c r="O324" s="27" t="n">
        <x:v>0</x:v>
      </x:c>
      <x:c r="P324" s="27" t="n">
        <x:v>0</x:v>
      </x:c>
      <x:c r="Q324" s="27" t="n">
        <x:v>300</x:v>
      </x:c>
      <x:c r="R324" s="27" t="n">
        <x:v>0</x:v>
      </x:c>
      <x:c r="S324" s="27" t="n">
        <x:v>1215.68</x:v>
      </x:c>
      <x:c r="T324" s="28" t="n">
        <x:v>3780</x:v>
      </x:c>
      <x:c r="U324" s="28" t="n">
        <x:v>2394</x:v>
      </x:c>
      <x:c r="V324" s="28" t="n">
        <x:v>51</x:v>
      </x:c>
      <x:c r="W324" s="28" t="n">
        <x:v>1</x:v>
      </x:c>
      <x:c r="X324" s="28" t="n">
        <x:v>0</x:v>
      </x:c>
      <x:c r="Y324" s="28" t="n">
        <x:v>1</x:v>
      </x:c>
      <x:c r="Z324" s="28" t="n">
        <x:v>0</x:v>
      </x:c>
      <x:c r="AA324" s="28" t="n">
        <x:v>0</x:v>
      </x:c>
    </x:row>
    <x:row r="325">
      <x:c r="A325" s="25" t="str">
        <x:v>Temmuz 2026</x:v>
      </x:c>
      <x:c r="B325" s="25" t="str">
        <x:v>Yerli</x:v>
      </x:c>
      <x:c r="C325" s="25" t="str">
        <x:v>Türkçe</x:v>
      </x:c>
      <x:c r="D325" s="25" t="str">
        <x:v>Lead</x:v>
      </x:c>
      <x:c r="E325" s="25" t="str">
        <x:v>Medikal Estetik / Plastik Cerrahi</x:v>
      </x:c>
      <x:c r="F325" s="25" t="str">
        <x:v>Doruk Hastaneleri - SİNA ÖZEL Sağlık Hizmetleri A.ş</x:v>
      </x:c>
      <x:c r="G325" s="25" t="str">
        <x:v>TRY</x:v>
      </x:c>
      <x:c r="H325" s="25" t="str">
        <x:v>ABO /Jinekomasti / plastik cerrahi / lead</x:v>
      </x:c>
      <x:c r="I325" s="25" t="str">
        <x:v>​120211732618490399</x:v>
      </x:c>
      <x:c r="J325" s="25" t="str">
        <x:v>ACTIVE</x:v>
      </x:c>
      <x:c r="K325" s="25" t="str">
        <x:v>broad 25-50 E</x:v>
      </x:c>
      <x:c r="L325" s="25" t="str">
        <x:v>​120211732618480399</x:v>
      </x:c>
      <x:c r="M325" s="25" t="str">
        <x:v>ACTIVE</x:v>
      </x:c>
      <x:c r="N325" s="25" t="str">
        <x:v>LEAD_GENERATION</x:v>
      </x:c>
      <x:c r="O325" s="27" t="n">
        <x:v>0</x:v>
      </x:c>
      <x:c r="P325" s="27" t="n">
        <x:v>0</x:v>
      </x:c>
      <x:c r="Q325" s="27" t="n">
        <x:v>300</x:v>
      </x:c>
      <x:c r="R325" s="27" t="n">
        <x:v>0</x:v>
      </x:c>
      <x:c r="S325" s="27" t="n">
        <x:v>6006.43</x:v>
      </x:c>
      <x:c r="T325" s="28" t="n">
        <x:v>64023</x:v>
      </x:c>
      <x:c r="U325" s="28" t="n">
        <x:v>27590</x:v>
      </x:c>
      <x:c r="V325" s="28" t="n">
        <x:v>329</x:v>
      </x:c>
      <x:c r="W325" s="28" t="n">
        <x:v>19</x:v>
      </x:c>
      <x:c r="X325" s="28" t="n">
        <x:v>0</x:v>
      </x:c>
      <x:c r="Y325" s="28" t="n">
        <x:v>19</x:v>
      </x:c>
      <x:c r="Z325" s="28" t="n">
        <x:v>1</x:v>
      </x:c>
      <x:c r="AA325" s="28" t="n">
        <x:v>0</x:v>
      </x:c>
    </x:row>
    <x:row r="326">
      <x:c r="A326" s="25" t="str">
        <x:v>Ağustos 2026</x:v>
      </x:c>
      <x:c r="B326" s="25" t="str">
        <x:v>Yerli</x:v>
      </x:c>
      <x:c r="C326" s="25" t="str">
        <x:v>Türkçe</x:v>
      </x:c>
      <x:c r="D326" s="25" t="str">
        <x:v>Lead</x:v>
      </x:c>
      <x:c r="E326" s="25" t="str">
        <x:v>Medikal Estetik / Plastik Cerrahi</x:v>
      </x:c>
      <x:c r="F326" s="25" t="str">
        <x:v>Doruk Hastaneleri - SİNA ÖZEL Sağlık Hizmetleri A.ş</x:v>
      </x:c>
      <x:c r="G326" s="25" t="str">
        <x:v>TRY</x:v>
      </x:c>
      <x:c r="H326" s="25" t="str">
        <x:v>ABO /Jinekomasti / plastik cerrahi / lead</x:v>
      </x:c>
      <x:c r="I326" s="25" t="str">
        <x:v>​120211732618490399</x:v>
      </x:c>
      <x:c r="J326" s="25" t="str">
        <x:v>ACTIVE</x:v>
      </x:c>
      <x:c r="K326" s="25" t="str">
        <x:v>broad 25-50 E</x:v>
      </x:c>
      <x:c r="L326" s="25" t="str">
        <x:v>​120211732618480399</x:v>
      </x:c>
      <x:c r="M326" s="25" t="str">
        <x:v>ACTIVE</x:v>
      </x:c>
      <x:c r="N326" s="25" t="str">
        <x:v>LEAD_GENERATION</x:v>
      </x:c>
      <x:c r="O326" s="27" t="n">
        <x:v>0</x:v>
      </x:c>
      <x:c r="P326" s="27" t="n">
        <x:v>0</x:v>
      </x:c>
      <x:c r="Q326" s="27" t="n">
        <x:v>300</x:v>
      </x:c>
      <x:c r="R326" s="27" t="n">
        <x:v>0</x:v>
      </x:c>
      <x:c r="S326" s="27" t="n">
        <x:v>1147.2</x:v>
      </x:c>
      <x:c r="T326" s="28" t="n">
        <x:v>12775</x:v>
      </x:c>
      <x:c r="U326" s="28" t="n">
        <x:v>8933</x:v>
      </x:c>
      <x:c r="V326" s="28" t="n">
        <x:v>70</x:v>
      </x:c>
      <x:c r="W326" s="28" t="n">
        <x:v>2</x:v>
      </x:c>
      <x:c r="X326" s="28" t="n">
        <x:v>0</x:v>
      </x:c>
      <x:c r="Y326" s="28" t="n">
        <x:v>2</x:v>
      </x:c>
      <x:c r="Z326" s="28" t="n">
        <x:v>0</x:v>
      </x:c>
      <x:c r="AA326" s="28" t="n">
        <x:v>0</x:v>
      </x:c>
    </x:row>
    <x:row r="327">
      <x:c r="A327" s="25" t="str">
        <x:v>Temmuz 2026</x:v>
      </x:c>
      <x:c r="B327" s="25" t="str">
        <x:v>Yerli</x:v>
      </x:c>
      <x:c r="C327" s="25" t="str">
        <x:v>Türkçe</x:v>
      </x:c>
      <x:c r="D327" s="25" t="str">
        <x:v>Lead</x:v>
      </x:c>
      <x:c r="E327" s="25" t="str">
        <x:v>Medikal Estetik / Plastik Cerrahi</x:v>
      </x:c>
      <x:c r="F327" s="25" t="str">
        <x:v>Doruk Hastaneleri - SİNA ÖZEL Sağlık Hizmetleri A.ş</x:v>
      </x:c>
      <x:c r="G327" s="25" t="str">
        <x:v>TRY</x:v>
      </x:c>
      <x:c r="H327" s="25" t="str">
        <x:v>ABO /Kepçe Kulak / plastik cerrahi / lead</x:v>
      </x:c>
      <x:c r="I327" s="25" t="str">
        <x:v>​120211732243050399</x:v>
      </x:c>
      <x:c r="J327" s="25" t="str">
        <x:v>ACTIVE</x:v>
      </x:c>
      <x:c r="K327" s="25" t="str">
        <x:v>Yeni Potansiyel Müşteriler Reklam Seti</x:v>
      </x:c>
      <x:c r="L327" s="25" t="str">
        <x:v>​120211732243040399</x:v>
      </x:c>
      <x:c r="M327" s="25" t="str">
        <x:v>ACTIVE</x:v>
      </x:c>
      <x:c r="N327" s="25" t="str">
        <x:v>LEAD_GENERATION</x:v>
      </x:c>
      <x:c r="O327" s="27" t="n">
        <x:v>0</x:v>
      </x:c>
      <x:c r="P327" s="27" t="n">
        <x:v>0</x:v>
      </x:c>
      <x:c r="Q327" s="27" t="n">
        <x:v>300</x:v>
      </x:c>
      <x:c r="R327" s="27" t="n">
        <x:v>0</x:v>
      </x:c>
      <x:c r="S327" s="27" t="n">
        <x:v>5981.94</x:v>
      </x:c>
      <x:c r="T327" s="28" t="n">
        <x:v>148420</x:v>
      </x:c>
      <x:c r="U327" s="28" t="n">
        <x:v>92061</x:v>
      </x:c>
      <x:c r="V327" s="28" t="n">
        <x:v>582</x:v>
      </x:c>
      <x:c r="W327" s="28" t="n">
        <x:v>25</x:v>
      </x:c>
      <x:c r="X327" s="28" t="n">
        <x:v>0</x:v>
      </x:c>
      <x:c r="Y327" s="28" t="n">
        <x:v>25</x:v>
      </x:c>
      <x:c r="Z327" s="28" t="n">
        <x:v>3</x:v>
      </x:c>
      <x:c r="AA327" s="28" t="n">
        <x:v>0</x:v>
      </x:c>
    </x:row>
    <x:row r="328">
      <x:c r="A328" s="25" t="str">
        <x:v>Ağustos 2026</x:v>
      </x:c>
      <x:c r="B328" s="25" t="str">
        <x:v>Yerli</x:v>
      </x:c>
      <x:c r="C328" s="25" t="str">
        <x:v>Türkçe</x:v>
      </x:c>
      <x:c r="D328" s="25" t="str">
        <x:v>Lead</x:v>
      </x:c>
      <x:c r="E328" s="25" t="str">
        <x:v>Medikal Estetik / Plastik Cerrahi</x:v>
      </x:c>
      <x:c r="F328" s="25" t="str">
        <x:v>Doruk Hastaneleri - SİNA ÖZEL Sağlık Hizmetleri A.ş</x:v>
      </x:c>
      <x:c r="G328" s="25" t="str">
        <x:v>TRY</x:v>
      </x:c>
      <x:c r="H328" s="25" t="str">
        <x:v>ABO /Kepçe Kulak / plastik cerrahi / lead</x:v>
      </x:c>
      <x:c r="I328" s="25" t="str">
        <x:v>​120211732243050399</x:v>
      </x:c>
      <x:c r="J328" s="25" t="str">
        <x:v>ACTIVE</x:v>
      </x:c>
      <x:c r="K328" s="25" t="str">
        <x:v>Yeni Potansiyel Müşteriler Reklam Seti</x:v>
      </x:c>
      <x:c r="L328" s="25" t="str">
        <x:v>​120211732243040399</x:v>
      </x:c>
      <x:c r="M328" s="25" t="str">
        <x:v>ACTIVE</x:v>
      </x:c>
      <x:c r="N328" s="25" t="str">
        <x:v>LEAD_GENERATION</x:v>
      </x:c>
      <x:c r="O328" s="27" t="n">
        <x:v>0</x:v>
      </x:c>
      <x:c r="P328" s="27" t="n">
        <x:v>0</x:v>
      </x:c>
      <x:c r="Q328" s="27" t="n">
        <x:v>300</x:v>
      </x:c>
      <x:c r="R328" s="27" t="n">
        <x:v>0</x:v>
      </x:c>
      <x:c r="S328" s="27" t="n">
        <x:v>1112.14</x:v>
      </x:c>
      <x:c r="T328" s="28" t="n">
        <x:v>21070</x:v>
      </x:c>
      <x:c r="U328" s="28" t="n">
        <x:v>17180</x:v>
      </x:c>
      <x:c r="V328" s="28" t="n">
        <x:v>85</x:v>
      </x:c>
      <x:c r="W328" s="28" t="n">
        <x:v>4</x:v>
      </x:c>
      <x:c r="X328" s="28" t="n">
        <x:v>0</x:v>
      </x:c>
      <x:c r="Y328" s="28" t="n">
        <x:v>4</x:v>
      </x:c>
      <x:c r="Z328" s="28" t="n">
        <x:v>0</x:v>
      </x:c>
      <x:c r="AA328" s="28" t="n">
        <x:v>0</x:v>
      </x:c>
    </x:row>
    <x:row r="329">
      <x:c r="A329" s="25" t="str">
        <x:v>Temmuz 2026</x:v>
      </x:c>
      <x:c r="B329" s="25" t="str">
        <x:v>Yerli</x:v>
      </x:c>
      <x:c r="C329" s="25" t="str">
        <x:v>Türkçe</x:v>
      </x:c>
      <x:c r="D329" s="25" t="str">
        <x:v>Lead</x:v>
      </x:c>
      <x:c r="E329" s="25" t="str">
        <x:v>Saç Ekimi</x:v>
      </x:c>
      <x:c r="F329" s="25" t="str">
        <x:v>Doruk Hastaneleri - SİNA ÖZEL Sağlık Hizmetleri A.ş</x:v>
      </x:c>
      <x:c r="G329" s="25" t="str">
        <x:v>TRY</x:v>
      </x:c>
      <x:c r="H329" s="25" t="str">
        <x:v>CBO / Saç Ekimi - lead / soğuk</x:v>
      </x:c>
      <x:c r="I329" s="25" t="str">
        <x:v>​120202624613730399</x:v>
      </x:c>
      <x:c r="J329" s="25" t="str">
        <x:v>ACTIVE</x:v>
      </x:c>
      <x:c r="K329" s="25" t="str">
        <x:v>bursa &amp; Çevresi / broad 24 - 55 / görsel test ok</x:v>
      </x:c>
      <x:c r="L329" s="25" t="str">
        <x:v>​120207082576030399</x:v>
      </x:c>
      <x:c r="M329" s="25" t="str">
        <x:v>ACTIVE</x:v>
      </x:c>
      <x:c r="N329" s="25" t="str">
        <x:v>LEAD_GENERATION</x:v>
      </x:c>
      <x:c r="O329" s="27" t="n">
        <x:v>0</x:v>
      </x:c>
      <x:c r="P329" s="27" t="n">
        <x:v>0</x:v>
      </x:c>
      <x:c r="Q329" s="27" t="n">
        <x:v>1000</x:v>
      </x:c>
      <x:c r="R329" s="27" t="n">
        <x:v>0</x:v>
      </x:c>
      <x:c r="S329" s="27" t="n">
        <x:v>20233.76</x:v>
      </x:c>
      <x:c r="T329" s="28" t="n">
        <x:v>136188</x:v>
      </x:c>
      <x:c r="U329" s="28" t="n">
        <x:v>36695</x:v>
      </x:c>
      <x:c r="V329" s="28" t="n">
        <x:v>838</x:v>
      </x:c>
      <x:c r="W329" s="28" t="n">
        <x:v>38</x:v>
      </x:c>
      <x:c r="X329" s="28" t="n">
        <x:v>0</x:v>
      </x:c>
      <x:c r="Y329" s="28" t="n">
        <x:v>38</x:v>
      </x:c>
      <x:c r="Z329" s="28" t="n">
        <x:v>6</x:v>
      </x:c>
      <x:c r="AA329" s="28" t="n">
        <x:v>0</x:v>
      </x:c>
    </x:row>
    <x:row r="330">
      <x:c r="A330" s="25" t="str">
        <x:v>Ağustos 2026</x:v>
      </x:c>
      <x:c r="B330" s="25" t="str">
        <x:v>Yerli</x:v>
      </x:c>
      <x:c r="C330" s="25" t="str">
        <x:v>Türkçe</x:v>
      </x:c>
      <x:c r="D330" s="25" t="str">
        <x:v>Lead</x:v>
      </x:c>
      <x:c r="E330" s="25" t="str">
        <x:v>Saç Ekimi</x:v>
      </x:c>
      <x:c r="F330" s="25" t="str">
        <x:v>Doruk Hastaneleri - SİNA ÖZEL Sağlık Hizmetleri A.ş</x:v>
      </x:c>
      <x:c r="G330" s="25" t="str">
        <x:v>TRY</x:v>
      </x:c>
      <x:c r="H330" s="25" t="str">
        <x:v>CBO / Saç Ekimi - lead / soğuk</x:v>
      </x:c>
      <x:c r="I330" s="25" t="str">
        <x:v>​120202624613730399</x:v>
      </x:c>
      <x:c r="J330" s="25" t="str">
        <x:v>ACTIVE</x:v>
      </x:c>
      <x:c r="K330" s="25" t="str">
        <x:v>bursa &amp; Çevresi / broad 24 - 55 / görsel test ok</x:v>
      </x:c>
      <x:c r="L330" s="25" t="str">
        <x:v>​120207082576030399</x:v>
      </x:c>
      <x:c r="M330" s="25" t="str">
        <x:v>ACTIVE</x:v>
      </x:c>
      <x:c r="N330" s="25" t="str">
        <x:v>LEAD_GENERATION</x:v>
      </x:c>
      <x:c r="O330" s="27" t="n">
        <x:v>0</x:v>
      </x:c>
      <x:c r="P330" s="27" t="n">
        <x:v>0</x:v>
      </x:c>
      <x:c r="Q330" s="27" t="n">
        <x:v>1000</x:v>
      </x:c>
      <x:c r="R330" s="27" t="n">
        <x:v>0</x:v>
      </x:c>
      <x:c r="S330" s="27" t="n">
        <x:v>4352.94</x:v>
      </x:c>
      <x:c r="T330" s="28" t="n">
        <x:v>23936</x:v>
      </x:c>
      <x:c r="U330" s="28" t="n">
        <x:v>14320</x:v>
      </x:c>
      <x:c r="V330" s="28" t="n">
        <x:v>212</x:v>
      </x:c>
      <x:c r="W330" s="28" t="n">
        <x:v>10</x:v>
      </x:c>
      <x:c r="X330" s="28" t="n">
        <x:v>0</x:v>
      </x:c>
      <x:c r="Y330" s="28" t="n">
        <x:v>10</x:v>
      </x:c>
      <x:c r="Z330" s="28" t="n">
        <x:v>1</x:v>
      </x:c>
      <x:c r="AA330" s="28" t="n">
        <x:v>0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1f749fcd17e64d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48" hidden="0" customWidth="1"/>
    <x:col min="4" max="4" width="12" hidden="0" customWidth="1"/>
    <x:col min="5" max="5" width="24" hidden="0" customWidth="1"/>
    <x:col min="6" max="6" width="48" hidden="0" customWidth="1"/>
  </x:cols>
  <x:sheetData>
    <x:row r="1">
      <x:c r="A1" s="39" t="str">
        <x:v>Amaç ve Sınıflandırma Sözlüğü</x:v>
      </x:c>
      <x:c r="B1" s="39"/>
      <x:c r="C1" s="39"/>
      <x:c r="D1" s="39"/>
      <x:c r="E1" s="39"/>
      <x:c r="F1" s="39"/>
    </x:row>
    <x:row r="2">
      <x:c r="A2" s="24" t="str">
        <x:v>Meta teknik amaçları yönetim raporunda iki iş amacı altında sadeleştirilir; mesaj yalnızca sonuç metriğidir.</x:v>
      </x:c>
      <x:c r="B2" s="24"/>
      <x:c r="C2" s="24"/>
      <x:c r="D2" s="24"/>
      <x:c r="E2" s="24"/>
      <x:c r="F2" s="24"/>
    </x:row>
    <x:row r="3">
      <x:c r="A3" s="25"/>
      <x:c r="B3" s="25"/>
      <x:c r="C3" s="25"/>
      <x:c r="D3" s="25"/>
      <x:c r="E3" s="25"/>
      <x:c r="F3" s="25"/>
    </x:row>
    <x:row r="4">
      <x:c r="A4" s="41" t="str">
        <x:v>İş Amacı</x:v>
      </x:c>
      <x:c r="B4" s="42" t="str">
        <x:v>Meta Amaç / Optimizasyon</x:v>
      </x:c>
      <x:c r="C4" s="42" t="str">
        <x:v>Örnek Teknik Değerler</x:v>
      </x:c>
      <x:c r="D4" s="42" t="str">
        <x:v>Öncelik</x:v>
      </x:c>
      <x:c r="E4" s="42" t="str">
        <x:v>Dil Kuralı</x:v>
      </x:c>
      <x:c r="F4" s="43" t="str">
        <x:v>Not</x:v>
      </x:c>
    </x:row>
    <x:row r="5">
      <x:c r="A5" s="33" t="str">
        <x:v>Lead</x:v>
      </x:c>
      <x:c r="B5" s="34" t="str">
        <x:v>Lead üretimi</x:v>
      </x:c>
      <x:c r="C5" s="34" t="str">
        <x:v>OUTCOME_LEADS, LEAD_GENERATION, QUALITY_LEAD</x:v>
      </x:c>
      <x:c r="D5" s="34" t="str">
        <x:v>1</x:v>
      </x:c>
      <x:c r="E5" s="34" t="str">
        <x:v>Yerli = Türkçe</x:v>
      </x:c>
      <x:c r="F5" s="35" t="str">
        <x:v>Lead diğer amaçlardan ayrı raporlanır.</x:v>
      </x:c>
    </x:row>
    <x:row r="6">
      <x:c r="A6" s="33" t="str">
        <x:v>Bilinirlik / İzlenme / Trafik</x:v>
      </x:c>
      <x:c r="B6" s="34" t="str">
        <x:v>Üst huni, etkileşim ve trafik</x:v>
      </x:c>
      <x:c r="C6" s="34" t="str">
        <x:v>OUTCOME_AWARENESS, LINK_CLICKS, OUTCOME_TRAFFIC, REACH, THRUPLAY, PROFILE_VISIT</x:v>
      </x:c>
      <x:c r="D6" s="34" t="str">
        <x:v>2</x:v>
      </x:c>
      <x:c r="E6" s="34" t="str">
        <x:v>Belirsiz dil ayrıca işaretlenir</x:v>
      </x:c>
      <x:c r="F6" s="35" t="str">
        <x:v>Lead olmayan dağınık üst-huni amaçları tek hedefte toplanır. Mesaj bir amaç grubu değildir.</x:v>
      </x:c>
    </x:row>
    <x:row r="7">
      <x:c r="A7" s="33" t="str">
        <x:v>Yerli</x:v>
      </x:c>
      <x:c r="B7" s="34" t="str">
        <x:v>Hesap eşleme</x:v>
      </x:c>
      <x:c r="C7" s="34" t="str">
        <x:v>SİNA, Doruk Estetik, doktor hesapları</x:v>
      </x:c>
      <x:c r="D7" s="34" t="str"/>
      <x:c r="E7" s="34" t="str">
        <x:v>Türkçe</x:v>
      </x:c>
      <x:c r="F7" s="35" t="str">
        <x:v>Kullanıcı tarafından onaylanan eşleme.</x:v>
      </x:c>
    </x:row>
    <x:row r="8">
      <x:c r="A8" s="33" t="str">
        <x:v>Yabancı</x:v>
      </x:c>
      <x:c r="B8" s="34" t="str">
        <x:v>Hesap eşleme</x:v>
      </x:c>
      <x:c r="C8" s="34" t="str">
        <x:v>Doruk Hospital — Lechenie / Ilaj</x:v>
      </x:c>
      <x:c r="D8" s="34" t="str"/>
      <x:c r="E8" s="34" t="str">
        <x:v>Rusça / Arapça / İngilizce</x:v>
      </x:c>
      <x:c r="F8" s="35" t="str">
        <x:v>Kullanıcı tarafından onaylanan eşleme. Arapça WhatsApp konuşmaları şimdilik WhatsApp Lead sayılır.</x:v>
      </x:c>
    </x:row>
    <x:row r="9">
      <x:c r="A9" s="36" t="str">
        <x:v>Belirsiz</x:v>
      </x:c>
      <x:c r="B9" s="37" t="str">
        <x:v>Hesap eşleme</x:v>
      </x:c>
      <x:c r="C9" s="37" t="str">
        <x:v>DOspa Thermal</x:v>
      </x:c>
      <x:c r="D9" s="37" t="str"/>
      <x:c r="E9" s="37" t="str">
        <x:v>Belirsiz</x:v>
      </x:c>
      <x:c r="F9" s="38" t="str">
        <x:v>Kullanıcı sınıflandırması bekleniyor.</x:v>
      </x:c>
    </x:row>
  </x:sheetData>
  <x:mergeCells>
    <x:mergeCell ref="A1:F1"/>
    <x:mergeCell ref="A2:F2"/>
  </x:mergeCells>
  <x:pageMargins left="0.7" right="0.7" top="0.75" bottom="0.75" header="0.3" footer="0.3"/>
</x:worksheet>
</file>