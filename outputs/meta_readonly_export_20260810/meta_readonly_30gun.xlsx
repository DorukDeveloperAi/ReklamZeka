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843558dad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13f0b482b0c24d83"/>
    <x:sheet xmlns:r="http://schemas.openxmlformats.org/officeDocument/2006/relationships" name="Hesaplar" sheetId="2" r:id="R91588b2306dc4ff0"/>
    <x:sheet xmlns:r="http://schemas.openxmlformats.org/officeDocument/2006/relationships" name="Kampanyalar" sheetId="3" r:id="Ra17d8112a8a4424a"/>
    <x:sheet xmlns:r="http://schemas.openxmlformats.org/officeDocument/2006/relationships" name="Günlük Performans" sheetId="4" r:id="R112740414cd742d3"/>
    <x:sheet xmlns:r="http://schemas.openxmlformats.org/officeDocument/2006/relationships" name="Kaynak ve Notlar" sheetId="5" r:id="R689daeaa0bde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3B5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7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7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4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321530d53450c" /><Relationship Type="http://schemas.openxmlformats.org/officeDocument/2006/relationships/theme" Target="/xl/theme/theme1.xml" Id="Rf315a7b7165a459c" /><Relationship Type="http://schemas.openxmlformats.org/officeDocument/2006/relationships/sharedStrings" Target="/xl/sharedStrings.xml" Id="R087a2d77378c408e" /><Relationship Type="http://schemas.openxmlformats.org/officeDocument/2006/relationships/worksheet" Target="/xl/worksheets/sheet1.xml" Id="R13f0b482b0c24d83" /><Relationship Type="http://schemas.openxmlformats.org/officeDocument/2006/relationships/worksheet" Target="/xl/worksheets/sheet2.xml" Id="R91588b2306dc4ff0" /><Relationship Type="http://schemas.openxmlformats.org/officeDocument/2006/relationships/worksheet" Target="/xl/worksheets/sheet3.xml" Id="Ra17d8112a8a4424a" /><Relationship Type="http://schemas.openxmlformats.org/officeDocument/2006/relationships/worksheet" Target="/xl/worksheets/sheet4.xml" Id="R112740414cd742d3" /><Relationship Type="http://schemas.openxmlformats.org/officeDocument/2006/relationships/worksheet" Target="/xl/worksheets/sheet5.xml" Id="R689daeaa0bde42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60001373291016" hidden="0" customWidth="1"/>
    <x:col min="2" max="2" width="45.560001373291016" hidden="0" customWidth="1"/>
    <x:col min="3" max="3" width="45.560001373291016" hidden="0" customWidth="1"/>
    <x:col min="4" max="4" width="45.560001373291016" hidden="0" customWidth="1"/>
    <x:col min="5" max="5" width="45.560001373291016" hidden="0" customWidth="1"/>
    <x:col min="6" max="6" width="45.560001373291016" hidden="0" customWidth="1"/>
  </x:cols>
  <x:sheetData>
    <x:row r="1" ht="28" customHeight="1">
      <x:c r="A1" s="33" t="str">
        <x:v>Meta Read-only İzolasyon Dışa Aktarımı</x:v>
      </x:c>
      <x:c r="B1" s="33" t="str">
        <x:v>Meta Read-only İzolasyon Dışa Aktarımı</x:v>
      </x:c>
      <x:c r="C1" s="33" t="str">
        <x:v>Meta Read-only İzolasyon Dışa Aktarımı</x:v>
      </x:c>
      <x:c r="D1" s="33" t="str">
        <x:v>Meta Read-only İzolasyon Dışa Aktarımı</x:v>
      </x:c>
      <x:c r="E1" s="33" t="str">
        <x:v>Meta Read-only İzolasyon Dışa Aktarımı</x:v>
      </x:c>
      <x:c r="F1" s="33" t="str">
        <x:v>Meta Read-only İzolasyon Dışa Aktarımı</x:v>
      </x:c>
    </x:row>
    <x:row r="2">
      <x:c r="A2" s="34"/>
      <x:c r="B2" s="34"/>
      <x:c r="C2" s="34"/>
      <x:c r="D2" s="34"/>
      <x:c r="E2" s="34"/>
      <x:c r="F2" s="34"/>
    </x:row>
    <x:row r="3">
      <x:c r="A3" s="35" t="str">
        <x:v>Çekim zamanı (UTC)</x:v>
      </x:c>
      <x:c r="B3" s="46" t="n">
        <x:v>46244.474988229165</x:v>
      </x:c>
      <x:c r="C3" s="34"/>
      <x:c r="D3" s="34"/>
      <x:c r="E3" s="34"/>
      <x:c r="F3" s="34"/>
    </x:row>
    <x:row r="4">
      <x:c r="A4" s="37" t="str">
        <x:v>Kaynak</x:v>
      </x:c>
      <x:c r="B4" s="38" t="str">
        <x:v>Meta Graph API v23.0 — yalnız GET</x:v>
      </x:c>
      <x:c r="C4" s="34"/>
      <x:c r="D4" s="34"/>
      <x:c r="E4" s="34"/>
      <x:c r="F4" s="34"/>
    </x:row>
    <x:row r="5">
      <x:c r="A5" s="37" t="str">
        <x:v>Pencere</x:v>
      </x:c>
      <x:c r="B5" s="38" t="str">
        <x:v>Son 30 gün; günlük kampanya düzeyi</x:v>
      </x:c>
      <x:c r="C5" s="34"/>
      <x:c r="D5" s="34"/>
      <x:c r="E5" s="34"/>
      <x:c r="F5" s="34"/>
    </x:row>
    <x:row r="6">
      <x:c r="A6" s="37" t="str">
        <x:v>PostgreSQL / uygulama</x:v>
      </x:c>
      <x:c r="B6" s="38" t="str">
        <x:v>Kullanılmadı</x:v>
      </x:c>
      <x:c r="C6" s="34"/>
      <x:c r="D6" s="34"/>
      <x:c r="E6" s="34"/>
      <x:c r="F6" s="34"/>
    </x:row>
    <x:row r="7">
      <x:c r="A7" s="39" t="str">
        <x:v>Yazma işlemi</x:v>
      </x:c>
      <x:c r="B7" s="40" t="str">
        <x:v>0 — salt okunur dışa aktarma</x:v>
      </x:c>
      <x:c r="C7" s="34"/>
      <x:c r="D7" s="34"/>
      <x:c r="E7" s="34"/>
      <x:c r="F7" s="34"/>
    </x:row>
    <x:row r="8">
      <x:c r="A8" s="34"/>
      <x:c r="B8" s="34"/>
      <x:c r="C8" s="34"/>
      <x:c r="D8" s="34"/>
      <x:c r="E8" s="34"/>
      <x:c r="F8" s="34"/>
    </x:row>
    <x:row r="9">
      <x:c r="A9" s="34"/>
      <x:c r="B9" s="34"/>
      <x:c r="C9" s="34"/>
      <x:c r="D9" s="34"/>
      <x:c r="E9" s="34"/>
      <x:c r="F9" s="34"/>
    </x:row>
    <x:row r="10" ht="30" customHeight="1">
      <x:c r="A10" s="29" t="str">
        <x:v>KPI</x:v>
      </x:c>
      <x:c r="B10" s="29" t="str">
        <x:v>Değer</x:v>
      </x:c>
      <x:c r="C10" s="29" t="str">
        <x:v>Tanım</x:v>
      </x:c>
      <x:c r="D10" s="29" t="str">
        <x:v>KPI</x:v>
      </x:c>
      <x:c r="E10" s="29" t="str">
        <x:v>Değer</x:v>
      </x:c>
      <x:c r="F10" s="29" t="str">
        <x:v>Tanım</x:v>
      </x:c>
    </x:row>
    <x:row r="11">
      <x:c r="A11" s="41" t="str">
        <x:v>Hesap</x:v>
      </x:c>
      <x:c r="B11" s="41" t="n">
        <x:f>COUNTA('Hesaplar'!A3:A2000)</x:f>
        <x:v>5</x:v>
      </x:c>
      <x:c r="C11" s="41" t="str">
        <x:v>Erişilebilir Meta reklam hesabı</x:v>
      </x:c>
      <x:c r="D11" s="41" t="str">
        <x:v>Kampanya</x:v>
      </x:c>
      <x:c r="E11" s="41" t="n">
        <x:f>COUNTA('Kampanyalar'!A3:A20000)</x:f>
        <x:v>422</x:v>
      </x:c>
      <x:c r="F11" s="41" t="str">
        <x:v>Envanter kampanya satırı</x:v>
      </x:c>
    </x:row>
    <x:row r="12">
      <x:c r="A12" s="41" t="str">
        <x:v>Günlük satır</x:v>
      </x:c>
      <x:c r="B12" s="41" t="n">
        <x:f>COUNTA('Günlük Performans'!A3:A200000)</x:f>
        <x:v>734</x:v>
      </x:c>
      <x:c r="C12" s="41" t="str">
        <x:v>Kampanya × gün</x:v>
      </x:c>
      <x:c r="D12" s="41" t="str">
        <x:v>Harcama</x:v>
      </x:c>
      <x:c r="E12" s="42" t="n">
        <x:f>SUM('Günlük Performans'!H3:H200000)</x:f>
        <x:v>1851371.61</x:v>
      </x:c>
      <x:c r="F12" s="41" t="str">
        <x:v>Meta currency alanındaki spend</x:v>
      </x:c>
    </x:row>
    <x:row r="13">
      <x:c r="A13" s="41" t="str">
        <x:v>Gösterim</x:v>
      </x:c>
      <x:c r="B13" s="41" t="n">
        <x:f>SUM('Günlük Performans'!I3:I200000)</x:f>
        <x:v>38703265</x:v>
      </x:c>
      <x:c r="C13" s="41" t="str">
        <x:v>impressions toplamı</x:v>
      </x:c>
      <x:c r="D13" s="41" t="str">
        <x:v>Link tıklaması</x:v>
      </x:c>
      <x:c r="E13" s="42" t="n">
        <x:f>SUM('Günlük Performans'!K3:K200000)</x:f>
        <x:v>130079</x:v>
      </x:c>
      <x:c r="F13" s="41" t="str">
        <x:v>inline_link_clicks toplamı</x:v>
      </x:c>
    </x:row>
    <x:row r="14">
      <x:c r="A14" s="41" t="str">
        <x:v>CTR</x:v>
      </x:c>
      <x:c r="B14" s="43" t="n">
        <x:f>IFERROR(E13/B13,0)</x:f>
        <x:v>0.0033609309188772575</x:v>
      </x:c>
      <x:c r="C14" s="41" t="str">
        <x:v>Link tıklaması / gösterim</x:v>
      </x:c>
      <x:c r="D14" s="41" t="str">
        <x:v>CPC</x:v>
      </x:c>
      <x:c r="E14" s="42" t="n">
        <x:f>IFERROR(E12/E13,0)</x:f>
        <x:v>14.232670992243175</x:v>
      </x:c>
      <x:c r="F14" s="41" t="str">
        <x:v>Harcama / link tıklaması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80000686645508" hidden="0" customWidth="1"/>
    <x:col min="2" max="2" width="26.780000686645508" hidden="0" customWidth="1"/>
    <x:col min="3" max="3" width="26.780000686645508" hidden="0" customWidth="1"/>
    <x:col min="4" max="4" width="26.780000686645508" hidden="0" customWidth="1"/>
    <x:col min="5" max="5" width="26.780000686645508" hidden="0" customWidth="1"/>
    <x:col min="6" max="6" width="26.780000686645508" hidden="0" customWidth="1"/>
    <x:col min="7" max="7" width="26.780000686645508" hidden="0" customWidth="1"/>
    <x:col min="8" max="8" width="26.780000686645508" hidden="0" customWidth="1"/>
  </x:cols>
  <x:sheetData>
    <x:row r="1" ht="28" customHeight="1">
      <x:c r="A1" s="4" t="str">
        <x:v>Meta Reklam Hesapları</x:v>
      </x:c>
      <x:c r="B1" s="4" t="str">
        <x:v>Meta Reklam Hesapları</x:v>
      </x:c>
      <x:c r="C1" s="4" t="str">
        <x:v>Meta Reklam Hesapları</x:v>
      </x:c>
      <x:c r="D1" s="4" t="str">
        <x:v>Meta Reklam Hesapları</x:v>
      </x:c>
      <x:c r="E1" s="4" t="str">
        <x:v>Meta Reklam Hesapları</x:v>
      </x:c>
      <x:c r="F1" s="4" t="str">
        <x:v>Meta Reklam Hesapları</x:v>
      </x:c>
      <x:c r="G1" s="4" t="str">
        <x:v>Meta Reklam Hesapları</x:v>
      </x:c>
      <x:c r="H1" s="4" t="str">
        <x:v>Meta Reklam Hesapları</x:v>
      </x:c>
    </x:row>
    <x:row r="2" ht="30" customHeight="1">
      <x:c r="A2" s="24" t="str">
        <x:v>Meta Hesap ID</x:v>
      </x:c>
      <x:c r="B2" s="25" t="str">
        <x:v>Hesap Adı</x:v>
      </x:c>
      <x:c r="C2" s="25" t="str">
        <x:v>Hesap Numarası</x:v>
      </x:c>
      <x:c r="D2" s="25" t="str">
        <x:v>Para Birimi</x:v>
      </x:c>
      <x:c r="E2" s="25" t="str">
        <x:v>Zaman Dilimi</x:v>
      </x:c>
      <x:c r="F2" s="25" t="str">
        <x:v>Harcanan Tutar</x:v>
      </x:c>
      <x:c r="G2" s="25" t="str">
        <x:v>Bakiye</x:v>
      </x:c>
      <x:c r="H2" s="26" t="str">
        <x:v>Durum</x:v>
      </x:c>
    </x:row>
    <x:row r="3">
      <x:c r="A3" t="str">
        <x:v>act_665558089883907</x:v>
      </x:c>
      <x:c r="B3" t="str">
        <x:v>Doruk Tibbi Bilgiler</x:v>
      </x:c>
      <x:c r="C3" t="str">
        <x:v>665558089883907</x:v>
      </x:c>
      <x:c r="D3" t="str">
        <x:v>TRY</x:v>
      </x:c>
      <x:c r="E3" t="str">
        <x:v>Europe/Istanbul</x:v>
      </x:c>
      <x:c r="F3" s="28" t="n">
        <x:v>84218188</x:v>
      </x:c>
      <x:c r="G3" s="28" t="n">
        <x:v>0</x:v>
      </x:c>
      <x:c r="H3" t="n">
        <x:v>1</x:v>
      </x:c>
    </x:row>
    <x:row r="4">
      <x:c r="A4" t="str">
        <x:v>act_449281783851362</x:v>
      </x:c>
      <x:c r="B4" t="str">
        <x:v>Doruk Hastaneleri - SİNA ÖZEL Sağlık Hizmetleri A.ş</x:v>
      </x:c>
      <x:c r="C4" t="str">
        <x:v>449281783851362</x:v>
      </x:c>
      <x:c r="D4" t="str">
        <x:v>TRY</x:v>
      </x:c>
      <x:c r="E4" t="str">
        <x:v>Europe/Istanbul</x:v>
      </x:c>
      <x:c r="F4" s="28" t="n">
        <x:v>2198099402</x:v>
      </x:c>
      <x:c r="G4" s="28" t="n">
        <x:v>239385</x:v>
      </x:c>
      <x:c r="H4" t="n">
        <x:v>1</x:v>
      </x:c>
    </x:row>
    <x:row r="5">
      <x:c r="A5" t="str">
        <x:v>act_170008509278498</x:v>
      </x:c>
      <x:c r="B5" t="str">
        <x:v>Doruk Hospital</x:v>
      </x:c>
      <x:c r="C5" t="str">
        <x:v>170008509278498</x:v>
      </x:c>
      <x:c r="D5" t="str">
        <x:v>TRY</x:v>
      </x:c>
      <x:c r="E5" t="str">
        <x:v>Europe/Istanbul</x:v>
      </x:c>
      <x:c r="F5" s="28" t="n">
        <x:v>4444900378</x:v>
      </x:c>
      <x:c r="G5" s="28" t="n">
        <x:v>481650</x:v>
      </x:c>
      <x:c r="H5" t="n">
        <x:v>1</x:v>
      </x:c>
    </x:row>
    <x:row r="6">
      <x:c r="A6" t="str">
        <x:v>act_435815782320506</x:v>
      </x:c>
      <x:c r="B6" t="str">
        <x:v>DOspa Thermal</x:v>
      </x:c>
      <x:c r="C6" t="str">
        <x:v>435815782320506</x:v>
      </x:c>
      <x:c r="D6" t="str">
        <x:v>TRY</x:v>
      </x:c>
      <x:c r="E6" t="str">
        <x:v>Europe/Istanbul</x:v>
      </x:c>
      <x:c r="F6" s="28" t="n">
        <x:v>0</x:v>
      </x:c>
      <x:c r="G6" s="28" t="n">
        <x:v>0</x:v>
      </x:c>
      <x:c r="H6" t="n">
        <x:v>1</x:v>
      </x:c>
    </x:row>
    <x:row r="7">
      <x:c r="A7" t="str">
        <x:v>act_390954310397441</x:v>
      </x:c>
      <x:c r="B7" t="str">
        <x:v>Doruk Estetik &amp; Saç Ekimi</x:v>
      </x:c>
      <x:c r="C7" t="str">
        <x:v>390954310397441</x:v>
      </x:c>
      <x:c r="D7" t="str">
        <x:v>TRY</x:v>
      </x:c>
      <x:c r="E7" t="str">
        <x:v>Europe/Istanbul</x:v>
      </x:c>
      <x:c r="F7" s="28" t="n">
        <x:v>0</x:v>
      </x:c>
      <x:c r="G7" s="28" t="n">
        <x:v>0</x:v>
      </x:c>
      <x:c r="H7" t="n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19999313354492" hidden="0" customWidth="1"/>
    <x:col min="2" max="2" width="38.66999816894531" hidden="0" customWidth="1"/>
    <x:col min="3" max="3" width="30.219999313354492" hidden="0" customWidth="1"/>
    <x:col min="4" max="4" width="30.219999313354492" hidden="0" customWidth="1"/>
    <x:col min="5" max="5" width="30.219999313354492" hidden="0" customWidth="1"/>
    <x:col min="6" max="6" width="30.219999313354492" hidden="0" customWidth="1"/>
    <x:col min="7" max="7" width="30.219999313354492" hidden="0" customWidth="1"/>
    <x:col min="8" max="8" width="30.219999313354492" hidden="0" customWidth="1"/>
    <x:col min="9" max="9" width="30.219999313354492" hidden="0" customWidth="1"/>
    <x:col min="10" max="10" width="30.219999313354492" hidden="0" customWidth="1"/>
    <x:col min="11" max="11" width="30.219999313354492" hidden="0" customWidth="1"/>
    <x:col min="12" max="12" width="30.219999313354492" hidden="0" customWidth="1"/>
    <x:col min="13" max="13" width="30.219999313354492" hidden="0" customWidth="1"/>
  </x:cols>
  <x:sheetData>
    <x:row r="1" ht="28" customHeight="1">
      <x:c r="A1" s="4" t="str">
        <x:v>Meta Kampanya Envanteri</x:v>
      </x:c>
      <x:c r="B1" s="4" t="str">
        <x:v>Meta Kampanya Envanteri</x:v>
      </x:c>
      <x:c r="C1" s="4" t="str">
        <x:v>Meta Kampanya Envanteri</x:v>
      </x:c>
      <x:c r="D1" s="4" t="str">
        <x:v>Meta Kampanya Envanteri</x:v>
      </x:c>
      <x:c r="E1" s="4" t="str">
        <x:v>Meta Kampanya Envanteri</x:v>
      </x:c>
      <x:c r="F1" s="4" t="str">
        <x:v>Meta Kampanya Envanteri</x:v>
      </x:c>
      <x:c r="G1" s="4" t="str">
        <x:v>Meta Kampanya Envanteri</x:v>
      </x:c>
      <x:c r="H1" s="4" t="str">
        <x:v>Meta Kampanya Envanteri</x:v>
      </x:c>
      <x:c r="I1" s="4" t="str">
        <x:v>Meta Kampanya Envanteri</x:v>
      </x:c>
      <x:c r="J1" s="4" t="str">
        <x:v>Meta Kampanya Envanteri</x:v>
      </x:c>
      <x:c r="K1" s="4" t="str">
        <x:v>Meta Kampanya Envanteri</x:v>
      </x:c>
      <x:c r="L1" s="4" t="str">
        <x:v>Meta Kampanya Envanteri</x:v>
      </x:c>
      <x:c r="M1" s="4" t="str">
        <x:v>Meta Kampanya Envanteri</x:v>
      </x:c>
    </x:row>
    <x:row r="2" ht="30" customHeight="1">
      <x:c r="A2" s="24" t="str">
        <x:v>Meta Hesap ID</x:v>
      </x:c>
      <x:c r="B2" s="25" t="str">
        <x:v>Hesap Adı</x:v>
      </x:c>
      <x:c r="C2" s="25" t="str">
        <x:v>Kampanya ID</x:v>
      </x:c>
      <x:c r="D2" s="25" t="str">
        <x:v>Kampanya Adı</x:v>
      </x:c>
      <x:c r="E2" s="25" t="str">
        <x:v>Objective</x:v>
      </x:c>
      <x:c r="F2" s="25" t="str">
        <x:v>Status</x:v>
      </x:c>
      <x:c r="G2" s="25" t="str">
        <x:v>Effective Status</x:v>
      </x:c>
      <x:c r="H2" s="25" t="str">
        <x:v>Buying Type</x:v>
      </x:c>
      <x:c r="I2" s="25" t="str">
        <x:v>Günlük Bütçe</x:v>
      </x:c>
      <x:c r="J2" s="25" t="str">
        <x:v>Lifetime Bütçe</x:v>
      </x:c>
      <x:c r="K2" s="25" t="str">
        <x:v>Başlangıç</x:v>
      </x:c>
      <x:c r="L2" s="25" t="str">
        <x:v>Bitiş</x:v>
      </x:c>
      <x:c r="M2" s="26" t="str">
        <x:v>Güncelleme</x:v>
      </x:c>
    </x:row>
    <x:row r="3">
      <x:c r="A3" t="str">
        <x:v>act_449281783851362</x:v>
      </x:c>
      <x:c r="B3" t="str">
        <x:v>Doruk Hastaneleri - SİNA ÖZEL Sağlık Hizmetleri A.ş</x:v>
      </x:c>
      <x:c r="C3" t="str">
        <x:v>120202624613730399</x:v>
      </x:c>
      <x:c r="D3" t="str">
        <x:v>CBO / Saç Ekimi - lead / soğuk</x:v>
      </x:c>
      <x:c r="E3" t="str">
        <x:v>OUTCOME_LEADS</x:v>
      </x:c>
      <x:c r="F3" t="str">
        <x:v>ACTIVE</x:v>
      </x:c>
      <x:c r="G3" t="str">
        <x:v>ACTIVE</x:v>
      </x:c>
      <x:c r="H3" t="str">
        <x:v>AUCTION</x:v>
      </x:c>
      <x:c r="I3" s="28" t="n">
        <x:v>0</x:v>
      </x:c>
      <x:c r="J3" s="28" t="n">
        <x:v>0</x:v>
      </x:c>
      <x:c r="K3" t="str">
        <x:v>2023-11-28T09:33:59+0300</x:v>
      </x:c>
      <x:c r="L3"/>
      <x:c r="M3" t="str">
        <x:v>2025-07-08T14:15:12+0300</x:v>
      </x:c>
    </x:row>
    <x:row r="4">
      <x:c r="A4" t="str">
        <x:v>act_449281783851362</x:v>
      </x:c>
      <x:c r="B4" t="str">
        <x:v>Doruk Hastaneleri - SİNA ÖZEL Sağlık Hizmetleri A.ş</x:v>
      </x:c>
      <x:c r="C4" t="str">
        <x:v>120202625130740399</x:v>
      </x:c>
      <x:c r="D4" t="str">
        <x:v>ABO / Medikal Estetik lead / 28.11.2023</x:v>
      </x:c>
      <x:c r="E4" t="str">
        <x:v>OUTCOME_LEADS</x:v>
      </x:c>
      <x:c r="F4" t="str">
        <x:v>PAUSED</x:v>
      </x:c>
      <x:c r="G4" t="str">
        <x:v>PAUSED</x:v>
      </x:c>
      <x:c r="H4" t="str">
        <x:v>AUCTION</x:v>
      </x:c>
      <x:c r="I4" s="28" t="n">
        <x:v>0</x:v>
      </x:c>
      <x:c r="J4" s="28" t="n">
        <x:v>0</x:v>
      </x:c>
      <x:c r="K4" t="str">
        <x:v>2023-11-28T10:10:16+0300</x:v>
      </x:c>
      <x:c r="L4"/>
      <x:c r="M4" t="str">
        <x:v>2026-05-04T16:56:54+0300</x:v>
      </x:c>
    </x:row>
    <x:row r="5">
      <x:c r="A5" t="str">
        <x:v>act_170008509278498</x:v>
      </x:c>
      <x:c r="B5" t="str">
        <x:v>Doruk Hospital</x:v>
      </x:c>
      <x:c r="C5" t="str">
        <x:v>120206451046990080</x:v>
      </x:c>
      <x:c r="D5" t="str">
        <x:v>Fizik Tedavi - Intensive FTR - Rus Bölgesi - Tümü - RU - Doruk Hospital</x:v>
      </x:c>
      <x:c r="E5" t="str">
        <x:v>OUTCOME_LEADS</x:v>
      </x:c>
      <x:c r="F5" t="str">
        <x:v>PAUSED</x:v>
      </x:c>
      <x:c r="G5" t="str">
        <x:v>PAUSED</x:v>
      </x:c>
      <x:c r="H5" t="str">
        <x:v>AUCTION</x:v>
      </x:c>
      <x:c r="I5" s="28" t="n">
        <x:v>0</x:v>
      </x:c>
      <x:c r="J5" s="28" t="n">
        <x:v>0</x:v>
      </x:c>
      <x:c r="K5" t="str">
        <x:v>2024-03-05T15:23:41+0300</x:v>
      </x:c>
      <x:c r="L5"/>
      <x:c r="M5" t="str">
        <x:v>2025-01-21T13:34:35+0300</x:v>
      </x:c>
    </x:row>
    <x:row r="6">
      <x:c r="A6" t="str">
        <x:v>act_170008509278498</x:v>
      </x:c>
      <x:c r="B6" t="str">
        <x:v>Doruk Hospital</x:v>
      </x:c>
      <x:c r="C6" t="str">
        <x:v>120206487825610080</x:v>
      </x:c>
      <x:c r="D6" t="str">
        <x:v>Fizik Tedavi - Intensive FTR - İngiltere - İrlanda - EN</x:v>
      </x:c>
      <x:c r="E6" t="str">
        <x:v>OUTCOME_LEADS</x:v>
      </x:c>
      <x:c r="F6" t="str">
        <x:v>PAUSED</x:v>
      </x:c>
      <x:c r="G6" t="str">
        <x:v>PAUSED</x:v>
      </x:c>
      <x:c r="H6" t="str">
        <x:v>AUCTION</x:v>
      </x:c>
      <x:c r="I6" s="28" t="n">
        <x:v>0</x:v>
      </x:c>
      <x:c r="J6" s="28" t="n">
        <x:v>0</x:v>
      </x:c>
      <x:c r="K6" t="str">
        <x:v>2024-03-06T14:24:16+0300</x:v>
      </x:c>
      <x:c r="L6"/>
      <x:c r="M6" t="str">
        <x:v>2024-08-10T10:27:27+0300</x:v>
      </x:c>
    </x:row>
    <x:row r="7">
      <x:c r="A7" t="str">
        <x:v>act_170008509278498</x:v>
      </x:c>
      <x:c r="B7" t="str">
        <x:v>Doruk Hospital</x:v>
      </x:c>
      <x:c r="C7" t="str">
        <x:v>120206533657000080</x:v>
      </x:c>
      <x:c r="D7" t="str">
        <x:v>Fizik Tedavi - Intensive FTR - Arap Bölgesi - Tümü - AR - Doruk Hospital</x:v>
      </x:c>
      <x:c r="E7" t="str">
        <x:v>OUTCOME_LEADS</x:v>
      </x:c>
      <x:c r="F7" t="str">
        <x:v>PAUSED</x:v>
      </x:c>
      <x:c r="G7" t="str">
        <x:v>PAUSED</x:v>
      </x:c>
      <x:c r="H7" t="str">
        <x:v>AUCTION</x:v>
      </x:c>
      <x:c r="I7" s="28" t="n">
        <x:v>0</x:v>
      </x:c>
      <x:c r="J7" s="28" t="n">
        <x:v>0</x:v>
      </x:c>
      <x:c r="K7" t="str">
        <x:v>2024-03-07T10:54:35+0300</x:v>
      </x:c>
      <x:c r="L7"/>
      <x:c r="M7" t="str">
        <x:v>2025-01-21T13:32:54+0300</x:v>
      </x:c>
    </x:row>
    <x:row r="8">
      <x:c r="A8" t="str">
        <x:v>act_170008509278498</x:v>
      </x:c>
      <x:c r="B8" t="str">
        <x:v>Doruk Hospital</x:v>
      </x:c>
      <x:c r="C8" t="str">
        <x:v>120207418674880080</x:v>
      </x:c>
      <x:c r="D8" t="str">
        <x:v>Fizik Tedavi - Intensive FTR - Bahreyn - Tümü - AR - Doruk Hospital</x:v>
      </x:c>
      <x:c r="E8" t="str">
        <x:v>OUTCOME_LEADS</x:v>
      </x:c>
      <x:c r="F8" t="str">
        <x:v>PAUSED</x:v>
      </x:c>
      <x:c r="G8" t="str">
        <x:v>PAUSED</x:v>
      </x:c>
      <x:c r="H8" t="str">
        <x:v>AUCTION</x:v>
      </x:c>
      <x:c r="I8" s="28" t="n">
        <x:v>0</x:v>
      </x:c>
      <x:c r="J8" s="28" t="n">
        <x:v>0</x:v>
      </x:c>
      <x:c r="K8" t="str">
        <x:v>2024-03-28T16:36:52+0300</x:v>
      </x:c>
      <x:c r="L8"/>
      <x:c r="M8" t="str">
        <x:v>2024-11-13T17:15:46+0300</x:v>
      </x:c>
    </x:row>
    <x:row r="9">
      <x:c r="A9" t="str">
        <x:v>act_170008509278498</x:v>
      </x:c>
      <x:c r="B9" t="str">
        <x:v>Doruk Hospital</x:v>
      </x:c>
      <x:c r="C9" t="str">
        <x:v>120207423449010080</x:v>
      </x:c>
      <x:c r="D9" t="str">
        <x:v>Fizik Tedavi - Intensive FTR - Katar - Tümü - AR - Doruk Hospital</x:v>
      </x:c>
      <x:c r="E9" t="str">
        <x:v>OUTCOME_LEADS</x:v>
      </x:c>
      <x:c r="F9" t="str">
        <x:v>PAUSED</x:v>
      </x:c>
      <x:c r="G9" t="str">
        <x:v>PAUSED</x:v>
      </x:c>
      <x:c r="H9" t="str">
        <x:v>AUCTION</x:v>
      </x:c>
      <x:c r="I9" s="28" t="n">
        <x:v>0</x:v>
      </x:c>
      <x:c r="J9" s="28" t="n">
        <x:v>0</x:v>
      </x:c>
      <x:c r="K9" t="str">
        <x:v>2024-03-28T16:36:52+0300</x:v>
      </x:c>
      <x:c r="L9"/>
      <x:c r="M9" t="str">
        <x:v>2024-11-13T17:15:39+0300</x:v>
      </x:c>
    </x:row>
    <x:row r="10">
      <x:c r="A10" t="str">
        <x:v>act_170008509278498</x:v>
      </x:c>
      <x:c r="B10" t="str">
        <x:v>Doruk Hospital</x:v>
      </x:c>
      <x:c r="C10" t="str">
        <x:v>120207423461300080</x:v>
      </x:c>
      <x:c r="D10" t="str">
        <x:v>Fizik Tedavi - Intensive FTR - Kuveyt - Tümü - AR - Doruk Hospital</x:v>
      </x:c>
      <x:c r="E10" t="str">
        <x:v>OUTCOME_LEADS</x:v>
      </x:c>
      <x:c r="F10" t="str">
        <x:v>PAUSED</x:v>
      </x:c>
      <x:c r="G10" t="str">
        <x:v>PAUSED</x:v>
      </x:c>
      <x:c r="H10" t="str">
        <x:v>AUCTION</x:v>
      </x:c>
      <x:c r="I10" s="28" t="n">
        <x:v>0</x:v>
      </x:c>
      <x:c r="J10" s="28" t="n">
        <x:v>0</x:v>
      </x:c>
      <x:c r="K10" t="str">
        <x:v>2024-03-28T16:36:52+0300</x:v>
      </x:c>
      <x:c r="L10"/>
      <x:c r="M10" t="str">
        <x:v>2024-11-13T17:15:39+0300</x:v>
      </x:c>
    </x:row>
    <x:row r="11">
      <x:c r="A11" t="str">
        <x:v>act_170008509278498</x:v>
      </x:c>
      <x:c r="B11" t="str">
        <x:v>Doruk Hospital</x:v>
      </x:c>
      <x:c r="C11" t="str">
        <x:v>120207423467520080</x:v>
      </x:c>
      <x:c r="D11" t="str">
        <x:v>Fizik Tedavi - Intensive FTR - Birleşik Arap Emirlikleri - Tümü - AR - Doruk Hospital</x:v>
      </x:c>
      <x:c r="E11" t="str">
        <x:v>OUTCOME_LEADS</x:v>
      </x:c>
      <x:c r="F11" t="str">
        <x:v>PAUSED</x:v>
      </x:c>
      <x:c r="G11" t="str">
        <x:v>PAUSED</x:v>
      </x:c>
      <x:c r="H11" t="str">
        <x:v>AUCTION</x:v>
      </x:c>
      <x:c r="I11" s="28" t="n">
        <x:v>0</x:v>
      </x:c>
      <x:c r="J11" s="28" t="n">
        <x:v>0</x:v>
      </x:c>
      <x:c r="K11" t="str">
        <x:v>2024-03-28T16:36:52+0300</x:v>
      </x:c>
      <x:c r="L11"/>
      <x:c r="M11" t="str">
        <x:v>2024-11-13T17:15:36+0300</x:v>
      </x:c>
    </x:row>
    <x:row r="12">
      <x:c r="A12" t="str">
        <x:v>act_170008509278498</x:v>
      </x:c>
      <x:c r="B12" t="str">
        <x:v>Doruk Hospital</x:v>
      </x:c>
      <x:c r="C12" t="str">
        <x:v>120207423473460080</x:v>
      </x:c>
      <x:c r="D12" t="str">
        <x:v>Fizik Tedavi - Intensive FTR - Umman - Tümü - AR - Doruk Hospital</x:v>
      </x:c>
      <x:c r="E12" t="str">
        <x:v>OUTCOME_LEADS</x:v>
      </x:c>
      <x:c r="F12" t="str">
        <x:v>PAUSED</x:v>
      </x:c>
      <x:c r="G12" t="str">
        <x:v>PAUSED</x:v>
      </x:c>
      <x:c r="H12" t="str">
        <x:v>AUCTION</x:v>
      </x:c>
      <x:c r="I12" s="28" t="n">
        <x:v>0</x:v>
      </x:c>
      <x:c r="J12" s="28" t="n">
        <x:v>0</x:v>
      </x:c>
      <x:c r="K12" t="str">
        <x:v>2024-03-28T16:36:52+0300</x:v>
      </x:c>
      <x:c r="L12"/>
      <x:c r="M12" t="str">
        <x:v>2024-11-13T17:15:27+0300</x:v>
      </x:c>
    </x:row>
    <x:row r="13">
      <x:c r="A13" t="str">
        <x:v>act_170008509278498</x:v>
      </x:c>
      <x:c r="B13" t="str">
        <x:v>Doruk Hospital</x:v>
      </x:c>
      <x:c r="C13" t="str">
        <x:v>120208064144730080</x:v>
      </x:c>
      <x:c r="D13" t="str">
        <x:v>Fizik Tedavi - Intensive FTR - Avrupa Bölgesi - Tümü - EN - Doruk Hospital</x:v>
      </x:c>
      <x:c r="E13" t="str">
        <x:v>OUTCOME_LEADS</x:v>
      </x:c>
      <x:c r="F13" t="str">
        <x:v>PAUSED</x:v>
      </x:c>
      <x:c r="G13" t="str">
        <x:v>PAUSED</x:v>
      </x:c>
      <x:c r="H13" t="str">
        <x:v>AUCTION</x:v>
      </x:c>
      <x:c r="I13" s="28" t="n">
        <x:v>0</x:v>
      </x:c>
      <x:c r="J13" s="28" t="n">
        <x:v>0</x:v>
      </x:c>
      <x:c r="K13" t="str">
        <x:v>2024-04-15T09:28:43+0300</x:v>
      </x:c>
      <x:c r="L13"/>
      <x:c r="M13" t="str">
        <x:v>2025-01-06T15:59:28+0300</x:v>
      </x:c>
    </x:row>
    <x:row r="14">
      <x:c r="A14" t="str">
        <x:v>act_170008509278498</x:v>
      </x:c>
      <x:c r="B14" t="str">
        <x:v>Doruk Hospital</x:v>
      </x:c>
      <x:c r="C14" t="str">
        <x:v>120209366000820080</x:v>
      </x:c>
      <x:c r="D14" t="str">
        <x:v>Fizik Tedavi - Intensive FTR - Hollanda - EN</x:v>
      </x:c>
      <x:c r="E14" t="str">
        <x:v>OUTCOME_LEADS</x:v>
      </x:c>
      <x:c r="F14" t="str">
        <x:v>PAUSED</x:v>
      </x:c>
      <x:c r="G14" t="str">
        <x:v>PAUSED</x:v>
      </x:c>
      <x:c r="H14" t="str">
        <x:v>AUCTION</x:v>
      </x:c>
      <x:c r="I14" s="28" t="n">
        <x:v>0</x:v>
      </x:c>
      <x:c r="J14" s="28" t="n">
        <x:v>0</x:v>
      </x:c>
      <x:c r="K14" t="str">
        <x:v>2024-05-21T14:13:44+0300</x:v>
      </x:c>
      <x:c r="L14"/>
      <x:c r="M14" t="str">
        <x:v>2024-08-10T10:27:18+0300</x:v>
      </x:c>
    </x:row>
    <x:row r="15">
      <x:c r="A15" t="str">
        <x:v>act_170008509278498</x:v>
      </x:c>
      <x:c r="B15" t="str">
        <x:v>Doruk Hospital</x:v>
      </x:c>
      <x:c r="C15" t="str">
        <x:v>120210039826820080</x:v>
      </x:c>
      <x:c r="D15" t="str">
        <x:v>Fizik Tedavi - Intensive FTR - Avrupa Bölgesi - Tümü - RU - Doruk Hospital</x:v>
      </x:c>
      <x:c r="E15" t="str">
        <x:v>OUTCOME_LEADS</x:v>
      </x:c>
      <x:c r="F15" t="str">
        <x:v>PAUSED</x:v>
      </x:c>
      <x:c r="G15" t="str">
        <x:v>PAUSED</x:v>
      </x:c>
      <x:c r="H15" t="str">
        <x:v>AUCTION</x:v>
      </x:c>
      <x:c r="I15" s="28" t="n">
        <x:v>0</x:v>
      </x:c>
      <x:c r="J15" s="28" t="n">
        <x:v>0</x:v>
      </x:c>
      <x:c r="K15" t="str">
        <x:v>2024-06-22T11:44:47+0300</x:v>
      </x:c>
      <x:c r="L15"/>
      <x:c r="M15" t="str">
        <x:v>2024-12-26T13:27:37+0300</x:v>
      </x:c>
    </x:row>
    <x:row r="16">
      <x:c r="A16" t="str">
        <x:v>act_170008509278498</x:v>
      </x:c>
      <x:c r="B16" t="str">
        <x:v>Doruk Hospital</x:v>
      </x:c>
      <x:c r="C16" t="str">
        <x:v>120210150073420080</x:v>
      </x:c>
      <x:c r="D16" t="str">
        <x:v>Fizik Tedavi - Intensive FTR - İngiltere - Tümü - EN - Doruk Hospital</x:v>
      </x:c>
      <x:c r="E16" t="str">
        <x:v>OUTCOME_LEADS</x:v>
      </x:c>
      <x:c r="F16" t="str">
        <x:v>PAUSED</x:v>
      </x:c>
      <x:c r="G16" t="str">
        <x:v>PAUSED</x:v>
      </x:c>
      <x:c r="H16" t="str">
        <x:v>AUCTION</x:v>
      </x:c>
      <x:c r="I16" s="28" t="n">
        <x:v>0</x:v>
      </x:c>
      <x:c r="J16" s="28" t="n">
        <x:v>0</x:v>
      </x:c>
      <x:c r="K16" t="str">
        <x:v>2024-06-27T11:08:12+0300</x:v>
      </x:c>
      <x:c r="L16"/>
      <x:c r="M16" t="str">
        <x:v>2025-01-06T15:59:51+0300</x:v>
      </x:c>
    </x:row>
    <x:row r="17">
      <x:c r="A17" t="str">
        <x:v>act_170008509278498</x:v>
      </x:c>
      <x:c r="B17" t="str">
        <x:v>Doruk Hospital</x:v>
      </x:c>
      <x:c r="C17" t="str">
        <x:v>120210150314140080</x:v>
      </x:c>
      <x:c r="D17" t="str">
        <x:v>Fizik Tedavi - Intensive FTR - Finlandiya - EN</x:v>
      </x:c>
      <x:c r="E17" t="str">
        <x:v>OUTCOME_LEADS</x:v>
      </x:c>
      <x:c r="F17" t="str">
        <x:v>PAUSED</x:v>
      </x:c>
      <x:c r="G17" t="str">
        <x:v>PAUSED</x:v>
      </x:c>
      <x:c r="H17" t="str">
        <x:v>AUCTION</x:v>
      </x:c>
      <x:c r="I17" s="28" t="n">
        <x:v>0</x:v>
      </x:c>
      <x:c r="J17" s="28" t="n">
        <x:v>0</x:v>
      </x:c>
      <x:c r="K17" t="str">
        <x:v>2024-06-27T11:20:17+0300</x:v>
      </x:c>
      <x:c r="L17"/>
      <x:c r="M17" t="str">
        <x:v>2024-08-10T10:27:13+0300</x:v>
      </x:c>
    </x:row>
    <x:row r="18">
      <x:c r="A18" t="str">
        <x:v>act_170008509278498</x:v>
      </x:c>
      <x:c r="B18" t="str">
        <x:v>Doruk Hospital</x:v>
      </x:c>
      <x:c r="C18" t="str">
        <x:v>120210150546190080</x:v>
      </x:c>
      <x:c r="D18" t="str">
        <x:v>Fizik Tedavi - Intensive FTR  - Yunanistan - EN</x:v>
      </x:c>
      <x:c r="E18" t="str">
        <x:v>OUTCOME_LEADS</x:v>
      </x:c>
      <x:c r="F18" t="str">
        <x:v>PAUSED</x:v>
      </x:c>
      <x:c r="G18" t="str">
        <x:v>PAUSED</x:v>
      </x:c>
      <x:c r="H18" t="str">
        <x:v>AUCTION</x:v>
      </x:c>
      <x:c r="I18" s="28" t="n">
        <x:v>0</x:v>
      </x:c>
      <x:c r="J18" s="28" t="n">
        <x:v>0</x:v>
      </x:c>
      <x:c r="K18" t="str">
        <x:v>2024-06-27T11:24:32+0300</x:v>
      </x:c>
      <x:c r="L18"/>
      <x:c r="M18" t="str">
        <x:v>2024-08-10T10:27:10+0300</x:v>
      </x:c>
    </x:row>
    <x:row r="19">
      <x:c r="A19" t="str">
        <x:v>act_170008509278498</x:v>
      </x:c>
      <x:c r="B19" t="str">
        <x:v>Doruk Hospital</x:v>
      </x:c>
      <x:c r="C19" t="str">
        <x:v>120210150614540080</x:v>
      </x:c>
      <x:c r="D19" t="str">
        <x:v>Fizik Tedavi - Intensive FTR  - Yunanistan - RU</x:v>
      </x:c>
      <x:c r="E19" t="str">
        <x:v>OUTCOME_LEADS</x:v>
      </x:c>
      <x:c r="F19" t="str">
        <x:v>PAUSED</x:v>
      </x:c>
      <x:c r="G19" t="str">
        <x:v>PAUSED</x:v>
      </x:c>
      <x:c r="H19" t="str">
        <x:v>AUCTION</x:v>
      </x:c>
      <x:c r="I19" s="28" t="n">
        <x:v>0</x:v>
      </x:c>
      <x:c r="J19" s="28" t="n">
        <x:v>0</x:v>
      </x:c>
      <x:c r="K19" t="str">
        <x:v>2024-06-27T11:27:28+0300</x:v>
      </x:c>
      <x:c r="L19"/>
      <x:c r="M19" t="str">
        <x:v>2024-08-10T10:27:07+0300</x:v>
      </x:c>
    </x:row>
    <x:row r="20">
      <x:c r="A20" t="str">
        <x:v>act_170008509278498</x:v>
      </x:c>
      <x:c r="B20" t="str">
        <x:v>Doruk Hospital</x:v>
      </x:c>
      <x:c r="C20" t="str">
        <x:v>120210175756860080</x:v>
      </x:c>
      <x:c r="D20" t="str">
        <x:v>Fizik Tedavi - Intensive FTR -  Kıbrıs - Tümü - EN - Doruk Hospital</x:v>
      </x:c>
      <x:c r="E20" t="str">
        <x:v>OUTCOME_LEADS</x:v>
      </x:c>
      <x:c r="F20" t="str">
        <x:v>PAUSED</x:v>
      </x:c>
      <x:c r="G20" t="str">
        <x:v>PAUSED</x:v>
      </x:c>
      <x:c r="H20" t="str">
        <x:v>AUCTION</x:v>
      </x:c>
      <x:c r="I20" s="28" t="n">
        <x:v>0</x:v>
      </x:c>
      <x:c r="J20" s="28" t="n">
        <x:v>0</x:v>
      </x:c>
      <x:c r="K20" t="str">
        <x:v>2024-06-28T11:05:26+0300</x:v>
      </x:c>
      <x:c r="L20"/>
      <x:c r="M20" t="str">
        <x:v>2024-11-09T13:37:57+0300</x:v>
      </x:c>
    </x:row>
    <x:row r="21">
      <x:c r="A21" t="str">
        <x:v>act_170008509278498</x:v>
      </x:c>
      <x:c r="B21" t="str">
        <x:v>Doruk Hospital</x:v>
      </x:c>
      <x:c r="C21" t="str">
        <x:v>120210195110260080</x:v>
      </x:c>
      <x:c r="D21" t="str">
        <x:v>Üroloji - Prostat - Avrupa Bölgesi - EN</x:v>
      </x:c>
      <x:c r="E21" t="str">
        <x:v>OUTCOME_LEADS</x:v>
      </x:c>
      <x:c r="F21" t="str">
        <x:v>PAUSED</x:v>
      </x:c>
      <x:c r="G21" t="str">
        <x:v>PAUSED</x:v>
      </x:c>
      <x:c r="H21" t="str">
        <x:v>AUCTION</x:v>
      </x:c>
      <x:c r="I21" s="28" t="n">
        <x:v>0</x:v>
      </x:c>
      <x:c r="J21" s="28" t="n">
        <x:v>0</x:v>
      </x:c>
      <x:c r="K21" t="str">
        <x:v>2024-07-01T10:23:00+0300</x:v>
      </x:c>
      <x:c r="L21"/>
      <x:c r="M21" t="str">
        <x:v>2024-09-20T16:28:30+0300</x:v>
      </x:c>
    </x:row>
    <x:row r="22">
      <x:c r="A22" t="str">
        <x:v>act_170008509278498</x:v>
      </x:c>
      <x:c r="B22" t="str">
        <x:v>Doruk Hospital</x:v>
      </x:c>
      <x:c r="C22" t="str">
        <x:v>120210261561930080</x:v>
      </x:c>
      <x:c r="D22" t="str">
        <x:v>Üroloji - Prostat  - Avrupa Bölgesi - RU</x:v>
      </x:c>
      <x:c r="E22" t="str">
        <x:v>OUTCOME_LEADS</x:v>
      </x:c>
      <x:c r="F22" t="str">
        <x:v>PAUSED</x:v>
      </x:c>
      <x:c r="G22" t="str">
        <x:v>PAUSED</x:v>
      </x:c>
      <x:c r="H22" t="str">
        <x:v>AUCTION</x:v>
      </x:c>
      <x:c r="I22" s="28" t="n">
        <x:v>0</x:v>
      </x:c>
      <x:c r="J22" s="28" t="n">
        <x:v>0</x:v>
      </x:c>
      <x:c r="K22" t="str">
        <x:v>2024-07-03T10:23:24+0300</x:v>
      </x:c>
      <x:c r="L22"/>
      <x:c r="M22" t="str">
        <x:v>2024-09-20T16:28:30+0300</x:v>
      </x:c>
    </x:row>
    <x:row r="23">
      <x:c r="A23" t="str">
        <x:v>act_170008509278498</x:v>
      </x:c>
      <x:c r="B23" t="str">
        <x:v>Doruk Hospital</x:v>
      </x:c>
      <x:c r="C23" t="str">
        <x:v>120210262385750080</x:v>
      </x:c>
      <x:c r="D23" t="str">
        <x:v>Üroloji - Prostat - Rus bölgesi - RU</x:v>
      </x:c>
      <x:c r="E23" t="str">
        <x:v>OUTCOME_LEADS</x:v>
      </x:c>
      <x:c r="F23" t="str">
        <x:v>PAUSED</x:v>
      </x:c>
      <x:c r="G23" t="str">
        <x:v>PAUSED</x:v>
      </x:c>
      <x:c r="H23" t="str">
        <x:v>AUCTION</x:v>
      </x:c>
      <x:c r="I23" s="28" t="n">
        <x:v>0</x:v>
      </x:c>
      <x:c r="J23" s="28" t="n">
        <x:v>0</x:v>
      </x:c>
      <x:c r="K23" t="str">
        <x:v>2024-07-03T10:49:42+0300</x:v>
      </x:c>
      <x:c r="L23"/>
      <x:c r="M23" t="str">
        <x:v>2024-09-20T16:28:30+0300</x:v>
      </x:c>
    </x:row>
    <x:row r="24">
      <x:c r="A24" t="str">
        <x:v>act_170008509278498</x:v>
      </x:c>
      <x:c r="B24" t="str">
        <x:v>Doruk Hospital</x:v>
      </x:c>
      <x:c r="C24" t="str">
        <x:v>120210267438820080</x:v>
      </x:c>
      <x:c r="D24" t="str">
        <x:v>Üroloji - Penil Protez - Avrupa Bölgesi - EN</x:v>
      </x:c>
      <x:c r="E24" t="str">
        <x:v>OUTCOME_LEADS</x:v>
      </x:c>
      <x:c r="F24" t="str">
        <x:v>PAUSED</x:v>
      </x:c>
      <x:c r="G24" t="str">
        <x:v>PAUSED</x:v>
      </x:c>
      <x:c r="H24" t="str">
        <x:v>AUCTION</x:v>
      </x:c>
      <x:c r="I24" s="28" t="n">
        <x:v>0</x:v>
      </x:c>
      <x:c r="J24" s="28" t="n">
        <x:v>0</x:v>
      </x:c>
      <x:c r="K24" t="str">
        <x:v>2024-07-04T10:15:16+0300</x:v>
      </x:c>
      <x:c r="L24"/>
      <x:c r="M24" t="str">
        <x:v>2024-09-20T16:28:30+0300</x:v>
      </x:c>
    </x:row>
    <x:row r="25">
      <x:c r="A25" t="str">
        <x:v>act_170008509278498</x:v>
      </x:c>
      <x:c r="B25" t="str">
        <x:v>Doruk Hospital</x:v>
      </x:c>
      <x:c r="C25" t="str">
        <x:v>120210288497880080</x:v>
      </x:c>
      <x:c r="D25" t="str">
        <x:v>Üroloji  - Penil Protez - Avrupa Bölgesi - RU</x:v>
      </x:c>
      <x:c r="E25" t="str">
        <x:v>OUTCOME_LEADS</x:v>
      </x:c>
      <x:c r="F25" t="str">
        <x:v>PAUSED</x:v>
      </x:c>
      <x:c r="G25" t="str">
        <x:v>PAUSED</x:v>
      </x:c>
      <x:c r="H25" t="str">
        <x:v>AUCTION</x:v>
      </x:c>
      <x:c r="I25" s="28" t="n">
        <x:v>0</x:v>
      </x:c>
      <x:c r="J25" s="28" t="n">
        <x:v>0</x:v>
      </x:c>
      <x:c r="K25" t="str">
        <x:v>2024-07-04T10:27:54+0300</x:v>
      </x:c>
      <x:c r="L25"/>
      <x:c r="M25" t="str">
        <x:v>2024-09-20T16:28:30+0300</x:v>
      </x:c>
    </x:row>
    <x:row r="26">
      <x:c r="A26" t="str">
        <x:v>act_170008509278498</x:v>
      </x:c>
      <x:c r="B26" t="str">
        <x:v>Doruk Hospital</x:v>
      </x:c>
      <x:c r="C26" t="str">
        <x:v>120210288724620080</x:v>
      </x:c>
      <x:c r="D26" t="str">
        <x:v>Üroloji - Penil Protez - Rus Bölgesi - RU</x:v>
      </x:c>
      <x:c r="E26" t="str">
        <x:v>OUTCOME_LEADS</x:v>
      </x:c>
      <x:c r="F26" t="str">
        <x:v>PAUSED</x:v>
      </x:c>
      <x:c r="G26" t="str">
        <x:v>PAUSED</x:v>
      </x:c>
      <x:c r="H26" t="str">
        <x:v>AUCTION</x:v>
      </x:c>
      <x:c r="I26" s="28" t="n">
        <x:v>0</x:v>
      </x:c>
      <x:c r="J26" s="28" t="n">
        <x:v>0</x:v>
      </x:c>
      <x:c r="K26" t="str">
        <x:v>2024-07-04T10:54:30+0300</x:v>
      </x:c>
      <x:c r="L26"/>
      <x:c r="M26" t="str">
        <x:v>2024-09-20T16:28:30+0300</x:v>
      </x:c>
    </x:row>
    <x:row r="27">
      <x:c r="A27" t="str">
        <x:v>act_170008509278498</x:v>
      </x:c>
      <x:c r="B27" t="str">
        <x:v>Doruk Hospital</x:v>
      </x:c>
      <x:c r="C27" t="str">
        <x:v>120210289413600080</x:v>
      </x:c>
      <x:c r="D27" t="str">
        <x:v>Üroloji - Prostat - Umman - AR</x:v>
      </x:c>
      <x:c r="E27" t="str">
        <x:v>OUTCOME_LEADS</x:v>
      </x:c>
      <x:c r="F27" t="str">
        <x:v>PAUSED</x:v>
      </x:c>
      <x:c r="G27" t="str">
        <x:v>PAUSED</x:v>
      </x:c>
      <x:c r="H27" t="str">
        <x:v>AUCTION</x:v>
      </x:c>
      <x:c r="I27" s="28" t="n">
        <x:v>0</x:v>
      </x:c>
      <x:c r="J27" s="28" t="n">
        <x:v>0</x:v>
      </x:c>
      <x:c r="K27" t="str">
        <x:v>2024-07-04T11:31:01+0300</x:v>
      </x:c>
      <x:c r="L27"/>
      <x:c r="M27" t="str">
        <x:v>2024-09-20T16:28:30+0300</x:v>
      </x:c>
    </x:row>
    <x:row r="28">
      <x:c r="A28" t="str">
        <x:v>act_170008509278498</x:v>
      </x:c>
      <x:c r="B28" t="str">
        <x:v>Doruk Hospital</x:v>
      </x:c>
      <x:c r="C28" t="str">
        <x:v>120210290111460080</x:v>
      </x:c>
      <x:c r="D28" t="str">
        <x:v>Üroloji - Prostat - Birleşik Arap Emirlikleri - AR</x:v>
      </x:c>
      <x:c r="E28" t="str">
        <x:v>OUTCOME_LEADS</x:v>
      </x:c>
      <x:c r="F28" t="str">
        <x:v>PAUSED</x:v>
      </x:c>
      <x:c r="G28" t="str">
        <x:v>PAUSED</x:v>
      </x:c>
      <x:c r="H28" t="str">
        <x:v>AUCTION</x:v>
      </x:c>
      <x:c r="I28" s="28" t="n">
        <x:v>0</x:v>
      </x:c>
      <x:c r="J28" s="28" t="n">
        <x:v>0</x:v>
      </x:c>
      <x:c r="K28" t="str">
        <x:v>2024-07-04T11:51:54+0300</x:v>
      </x:c>
      <x:c r="L28"/>
      <x:c r="M28" t="str">
        <x:v>2024-09-20T16:28:30+0300</x:v>
      </x:c>
    </x:row>
    <x:row r="29">
      <x:c r="A29" t="str">
        <x:v>act_170008509278498</x:v>
      </x:c>
      <x:c r="B29" t="str">
        <x:v>Doruk Hospital</x:v>
      </x:c>
      <x:c r="C29" t="str">
        <x:v>120210290272970080</x:v>
      </x:c>
      <x:c r="D29" t="str">
        <x:v>Üroloji - Prostat - Kuveyt - AR</x:v>
      </x:c>
      <x:c r="E29" t="str">
        <x:v>OUTCOME_LEADS</x:v>
      </x:c>
      <x:c r="F29" t="str">
        <x:v>PAUSED</x:v>
      </x:c>
      <x:c r="G29" t="str">
        <x:v>PAUSED</x:v>
      </x:c>
      <x:c r="H29" t="str">
        <x:v>AUCTION</x:v>
      </x:c>
      <x:c r="I29" s="28" t="n">
        <x:v>0</x:v>
      </x:c>
      <x:c r="J29" s="28" t="n">
        <x:v>0</x:v>
      </x:c>
      <x:c r="K29" t="str">
        <x:v>2024-07-04T11:57:51+0300</x:v>
      </x:c>
      <x:c r="L29"/>
      <x:c r="M29" t="str">
        <x:v>2024-09-20T16:28:30+0300</x:v>
      </x:c>
    </x:row>
    <x:row r="30">
      <x:c r="A30" t="str">
        <x:v>act_170008509278498</x:v>
      </x:c>
      <x:c r="B30" t="str">
        <x:v>Doruk Hospital</x:v>
      </x:c>
      <x:c r="C30" t="str">
        <x:v>120210291801290080</x:v>
      </x:c>
      <x:c r="D30" t="str">
        <x:v>Üroloji - Prostat - Katar - AR</x:v>
      </x:c>
      <x:c r="E30" t="str">
        <x:v>OUTCOME_LEADS</x:v>
      </x:c>
      <x:c r="F30" t="str">
        <x:v>PAUSED</x:v>
      </x:c>
      <x:c r="G30" t="str">
        <x:v>PAUSED</x:v>
      </x:c>
      <x:c r="H30" t="str">
        <x:v>AUCTION</x:v>
      </x:c>
      <x:c r="I30" s="28" t="n">
        <x:v>0</x:v>
      </x:c>
      <x:c r="J30" s="28" t="n">
        <x:v>0</x:v>
      </x:c>
      <x:c r="K30" t="str">
        <x:v>2024-07-04T13:09:01+0300</x:v>
      </x:c>
      <x:c r="L30"/>
      <x:c r="M30" t="str">
        <x:v>2024-09-20T16:28:30+0300</x:v>
      </x:c>
    </x:row>
    <x:row r="31">
      <x:c r="A31" t="str">
        <x:v>act_170008509278498</x:v>
      </x:c>
      <x:c r="B31" t="str">
        <x:v>Doruk Hospital</x:v>
      </x:c>
      <x:c r="C31" t="str">
        <x:v>120210291968300080</x:v>
      </x:c>
      <x:c r="D31" t="str">
        <x:v>Üroloji - Prostat  - Bahreyn - AR</x:v>
      </x:c>
      <x:c r="E31" t="str">
        <x:v>OUTCOME_LEADS</x:v>
      </x:c>
      <x:c r="F31" t="str">
        <x:v>PAUSED</x:v>
      </x:c>
      <x:c r="G31" t="str">
        <x:v>PAUSED</x:v>
      </x:c>
      <x:c r="H31" t="str">
        <x:v>AUCTION</x:v>
      </x:c>
      <x:c r="I31" s="28" t="n">
        <x:v>0</x:v>
      </x:c>
      <x:c r="J31" s="28" t="n">
        <x:v>0</x:v>
      </x:c>
      <x:c r="K31" t="str">
        <x:v>2024-07-04T13:13:29+0300</x:v>
      </x:c>
      <x:c r="L31"/>
      <x:c r="M31" t="str">
        <x:v>2024-09-20T16:28:30+0300</x:v>
      </x:c>
    </x:row>
    <x:row r="32">
      <x:c r="A32" t="str">
        <x:v>act_170008509278498</x:v>
      </x:c>
      <x:c r="B32" t="str">
        <x:v>Doruk Hospital</x:v>
      </x:c>
      <x:c r="C32" t="str">
        <x:v>120210292270670080</x:v>
      </x:c>
      <x:c r="D32" t="str">
        <x:v>Üroloji - Penil Protez - Umman - AR</x:v>
      </x:c>
      <x:c r="E32" t="str">
        <x:v>OUTCOME_LEADS</x:v>
      </x:c>
      <x:c r="F32" t="str">
        <x:v>PAUSED</x:v>
      </x:c>
      <x:c r="G32" t="str">
        <x:v>PAUSED</x:v>
      </x:c>
      <x:c r="H32" t="str">
        <x:v>AUCTION</x:v>
      </x:c>
      <x:c r="I32" s="28" t="n">
        <x:v>0</x:v>
      </x:c>
      <x:c r="J32" s="28" t="n">
        <x:v>0</x:v>
      </x:c>
      <x:c r="K32" t="str">
        <x:v>2024-07-04T13:52:21+0300</x:v>
      </x:c>
      <x:c r="L32"/>
      <x:c r="M32" t="str">
        <x:v>2024-09-20T16:28:30+0300</x:v>
      </x:c>
    </x:row>
    <x:row r="33">
      <x:c r="A33" t="str">
        <x:v>act_170008509278498</x:v>
      </x:c>
      <x:c r="B33" t="str">
        <x:v>Doruk Hospital</x:v>
      </x:c>
      <x:c r="C33" t="str">
        <x:v>120210292644150080</x:v>
      </x:c>
      <x:c r="D33" t="str">
        <x:v>Üroloji - Penil Protez  - Bahreyn - AR</x:v>
      </x:c>
      <x:c r="E33" t="str">
        <x:v>OUTCOME_LEADS</x:v>
      </x:c>
      <x:c r="F33" t="str">
        <x:v>PAUSED</x:v>
      </x:c>
      <x:c r="G33" t="str">
        <x:v>PAUSED</x:v>
      </x:c>
      <x:c r="H33" t="str">
        <x:v>AUCTION</x:v>
      </x:c>
      <x:c r="I33" s="28" t="n">
        <x:v>0</x:v>
      </x:c>
      <x:c r="J33" s="28" t="n">
        <x:v>0</x:v>
      </x:c>
      <x:c r="K33" t="str">
        <x:v>2024-07-04T13:58:38+0300</x:v>
      </x:c>
      <x:c r="L33"/>
      <x:c r="M33" t="str">
        <x:v>2024-09-20T16:28:30+0300</x:v>
      </x:c>
    </x:row>
    <x:row r="34">
      <x:c r="A34" t="str">
        <x:v>act_170008509278498</x:v>
      </x:c>
      <x:c r="B34" t="str">
        <x:v>Doruk Hospital</x:v>
      </x:c>
      <x:c r="C34" t="str">
        <x:v>120210293061880080</x:v>
      </x:c>
      <x:c r="D34" t="str">
        <x:v>Üroloji - Penil Protez - Katar - AR</x:v>
      </x:c>
      <x:c r="E34" t="str">
        <x:v>OUTCOME_LEADS</x:v>
      </x:c>
      <x:c r="F34" t="str">
        <x:v>PAUSED</x:v>
      </x:c>
      <x:c r="G34" t="str">
        <x:v>PAUSED</x:v>
      </x:c>
      <x:c r="H34" t="str">
        <x:v>AUCTION</x:v>
      </x:c>
      <x:c r="I34" s="28" t="n">
        <x:v>0</x:v>
      </x:c>
      <x:c r="J34" s="28" t="n">
        <x:v>0</x:v>
      </x:c>
      <x:c r="K34" t="str">
        <x:v>2024-07-04T14:12:47+0300</x:v>
      </x:c>
      <x:c r="L34"/>
      <x:c r="M34" t="str">
        <x:v>2024-09-20T16:28:30+0300</x:v>
      </x:c>
    </x:row>
    <x:row r="35">
      <x:c r="A35" t="str">
        <x:v>act_170008509278498</x:v>
      </x:c>
      <x:c r="B35" t="str">
        <x:v>Doruk Hospital</x:v>
      </x:c>
      <x:c r="C35" t="str">
        <x:v>120210293127080080</x:v>
      </x:c>
      <x:c r="D35" t="str">
        <x:v>Üroloji - Penil Protez - Kuveyt - AR</x:v>
      </x:c>
      <x:c r="E35" t="str">
        <x:v>OUTCOME_LEADS</x:v>
      </x:c>
      <x:c r="F35" t="str">
        <x:v>PAUSED</x:v>
      </x:c>
      <x:c r="G35" t="str">
        <x:v>PAUSED</x:v>
      </x:c>
      <x:c r="H35" t="str">
        <x:v>AUCTION</x:v>
      </x:c>
      <x:c r="I35" s="28" t="n">
        <x:v>0</x:v>
      </x:c>
      <x:c r="J35" s="28" t="n">
        <x:v>0</x:v>
      </x:c>
      <x:c r="K35" t="str">
        <x:v>2024-07-04T14:17:30+0300</x:v>
      </x:c>
      <x:c r="L35"/>
      <x:c r="M35" t="str">
        <x:v>2024-09-20T16:28:30+0300</x:v>
      </x:c>
    </x:row>
    <x:row r="36">
      <x:c r="A36" t="str">
        <x:v>act_170008509278498</x:v>
      </x:c>
      <x:c r="B36" t="str">
        <x:v>Doruk Hospital</x:v>
      </x:c>
      <x:c r="C36" t="str">
        <x:v>120210293270750080</x:v>
      </x:c>
      <x:c r="D36" t="str">
        <x:v>Üroloji - Penil Protez - Birleşik Arap Emirlikleri - AR</x:v>
      </x:c>
      <x:c r="E36" t="str">
        <x:v>OUTCOME_LEADS</x:v>
      </x:c>
      <x:c r="F36" t="str">
        <x:v>PAUSED</x:v>
      </x:c>
      <x:c r="G36" t="str">
        <x:v>PAUSED</x:v>
      </x:c>
      <x:c r="H36" t="str">
        <x:v>AUCTION</x:v>
      </x:c>
      <x:c r="I36" s="28" t="n">
        <x:v>0</x:v>
      </x:c>
      <x:c r="J36" s="28" t="n">
        <x:v>0</x:v>
      </x:c>
      <x:c r="K36" t="str">
        <x:v>2024-07-04T14:25:02+0300</x:v>
      </x:c>
      <x:c r="L36"/>
      <x:c r="M36" t="str">
        <x:v>2024-09-20T16:28:30+0300</x:v>
      </x:c>
    </x:row>
    <x:row r="37">
      <x:c r="A37" t="str">
        <x:v>act_170008509278498</x:v>
      </x:c>
      <x:c r="B37" t="str">
        <x:v>Doruk Hospital</x:v>
      </x:c>
      <x:c r="C37" t="str">
        <x:v>120210293704720080</x:v>
      </x:c>
      <x:c r="D37" t="str">
        <x:v>Üroloji - Prostat - Amerika - EN</x:v>
      </x:c>
      <x:c r="E37" t="str">
        <x:v>OUTCOME_LEADS</x:v>
      </x:c>
      <x:c r="F37" t="str">
        <x:v>PAUSED</x:v>
      </x:c>
      <x:c r="G37" t="str">
        <x:v>PAUSED</x:v>
      </x:c>
      <x:c r="H37" t="str">
        <x:v>AUCTION</x:v>
      </x:c>
      <x:c r="I37" s="28" t="n">
        <x:v>0</x:v>
      </x:c>
      <x:c r="J37" s="28" t="n">
        <x:v>0</x:v>
      </x:c>
      <x:c r="K37" t="str">
        <x:v>2024-07-04T15:52:25+0300</x:v>
      </x:c>
      <x:c r="L37"/>
      <x:c r="M37" t="str">
        <x:v>2024-08-10T10:25:37+0300</x:v>
      </x:c>
    </x:row>
    <x:row r="38">
      <x:c r="A38" t="str">
        <x:v>act_170008509278498</x:v>
      </x:c>
      <x:c r="B38" t="str">
        <x:v>Doruk Hospital</x:v>
      </x:c>
      <x:c r="C38" t="str">
        <x:v>120210294869350080</x:v>
      </x:c>
      <x:c r="D38" t="str">
        <x:v>Üroloji - Penil Protez - Amerika - EN</x:v>
      </x:c>
      <x:c r="E38" t="str">
        <x:v>OUTCOME_LEADS</x:v>
      </x:c>
      <x:c r="F38" t="str">
        <x:v>PAUSED</x:v>
      </x:c>
      <x:c r="G38" t="str">
        <x:v>PAUSED</x:v>
      </x:c>
      <x:c r="H38" t="str">
        <x:v>AUCTION</x:v>
      </x:c>
      <x:c r="I38" s="28" t="n">
        <x:v>0</x:v>
      </x:c>
      <x:c r="J38" s="28" t="n">
        <x:v>0</x:v>
      </x:c>
      <x:c r="K38" t="str">
        <x:v>2024-07-04T16:05:55+0300</x:v>
      </x:c>
      <x:c r="L38"/>
      <x:c r="M38" t="str">
        <x:v>2024-08-10T10:24:44+0300</x:v>
      </x:c>
    </x:row>
    <x:row r="39">
      <x:c r="A39" t="str">
        <x:v>act_170008509278498</x:v>
      </x:c>
      <x:c r="B39" t="str">
        <x:v>Doruk Hospital</x:v>
      </x:c>
      <x:c r="C39" t="str">
        <x:v>120210295281600080</x:v>
      </x:c>
      <x:c r="D39" t="str">
        <x:v>Fizik Tedavi - Intensive FTR  - Amerika - EN</x:v>
      </x:c>
      <x:c r="E39" t="str">
        <x:v>OUTCOME_LEADS</x:v>
      </x:c>
      <x:c r="F39" t="str">
        <x:v>PAUSED</x:v>
      </x:c>
      <x:c r="G39" t="str">
        <x:v>PAUSED</x:v>
      </x:c>
      <x:c r="H39" t="str">
        <x:v>AUCTION</x:v>
      </x:c>
      <x:c r="I39" s="28" t="n">
        <x:v>0</x:v>
      </x:c>
      <x:c r="J39" s="28" t="n">
        <x:v>0</x:v>
      </x:c>
      <x:c r="K39" t="str">
        <x:v>2024-07-04T16:09:54+0300</x:v>
      </x:c>
      <x:c r="L39"/>
      <x:c r="M39" t="str">
        <x:v>2024-08-10T10:27:02+0300</x:v>
      </x:c>
    </x:row>
    <x:row r="40">
      <x:c r="A40" t="str">
        <x:v>act_170008509278498</x:v>
      </x:c>
      <x:c r="B40" t="str">
        <x:v>Doruk Hospital</x:v>
      </x:c>
      <x:c r="C40" t="str">
        <x:v>120210835034990080</x:v>
      </x:c>
      <x:c r="D40" t="str">
        <x:v>Ortopedi - Diz Protez - Amerika - EN</x:v>
      </x:c>
      <x:c r="E40" t="str">
        <x:v>OUTCOME_LEADS</x:v>
      </x:c>
      <x:c r="F40" t="str">
        <x:v>PAUSED</x:v>
      </x:c>
      <x:c r="G40" t="str">
        <x:v>PAUSED</x:v>
      </x:c>
      <x:c r="H40" t="str">
        <x:v>AUCTION</x:v>
      </x:c>
      <x:c r="I40" s="28" t="n">
        <x:v>0</x:v>
      </x:c>
      <x:c r="J40" s="28" t="n">
        <x:v>0</x:v>
      </x:c>
      <x:c r="K40" t="str">
        <x:v>2024-07-29T11:47:03+0300</x:v>
      </x:c>
      <x:c r="L40"/>
      <x:c r="M40" t="str">
        <x:v>2024-08-10T10:23:26+0300</x:v>
      </x:c>
    </x:row>
    <x:row r="41">
      <x:c r="A41" t="str">
        <x:v>act_170008509278498</x:v>
      </x:c>
      <x:c r="B41" t="str">
        <x:v>Doruk Hospital</x:v>
      </x:c>
      <x:c r="C41" t="str">
        <x:v>120210836552770080</x:v>
      </x:c>
      <x:c r="D41" t="str">
        <x:v>Ortopedi - Diz Protez - İngiltere, İrlanda - Tümü - EN - Doruk Hospital</x:v>
      </x:c>
      <x:c r="E41" t="str">
        <x:v>OUTCOME_LEADS</x:v>
      </x:c>
      <x:c r="F41" t="str">
        <x:v>PAUSED</x:v>
      </x:c>
      <x:c r="G41" t="str">
        <x:v>PAUSED</x:v>
      </x:c>
      <x:c r="H41" t="str">
        <x:v>AUCTION</x:v>
      </x:c>
      <x:c r="I41" s="28" t="n">
        <x:v>0</x:v>
      </x:c>
      <x:c r="J41" s="28" t="n">
        <x:v>0</x:v>
      </x:c>
      <x:c r="K41" t="str">
        <x:v>2024-07-29T12:57:05+0300</x:v>
      </x:c>
      <x:c r="L41"/>
      <x:c r="M41" t="str">
        <x:v>2025-01-03T16:09:46+0300</x:v>
      </x:c>
    </x:row>
    <x:row r="42">
      <x:c r="A42" t="str">
        <x:v>act_170008509278498</x:v>
      </x:c>
      <x:c r="B42" t="str">
        <x:v>Doruk Hospital</x:v>
      </x:c>
      <x:c r="C42" t="str">
        <x:v>120210836561880080</x:v>
      </x:c>
      <x:c r="D42" t="str">
        <x:v>Ortopedi - Diz Protez - Avrupa Bölgesi  - Tümü -EN - Doruk Hospital</x:v>
      </x:c>
      <x:c r="E42" t="str">
        <x:v>OUTCOME_LEADS</x:v>
      </x:c>
      <x:c r="F42" t="str">
        <x:v>PAUSED</x:v>
      </x:c>
      <x:c r="G42" t="str">
        <x:v>PAUSED</x:v>
      </x:c>
      <x:c r="H42" t="str">
        <x:v>AUCTION</x:v>
      </x:c>
      <x:c r="I42" s="28" t="n">
        <x:v>0</x:v>
      </x:c>
      <x:c r="J42" s="28" t="n">
        <x:v>0</x:v>
      </x:c>
      <x:c r="K42" t="str">
        <x:v>2024-07-29T12:57:05+0300</x:v>
      </x:c>
      <x:c r="L42"/>
      <x:c r="M42" t="str">
        <x:v>2025-01-03T16:09:32+0300</x:v>
      </x:c>
    </x:row>
    <x:row r="43">
      <x:c r="A43" t="str">
        <x:v>act_170008509278498</x:v>
      </x:c>
      <x:c r="B43" t="str">
        <x:v>Doruk Hospital</x:v>
      </x:c>
      <x:c r="C43" t="str">
        <x:v>120210841230500080</x:v>
      </x:c>
      <x:c r="D43" t="str">
        <x:v>Ortopedi - Kalça Protez - Amerika - EN</x:v>
      </x:c>
      <x:c r="E43" t="str">
        <x:v>OUTCOME_LEADS</x:v>
      </x:c>
      <x:c r="F43" t="str">
        <x:v>PAUSED</x:v>
      </x:c>
      <x:c r="G43" t="str">
        <x:v>PAUSED</x:v>
      </x:c>
      <x:c r="H43" t="str">
        <x:v>AUCTION</x:v>
      </x:c>
      <x:c r="I43" s="28" t="n">
        <x:v>0</x:v>
      </x:c>
      <x:c r="J43" s="28" t="n">
        <x:v>0</x:v>
      </x:c>
      <x:c r="K43" t="str">
        <x:v>2024-07-29T17:43:15+0300</x:v>
      </x:c>
      <x:c r="L43"/>
      <x:c r="M43" t="str">
        <x:v>2024-08-10T10:22:05+0300</x:v>
      </x:c>
    </x:row>
    <x:row r="44">
      <x:c r="A44" t="str">
        <x:v>act_170008509278498</x:v>
      </x:c>
      <x:c r="B44" t="str">
        <x:v>Doruk Hospital</x:v>
      </x:c>
      <x:c r="C44" t="str">
        <x:v>120210841471150080</x:v>
      </x:c>
      <x:c r="D44" t="str">
        <x:v>Ortopedi - Kalça Protez - İngiltere, İrlanda - Tümü -EN - Doruk Hospital</x:v>
      </x:c>
      <x:c r="E44" t="str">
        <x:v>OUTCOME_LEADS</x:v>
      </x:c>
      <x:c r="F44" t="str">
        <x:v>PAUSED</x:v>
      </x:c>
      <x:c r="G44" t="str">
        <x:v>PAUSED</x:v>
      </x:c>
      <x:c r="H44" t="str">
        <x:v>AUCTION</x:v>
      </x:c>
      <x:c r="I44" s="28" t="n">
        <x:v>0</x:v>
      </x:c>
      <x:c r="J44" s="28" t="n">
        <x:v>0</x:v>
      </x:c>
      <x:c r="K44" t="str">
        <x:v>2024-07-29T17:55:00+0300</x:v>
      </x:c>
      <x:c r="L44"/>
      <x:c r="M44" t="str">
        <x:v>2025-01-03T16:09:32+0300</x:v>
      </x:c>
    </x:row>
    <x:row r="45">
      <x:c r="A45" t="str">
        <x:v>act_170008509278498</x:v>
      </x:c>
      <x:c r="B45" t="str">
        <x:v>Doruk Hospital</x:v>
      </x:c>
      <x:c r="C45" t="str">
        <x:v>120210841479110080</x:v>
      </x:c>
      <x:c r="D45" t="str">
        <x:v>Ortopedi - Kalça Protez - Avrupa Bölgesi - Tümü -EN - Doruk Hospital</x:v>
      </x:c>
      <x:c r="E45" t="str">
        <x:v>OUTCOME_LEADS</x:v>
      </x:c>
      <x:c r="F45" t="str">
        <x:v>PAUSED</x:v>
      </x:c>
      <x:c r="G45" t="str">
        <x:v>PAUSED</x:v>
      </x:c>
      <x:c r="H45" t="str">
        <x:v>AUCTION</x:v>
      </x:c>
      <x:c r="I45" s="28" t="n">
        <x:v>0</x:v>
      </x:c>
      <x:c r="J45" s="28" t="n">
        <x:v>0</x:v>
      </x:c>
      <x:c r="K45" t="str">
        <x:v>2024-07-29T17:55:00+0300</x:v>
      </x:c>
      <x:c r="L45"/>
      <x:c r="M45" t="str">
        <x:v>2025-01-03T16:09:29+0300</x:v>
      </x:c>
    </x:row>
    <x:row r="46">
      <x:c r="A46" t="str">
        <x:v>act_170008509278498</x:v>
      </x:c>
      <x:c r="B46" t="str">
        <x:v>Doruk Hospital</x:v>
      </x:c>
      <x:c r="C46" t="str">
        <x:v>120211050222760080</x:v>
      </x:c>
      <x:c r="D46" t="str">
        <x:v>Ortopedi - Diz Protez - Bahreyn - Tümü -AR</x:v>
      </x:c>
      <x:c r="E46" t="str">
        <x:v>OUTCOME_LEADS</x:v>
      </x:c>
      <x:c r="F46" t="str">
        <x:v>PAUSED</x:v>
      </x:c>
      <x:c r="G46" t="str">
        <x:v>PAUSED</x:v>
      </x:c>
      <x:c r="H46" t="str">
        <x:v>AUCTION</x:v>
      </x:c>
      <x:c r="I46" s="28" t="n">
        <x:v>0</x:v>
      </x:c>
      <x:c r="J46" s="28" t="n">
        <x:v>0</x:v>
      </x:c>
      <x:c r="K46" t="str">
        <x:v>2024-08-08T15:17:06+0300</x:v>
      </x:c>
      <x:c r="L46"/>
      <x:c r="M46" t="str">
        <x:v>2024-11-07T15:12:08+0300</x:v>
      </x:c>
    </x:row>
    <x:row r="47">
      <x:c r="A47" t="str">
        <x:v>act_170008509278498</x:v>
      </x:c>
      <x:c r="B47" t="str">
        <x:v>Doruk Hospital</x:v>
      </x:c>
      <x:c r="C47" t="str">
        <x:v>120211050415700080</x:v>
      </x:c>
      <x:c r="D47" t="str">
        <x:v>Ortopedi - Diz Protez - BAE - Tümü -AR</x:v>
      </x:c>
      <x:c r="E47" t="str">
        <x:v>OUTCOME_LEADS</x:v>
      </x:c>
      <x:c r="F47" t="str">
        <x:v>PAUSED</x:v>
      </x:c>
      <x:c r="G47" t="str">
        <x:v>PAUSED</x:v>
      </x:c>
      <x:c r="H47" t="str">
        <x:v>AUCTION</x:v>
      </x:c>
      <x:c r="I47" s="28" t="n">
        <x:v>0</x:v>
      </x:c>
      <x:c r="J47" s="28" t="n">
        <x:v>0</x:v>
      </x:c>
      <x:c r="K47" t="str">
        <x:v>2024-08-08T16:07:50+0300</x:v>
      </x:c>
      <x:c r="L47"/>
      <x:c r="M47" t="str">
        <x:v>2024-11-07T15:12:07+0300</x:v>
      </x:c>
    </x:row>
    <x:row r="48">
      <x:c r="A48" t="str">
        <x:v>act_170008509278498</x:v>
      </x:c>
      <x:c r="B48" t="str">
        <x:v>Doruk Hospital</x:v>
      </x:c>
      <x:c r="C48" t="str">
        <x:v>120211050424560080</x:v>
      </x:c>
      <x:c r="D48" t="str">
        <x:v>Ortopedi - Diz Protez - Kuveyt - Tümü -AR</x:v>
      </x:c>
      <x:c r="E48" t="str">
        <x:v>OUTCOME_LEADS</x:v>
      </x:c>
      <x:c r="F48" t="str">
        <x:v>PAUSED</x:v>
      </x:c>
      <x:c r="G48" t="str">
        <x:v>PAUSED</x:v>
      </x:c>
      <x:c r="H48" t="str">
        <x:v>AUCTION</x:v>
      </x:c>
      <x:c r="I48" s="28" t="n">
        <x:v>0</x:v>
      </x:c>
      <x:c r="J48" s="28" t="n">
        <x:v>0</x:v>
      </x:c>
      <x:c r="K48" t="str">
        <x:v>2024-08-08T16:07:50+0300</x:v>
      </x:c>
      <x:c r="L48"/>
      <x:c r="M48" t="str">
        <x:v>2024-11-07T15:12:05+0300</x:v>
      </x:c>
    </x:row>
    <x:row r="49">
      <x:c r="A49" t="str">
        <x:v>act_170008509278498</x:v>
      </x:c>
      <x:c r="B49" t="str">
        <x:v>Doruk Hospital</x:v>
      </x:c>
      <x:c r="C49" t="str">
        <x:v>120211050430140080</x:v>
      </x:c>
      <x:c r="D49" t="str">
        <x:v>Ortopedi - Diz Protez - Katar - Tümü -AR</x:v>
      </x:c>
      <x:c r="E49" t="str">
        <x:v>OUTCOME_LEADS</x:v>
      </x:c>
      <x:c r="F49" t="str">
        <x:v>PAUSED</x:v>
      </x:c>
      <x:c r="G49" t="str">
        <x:v>PAUSED</x:v>
      </x:c>
      <x:c r="H49" t="str">
        <x:v>AUCTION</x:v>
      </x:c>
      <x:c r="I49" s="28" t="n">
        <x:v>0</x:v>
      </x:c>
      <x:c r="J49" s="28" t="n">
        <x:v>0</x:v>
      </x:c>
      <x:c r="K49" t="str">
        <x:v>2024-08-08T16:07:50+0300</x:v>
      </x:c>
      <x:c r="L49"/>
      <x:c r="M49" t="str">
        <x:v>2024-11-07T15:11:27+0300</x:v>
      </x:c>
    </x:row>
    <x:row r="50">
      <x:c r="A50" t="str">
        <x:v>act_170008509278498</x:v>
      </x:c>
      <x:c r="B50" t="str">
        <x:v>Doruk Hospital</x:v>
      </x:c>
      <x:c r="C50" t="str">
        <x:v>120211050435210080</x:v>
      </x:c>
      <x:c r="D50" t="str">
        <x:v>Ortopedi - Diz Protez - Umman  - Tümü -AR</x:v>
      </x:c>
      <x:c r="E50" t="str">
        <x:v>OUTCOME_LEADS</x:v>
      </x:c>
      <x:c r="F50" t="str">
        <x:v>PAUSED</x:v>
      </x:c>
      <x:c r="G50" t="str">
        <x:v>PAUSED</x:v>
      </x:c>
      <x:c r="H50" t="str">
        <x:v>AUCTION</x:v>
      </x:c>
      <x:c r="I50" s="28" t="n">
        <x:v>0</x:v>
      </x:c>
      <x:c r="J50" s="28" t="n">
        <x:v>0</x:v>
      </x:c>
      <x:c r="K50" t="str">
        <x:v>2024-08-08T16:07:50+0300</x:v>
      </x:c>
      <x:c r="L50"/>
      <x:c r="M50" t="str">
        <x:v>2024-11-07T15:11:26+0300</x:v>
      </x:c>
    </x:row>
    <x:row r="51">
      <x:c r="A51" t="str">
        <x:v>act_170008509278498</x:v>
      </x:c>
      <x:c r="B51" t="str">
        <x:v>Doruk Hospital</x:v>
      </x:c>
      <x:c r="C51" t="str">
        <x:v>120211050494290080</x:v>
      </x:c>
      <x:c r="D51" t="str">
        <x:v>Ortopedi - Kalça Protez - Umman  - Tümü -AR</x:v>
      </x:c>
      <x:c r="E51" t="str">
        <x:v>OUTCOME_LEADS</x:v>
      </x:c>
      <x:c r="F51" t="str">
        <x:v>PAUSED</x:v>
      </x:c>
      <x:c r="G51" t="str">
        <x:v>PAUSED</x:v>
      </x:c>
      <x:c r="H51" t="str">
        <x:v>AUCTION</x:v>
      </x:c>
      <x:c r="I51" s="28" t="n">
        <x:v>0</x:v>
      </x:c>
      <x:c r="J51" s="28" t="n">
        <x:v>0</x:v>
      </x:c>
      <x:c r="K51" t="str">
        <x:v>2024-08-08T16:07:50+0300</x:v>
      </x:c>
      <x:c r="L51"/>
      <x:c r="M51" t="str">
        <x:v>2024-11-07T15:11:58+0300</x:v>
      </x:c>
    </x:row>
    <x:row r="52">
      <x:c r="A52" t="str">
        <x:v>act_170008509278498</x:v>
      </x:c>
      <x:c r="B52" t="str">
        <x:v>Doruk Hospital</x:v>
      </x:c>
      <x:c r="C52" t="str">
        <x:v>120211050755840080</x:v>
      </x:c>
      <x:c r="D52" t="str">
        <x:v>Ortopedi - Kalça Protez - BAE - Tümü -AR</x:v>
      </x:c>
      <x:c r="E52" t="str">
        <x:v>OUTCOME_LEADS</x:v>
      </x:c>
      <x:c r="F52" t="str">
        <x:v>PAUSED</x:v>
      </x:c>
      <x:c r="G52" t="str">
        <x:v>PAUSED</x:v>
      </x:c>
      <x:c r="H52" t="str">
        <x:v>AUCTION</x:v>
      </x:c>
      <x:c r="I52" s="28" t="n">
        <x:v>0</x:v>
      </x:c>
      <x:c r="J52" s="28" t="n">
        <x:v>0</x:v>
      </x:c>
      <x:c r="K52" t="str">
        <x:v>2024-08-08T16:07:50+0300</x:v>
      </x:c>
      <x:c r="L52"/>
      <x:c r="M52" t="str">
        <x:v>2024-11-07T15:11:49+0300</x:v>
      </x:c>
    </x:row>
    <x:row r="53">
      <x:c r="A53" t="str">
        <x:v>act_170008509278498</x:v>
      </x:c>
      <x:c r="B53" t="str">
        <x:v>Doruk Hospital</x:v>
      </x:c>
      <x:c r="C53" t="str">
        <x:v>120211050764690080</x:v>
      </x:c>
      <x:c r="D53" t="str">
        <x:v>Ortopedi - Kalça Protez - Kuveyt - Tümü -AR</x:v>
      </x:c>
      <x:c r="E53" t="str">
        <x:v>OUTCOME_LEADS</x:v>
      </x:c>
      <x:c r="F53" t="str">
        <x:v>PAUSED</x:v>
      </x:c>
      <x:c r="G53" t="str">
        <x:v>PAUSED</x:v>
      </x:c>
      <x:c r="H53" t="str">
        <x:v>AUCTION</x:v>
      </x:c>
      <x:c r="I53" s="28" t="n">
        <x:v>0</x:v>
      </x:c>
      <x:c r="J53" s="28" t="n">
        <x:v>0</x:v>
      </x:c>
      <x:c r="K53" t="str">
        <x:v>2024-08-08T16:07:50+0300</x:v>
      </x:c>
      <x:c r="L53"/>
      <x:c r="M53" t="str">
        <x:v>2024-11-07T15:11:47+0300</x:v>
      </x:c>
    </x:row>
    <x:row r="54">
      <x:c r="A54" t="str">
        <x:v>act_170008509278498</x:v>
      </x:c>
      <x:c r="B54" t="str">
        <x:v>Doruk Hospital</x:v>
      </x:c>
      <x:c r="C54" t="str">
        <x:v>120211050779280080</x:v>
      </x:c>
      <x:c r="D54" t="str">
        <x:v>Ortopedi - Kalça Protez - Katar - Tümü -AR</x:v>
      </x:c>
      <x:c r="E54" t="str">
        <x:v>OUTCOME_LEADS</x:v>
      </x:c>
      <x:c r="F54" t="str">
        <x:v>PAUSED</x:v>
      </x:c>
      <x:c r="G54" t="str">
        <x:v>PAUSED</x:v>
      </x:c>
      <x:c r="H54" t="str">
        <x:v>AUCTION</x:v>
      </x:c>
      <x:c r="I54" s="28" t="n">
        <x:v>0</x:v>
      </x:c>
      <x:c r="J54" s="28" t="n">
        <x:v>0</x:v>
      </x:c>
      <x:c r="K54" t="str">
        <x:v>2024-08-08T16:07:50+0300</x:v>
      </x:c>
      <x:c r="L54"/>
      <x:c r="M54" t="str">
        <x:v>2024-11-07T15:11:24+0300</x:v>
      </x:c>
    </x:row>
    <x:row r="55">
      <x:c r="A55" t="str">
        <x:v>act_170008509278498</x:v>
      </x:c>
      <x:c r="B55" t="str">
        <x:v>Doruk Hospital</x:v>
      </x:c>
      <x:c r="C55" t="str">
        <x:v>120211050793900080</x:v>
      </x:c>
      <x:c r="D55" t="str">
        <x:v>Ortopedi - Kalça Protez - Bahreyn  - Tümü -AR</x:v>
      </x:c>
      <x:c r="E55" t="str">
        <x:v>OUTCOME_LEADS</x:v>
      </x:c>
      <x:c r="F55" t="str">
        <x:v>PAUSED</x:v>
      </x:c>
      <x:c r="G55" t="str">
        <x:v>PAUSED</x:v>
      </x:c>
      <x:c r="H55" t="str">
        <x:v>AUCTION</x:v>
      </x:c>
      <x:c r="I55" s="28" t="n">
        <x:v>0</x:v>
      </x:c>
      <x:c r="J55" s="28" t="n">
        <x:v>0</x:v>
      </x:c>
      <x:c r="K55" t="str">
        <x:v>2024-08-08T16:07:50+0300</x:v>
      </x:c>
      <x:c r="L55"/>
      <x:c r="M55" t="str">
        <x:v>2024-11-07T15:11:42+0300</x:v>
      </x:c>
    </x:row>
    <x:row r="56">
      <x:c r="A56" t="str">
        <x:v>act_170008509278498</x:v>
      </x:c>
      <x:c r="B56" t="str">
        <x:v>Doruk Hospital</x:v>
      </x:c>
      <x:c r="C56" t="str">
        <x:v>120211050816760080</x:v>
      </x:c>
      <x:c r="D56" t="str">
        <x:v>Ortopedi - Kalça Protez - Rus Bölgesi - Tümü -RU</x:v>
      </x:c>
      <x:c r="E56" t="str">
        <x:v>OUTCOME_LEADS</x:v>
      </x:c>
      <x:c r="F56" t="str">
        <x:v>PAUSED</x:v>
      </x:c>
      <x:c r="G56" t="str">
        <x:v>PAUSED</x:v>
      </x:c>
      <x:c r="H56" t="str">
        <x:v>AUCTION</x:v>
      </x:c>
      <x:c r="I56" s="28" t="n">
        <x:v>0</x:v>
      </x:c>
      <x:c r="J56" s="28" t="n">
        <x:v>0</x:v>
      </x:c>
      <x:c r="K56" t="str">
        <x:v>2024-08-08T16:07:50+0300</x:v>
      </x:c>
      <x:c r="L56"/>
      <x:c r="M56" t="str">
        <x:v>2024-11-07T15:11:44+0300</x:v>
      </x:c>
    </x:row>
    <x:row r="57">
      <x:c r="A57" t="str">
        <x:v>act_170008509278498</x:v>
      </x:c>
      <x:c r="B57" t="str">
        <x:v>Doruk Hospital</x:v>
      </x:c>
      <x:c r="C57" t="str">
        <x:v>120211050949800080</x:v>
      </x:c>
      <x:c r="D57" t="str">
        <x:v>Ortopedi - Diz Protez - Rus Bölgesi - Tümü - RU</x:v>
      </x:c>
      <x:c r="E57" t="str">
        <x:v>OUTCOME_LEADS</x:v>
      </x:c>
      <x:c r="F57" t="str">
        <x:v>PAUSED</x:v>
      </x:c>
      <x:c r="G57" t="str">
        <x:v>PAUSED</x:v>
      </x:c>
      <x:c r="H57" t="str">
        <x:v>AUCTION</x:v>
      </x:c>
      <x:c r="I57" s="28" t="n">
        <x:v>0</x:v>
      </x:c>
      <x:c r="J57" s="28" t="n">
        <x:v>0</x:v>
      </x:c>
      <x:c r="K57" t="str">
        <x:v>2024-08-08T16:07:50+0300</x:v>
      </x:c>
      <x:c r="L57"/>
      <x:c r="M57" t="str">
        <x:v>2024-11-07T15:11:37+0300</x:v>
      </x:c>
    </x:row>
    <x:row r="58">
      <x:c r="A58" t="str">
        <x:v>act_449281783851362</x:v>
      </x:c>
      <x:c r="B58" t="str">
        <x:v>Doruk Hastaneleri - SİNA ÖZEL Sağlık Hizmetleri A.ş</x:v>
      </x:c>
      <x:c r="C58" t="str">
        <x:v>120211731920800399</x:v>
      </x:c>
      <x:c r="D58" t="str">
        <x:v>ABO / Göz Kapağı Estetiği / plastik cerrahi / lead</x:v>
      </x:c>
      <x:c r="E58" t="str">
        <x:v>OUTCOME_LEADS</x:v>
      </x:c>
      <x:c r="F58" t="str">
        <x:v>ACTIVE</x:v>
      </x:c>
      <x:c r="G58" t="str">
        <x:v>ACTIVE</x:v>
      </x:c>
      <x:c r="H58" t="str">
        <x:v>AUCTION</x:v>
      </x:c>
      <x:c r="I58" s="28" t="n">
        <x:v>0</x:v>
      </x:c>
      <x:c r="J58" s="28" t="n">
        <x:v>0</x:v>
      </x:c>
      <x:c r="K58" t="str">
        <x:v>2024-05-31T15:00:26+0300</x:v>
      </x:c>
      <x:c r="L58"/>
      <x:c r="M58" t="str">
        <x:v>2025-04-21T03:00:26+0300</x:v>
      </x:c>
    </x:row>
    <x:row r="59">
      <x:c r="A59" t="str">
        <x:v>act_449281783851362</x:v>
      </x:c>
      <x:c r="B59" t="str">
        <x:v>Doruk Hastaneleri - SİNA ÖZEL Sağlık Hizmetleri A.ş</x:v>
      </x:c>
      <x:c r="C59" t="str">
        <x:v>120211732243050399</x:v>
      </x:c>
      <x:c r="D59" t="str">
        <x:v>ABO /Kepçe Kulak / plastik cerrahi / lead</x:v>
      </x:c>
      <x:c r="E59" t="str">
        <x:v>OUTCOME_LEADS</x:v>
      </x:c>
      <x:c r="F59" t="str">
        <x:v>ACTIVE</x:v>
      </x:c>
      <x:c r="G59" t="str">
        <x:v>ACTIVE</x:v>
      </x:c>
      <x:c r="H59" t="str">
        <x:v>AUCTION</x:v>
      </x:c>
      <x:c r="I59" s="28" t="n">
        <x:v>0</x:v>
      </x:c>
      <x:c r="J59" s="28" t="n">
        <x:v>0</x:v>
      </x:c>
      <x:c r="K59" t="str">
        <x:v>2024-05-31T14:20:09+0300</x:v>
      </x:c>
      <x:c r="L59"/>
      <x:c r="M59" t="str">
        <x:v>2025-04-21T03:00:26+0300</x:v>
      </x:c>
    </x:row>
    <x:row r="60">
      <x:c r="A60" t="str">
        <x:v>act_449281783851362</x:v>
      </x:c>
      <x:c r="B60" t="str">
        <x:v>Doruk Hastaneleri - SİNA ÖZEL Sağlık Hizmetleri A.ş</x:v>
      </x:c>
      <x:c r="C60" t="str">
        <x:v>120211732311210399</x:v>
      </x:c>
      <x:c r="D60" t="str">
        <x:v>ABO / Meme Estetiği / plastik cerrahi / lead</x:v>
      </x:c>
      <x:c r="E60" t="str">
        <x:v>OUTCOME_LEADS</x:v>
      </x:c>
      <x:c r="F60" t="str">
        <x:v>ACTIVE</x:v>
      </x:c>
      <x:c r="G60" t="str">
        <x:v>ACTIVE</x:v>
      </x:c>
      <x:c r="H60" t="str">
        <x:v>AUCTION</x:v>
      </x:c>
      <x:c r="I60" s="28" t="n">
        <x:v>0</x:v>
      </x:c>
      <x:c r="J60" s="28" t="n">
        <x:v>0</x:v>
      </x:c>
      <x:c r="K60" t="str">
        <x:v>2024-05-31T14:36:25+0300</x:v>
      </x:c>
      <x:c r="L60"/>
      <x:c r="M60" t="str">
        <x:v>2025-04-21T03:00:26+0300</x:v>
      </x:c>
    </x:row>
    <x:row r="61">
      <x:c r="A61" t="str">
        <x:v>act_449281783851362</x:v>
      </x:c>
      <x:c r="B61" t="str">
        <x:v>Doruk Hastaneleri - SİNA ÖZEL Sağlık Hizmetleri A.ş</x:v>
      </x:c>
      <x:c r="C61" t="str">
        <x:v>120211732618490399</x:v>
      </x:c>
      <x:c r="D61" t="str">
        <x:v>ABO /Jinekomasti / plastik cerrahi / lead</x:v>
      </x:c>
      <x:c r="E61" t="str">
        <x:v>OUTCOME_LEADS</x:v>
      </x:c>
      <x:c r="F61" t="str">
        <x:v>ACTIVE</x:v>
      </x:c>
      <x:c r="G61" t="str">
        <x:v>ACTIVE</x:v>
      </x:c>
      <x:c r="H61" t="str">
        <x:v>AUCTION</x:v>
      </x:c>
      <x:c r="I61" s="28" t="n">
        <x:v>0</x:v>
      </x:c>
      <x:c r="J61" s="28" t="n">
        <x:v>0</x:v>
      </x:c>
      <x:c r="K61" t="str">
        <x:v>2024-05-31T14:38:49+0300</x:v>
      </x:c>
      <x:c r="L61"/>
      <x:c r="M61" t="str">
        <x:v>2025-04-21T03:00:26+0300</x:v>
      </x:c>
    </x:row>
    <x:row r="62">
      <x:c r="A62" t="str">
        <x:v>act_449281783851362</x:v>
      </x:c>
      <x:c r="B62" t="str">
        <x:v>Doruk Hastaneleri - SİNA ÖZEL Sağlık Hizmetleri A.ş</x:v>
      </x:c>
      <x:c r="C62" t="str">
        <x:v>120211732654260399</x:v>
      </x:c>
      <x:c r="D62" t="str">
        <x:v>ABO / Rinoplasti / plastik cerrahi / lead</x:v>
      </x:c>
      <x:c r="E62" t="str">
        <x:v>OUTCOME_LEADS</x:v>
      </x:c>
      <x:c r="F62" t="str">
        <x:v>ACTIVE</x:v>
      </x:c>
      <x:c r="G62" t="str">
        <x:v>ACTIVE</x:v>
      </x:c>
      <x:c r="H62" t="str">
        <x:v>AUCTION</x:v>
      </x:c>
      <x:c r="I62" s="28" t="n">
        <x:v>0</x:v>
      </x:c>
      <x:c r="J62" s="28" t="n">
        <x:v>0</x:v>
      </x:c>
      <x:c r="K62" t="str">
        <x:v>2024-05-31T14:43:17+0300</x:v>
      </x:c>
      <x:c r="L62"/>
      <x:c r="M62" t="str">
        <x:v>2025-04-21T03:00:26+0300</x:v>
      </x:c>
    </x:row>
    <x:row r="63">
      <x:c r="A63" t="str">
        <x:v>act_449281783851362</x:v>
      </x:c>
      <x:c r="B63" t="str">
        <x:v>Doruk Hastaneleri - SİNA ÖZEL Sağlık Hizmetleri A.ş</x:v>
      </x:c>
      <x:c r="C63" t="str">
        <x:v>120211732712890399</x:v>
      </x:c>
      <x:c r="D63" t="str">
        <x:v>ABO / Vücut Şekillendirme / plastik cerrahi / lead</x:v>
      </x:c>
      <x:c r="E63" t="str">
        <x:v>OUTCOME_LEADS</x:v>
      </x:c>
      <x:c r="F63" t="str">
        <x:v>ACTIVE</x:v>
      </x:c>
      <x:c r="G63" t="str">
        <x:v>ACTIVE</x:v>
      </x:c>
      <x:c r="H63" t="str">
        <x:v>AUCTION</x:v>
      </x:c>
      <x:c r="I63" s="28" t="n">
        <x:v>0</x:v>
      </x:c>
      <x:c r="J63" s="28" t="n">
        <x:v>0</x:v>
      </x:c>
      <x:c r="K63" t="str">
        <x:v>2024-05-31T14:48:57+0300</x:v>
      </x:c>
      <x:c r="L63"/>
      <x:c r="M63" t="str">
        <x:v>2025-04-21T03:00:26+0300</x:v>
      </x:c>
    </x:row>
    <x:row r="64">
      <x:c r="A64" t="str">
        <x:v>act_449281783851362</x:v>
      </x:c>
      <x:c r="B64" t="str">
        <x:v>Doruk Hastaneleri - SİNA ÖZEL Sağlık Hizmetleri A.ş</x:v>
      </x:c>
      <x:c r="C64" t="str">
        <x:v>120211732754080399</x:v>
      </x:c>
      <x:c r="D64" t="str">
        <x:v>ABO / Yüz Germe (Facelift) / plastik cerrahi / lead</x:v>
      </x:c>
      <x:c r="E64" t="str">
        <x:v>OUTCOME_LEADS</x:v>
      </x:c>
      <x:c r="F64" t="str">
        <x:v>ACTIVE</x:v>
      </x:c>
      <x:c r="G64" t="str">
        <x:v>ACTIVE</x:v>
      </x:c>
      <x:c r="H64" t="str">
        <x:v>AUCTION</x:v>
      </x:c>
      <x:c r="I64" s="28" t="n">
        <x:v>0</x:v>
      </x:c>
      <x:c r="J64" s="28" t="n">
        <x:v>0</x:v>
      </x:c>
      <x:c r="K64" t="str">
        <x:v>2024-05-31T14:52:21+0300</x:v>
      </x:c>
      <x:c r="L64"/>
      <x:c r="M64" t="str">
        <x:v>2025-04-21T03:00:26+0300</x:v>
      </x:c>
    </x:row>
    <x:row r="65">
      <x:c r="A65" t="str">
        <x:v>act_170008509278498</x:v>
      </x:c>
      <x:c r="B65" t="str">
        <x:v>Doruk Hospital</x:v>
      </x:c>
      <x:c r="C65" t="str">
        <x:v>120213112057830080</x:v>
      </x:c>
      <x:c r="D65" t="str">
        <x:v>xx</x:v>
      </x:c>
      <x:c r="E65" t="str">
        <x:v>OUTCOME_LEADS</x:v>
      </x:c>
      <x:c r="F65" t="str">
        <x:v>PAUSED</x:v>
      </x:c>
      <x:c r="G65" t="str">
        <x:v>PAUSED</x:v>
      </x:c>
      <x:c r="H65" t="str">
        <x:v>AUCTION</x:v>
      </x:c>
      <x:c r="I65" s="28" t="n">
        <x:v>0</x:v>
      </x:c>
      <x:c r="J65" s="28" t="n">
        <x:v>0</x:v>
      </x:c>
      <x:c r="K65" t="str">
        <x:v>2024-11-09T10:07:56+0300</x:v>
      </x:c>
      <x:c r="L65"/>
      <x:c r="M65" t="str">
        <x:v>2024-11-09T10:54:35+0300</x:v>
      </x:c>
    </x:row>
    <x:row r="66">
      <x:c r="A66" t="str">
        <x:v>act_170008509278498</x:v>
      </x:c>
      <x:c r="B66" t="str">
        <x:v>Doruk Hospital</x:v>
      </x:c>
      <x:c r="C66" t="str">
        <x:v>120213112156700080</x:v>
      </x:c>
      <x:c r="D66" t="str">
        <x:v>Fizik Tedavi - Intensive FTR - Türki Cumhuriyetler - Tümü - RU - Physical Therapy</x:v>
      </x:c>
      <x:c r="E66" t="str">
        <x:v>OUTCOME_LEADS</x:v>
      </x:c>
      <x:c r="F66" t="str">
        <x:v>PAUSED</x:v>
      </x:c>
      <x:c r="G66" t="str">
        <x:v>PAUSED</x:v>
      </x:c>
      <x:c r="H66" t="str">
        <x:v>AUCTION</x:v>
      </x:c>
      <x:c r="I66" s="28" t="n">
        <x:v>0</x:v>
      </x:c>
      <x:c r="J66" s="28" t="n">
        <x:v>0</x:v>
      </x:c>
      <x:c r="K66" t="str">
        <x:v>2024-11-09T10:37:37+0300</x:v>
      </x:c>
      <x:c r="L66"/>
      <x:c r="M66" t="str">
        <x:v>2025-07-05T11:13:10+0300</x:v>
      </x:c>
    </x:row>
    <x:row r="67">
      <x:c r="A67" t="str">
        <x:v>act_170008509278498</x:v>
      </x:c>
      <x:c r="B67" t="str">
        <x:v>Doruk Hospital</x:v>
      </x:c>
      <x:c r="C67" t="str">
        <x:v>120213112688010080</x:v>
      </x:c>
      <x:c r="D67" t="str">
        <x:v>Fizik Tedavi - Intensive FTR - Avrupa Bölgesi - Tümü - RU - Physical Therapy</x:v>
      </x:c>
      <x:c r="E67" t="str">
        <x:v>OUTCOME_LEADS</x:v>
      </x:c>
      <x:c r="F67" t="str">
        <x:v>PAUSED</x:v>
      </x:c>
      <x:c r="G67" t="str">
        <x:v>PAUSED</x:v>
      </x:c>
      <x:c r="H67" t="str">
        <x:v>AUCTION</x:v>
      </x:c>
      <x:c r="I67" s="28" t="n">
        <x:v>0</x:v>
      </x:c>
      <x:c r="J67" s="28" t="n">
        <x:v>0</x:v>
      </x:c>
      <x:c r="K67" t="str">
        <x:v>2024-11-09T11:06:39+0300</x:v>
      </x:c>
      <x:c r="L67"/>
      <x:c r="M67" t="str">
        <x:v>2024-12-26T13:27:28+0300</x:v>
      </x:c>
    </x:row>
    <x:row r="68">
      <x:c r="A68" t="str">
        <x:v>act_170008509278498</x:v>
      </x:c>
      <x:c r="B68" t="str">
        <x:v>Doruk Hospital</x:v>
      </x:c>
      <x:c r="C68" t="str">
        <x:v>120213112882900080</x:v>
      </x:c>
      <x:c r="D68" t="str">
        <x:v>Fizik Tedavi - Intensive FTR - İngiltere - Tümü - EN - Physical Therapy</x:v>
      </x:c>
      <x:c r="E68" t="str">
        <x:v>OUTCOME_LEADS</x:v>
      </x:c>
      <x:c r="F68" t="str">
        <x:v>PAUSED</x:v>
      </x:c>
      <x:c r="G68" t="str">
        <x:v>PAUSED</x:v>
      </x:c>
      <x:c r="H68" t="str">
        <x:v>AUCTION</x:v>
      </x:c>
      <x:c r="I68" s="28" t="n">
        <x:v>0</x:v>
      </x:c>
      <x:c r="J68" s="28" t="n">
        <x:v>0</x:v>
      </x:c>
      <x:c r="K68" t="str">
        <x:v>2024-11-09T13:25:09+0300</x:v>
      </x:c>
      <x:c r="L68"/>
      <x:c r="M68" t="str">
        <x:v>2025-01-06T15:59:40+0300</x:v>
      </x:c>
    </x:row>
    <x:row r="69">
      <x:c r="A69" t="str">
        <x:v>act_170008509278498</x:v>
      </x:c>
      <x:c r="B69" t="str">
        <x:v>Doruk Hospital</x:v>
      </x:c>
      <x:c r="C69" t="str">
        <x:v>120213114874740080</x:v>
      </x:c>
      <x:c r="D69" t="str">
        <x:v>Fizik Tedavi - Intensive FTR - Avrupa Bölgesi - Tümü - EN - Physical Therapy</x:v>
      </x:c>
      <x:c r="E69" t="str">
        <x:v>OUTCOME_LEADS</x:v>
      </x:c>
      <x:c r="F69" t="str">
        <x:v>PAUSED</x:v>
      </x:c>
      <x:c r="G69" t="str">
        <x:v>PAUSED</x:v>
      </x:c>
      <x:c r="H69" t="str">
        <x:v>AUCTION</x:v>
      </x:c>
      <x:c r="I69" s="28" t="n">
        <x:v>0</x:v>
      </x:c>
      <x:c r="J69" s="28" t="n">
        <x:v>0</x:v>
      </x:c>
      <x:c r="K69" t="str">
        <x:v>2024-11-09T13:33:13+0300</x:v>
      </x:c>
      <x:c r="L69"/>
      <x:c r="M69" t="str">
        <x:v>2025-01-06T15:59:44+0300</x:v>
      </x:c>
    </x:row>
    <x:row r="70">
      <x:c r="A70" t="str">
        <x:v>act_170008509278498</x:v>
      </x:c>
      <x:c r="B70" t="str">
        <x:v>Doruk Hospital</x:v>
      </x:c>
      <x:c r="C70" t="str">
        <x:v>120213114931500080</x:v>
      </x:c>
      <x:c r="D70" t="str">
        <x:v>Fizik Tedavi - Intensive FTR - Kıbrıs- Tümü - EN - Physical Therapy</x:v>
      </x:c>
      <x:c r="E70" t="str">
        <x:v>OUTCOME_LEADS</x:v>
      </x:c>
      <x:c r="F70" t="str">
        <x:v>PAUSED</x:v>
      </x:c>
      <x:c r="G70" t="str">
        <x:v>PAUSED</x:v>
      </x:c>
      <x:c r="H70" t="str">
        <x:v>AUCTION</x:v>
      </x:c>
      <x:c r="I70" s="28" t="n">
        <x:v>0</x:v>
      </x:c>
      <x:c r="J70" s="28" t="n">
        <x:v>0</x:v>
      </x:c>
      <x:c r="K70" t="str">
        <x:v>2024-11-09T13:35:29+0300</x:v>
      </x:c>
      <x:c r="L70"/>
      <x:c r="M70" t="str">
        <x:v>2024-11-09T13:38:15+0300</x:v>
      </x:c>
    </x:row>
    <x:row r="71">
      <x:c r="A71" t="str">
        <x:v>act_170008509278498</x:v>
      </x:c>
      <x:c r="B71" t="str">
        <x:v>Doruk Hospital</x:v>
      </x:c>
      <x:c r="C71" t="str">
        <x:v>120213114980970080</x:v>
      </x:c>
      <x:c r="D71" t="str">
        <x:v>Fizik Tedavi - Intensive FTR - Umman - Tümü - AR - Physical Therapy</x:v>
      </x:c>
      <x:c r="E71" t="str">
        <x:v>OUTCOME_LEADS</x:v>
      </x:c>
      <x:c r="F71" t="str">
        <x:v>PAUSED</x:v>
      </x:c>
      <x:c r="G71" t="str">
        <x:v>PAUSED</x:v>
      </x:c>
      <x:c r="H71" t="str">
        <x:v>AUCTION</x:v>
      </x:c>
      <x:c r="I71" s="28" t="n">
        <x:v>0</x:v>
      </x:c>
      <x:c r="J71" s="28" t="n">
        <x:v>0</x:v>
      </x:c>
      <x:c r="K71" t="str">
        <x:v>2024-11-09T13:58:27+0300</x:v>
      </x:c>
      <x:c r="L71"/>
      <x:c r="M71" t="str">
        <x:v>2024-11-13T17:15:09+0300</x:v>
      </x:c>
    </x:row>
    <x:row r="72">
      <x:c r="A72" t="str">
        <x:v>act_170008509278498</x:v>
      </x:c>
      <x:c r="B72" t="str">
        <x:v>Doruk Hospital</x:v>
      </x:c>
      <x:c r="C72" t="str">
        <x:v>120213115068410080</x:v>
      </x:c>
      <x:c r="D72" t="str">
        <x:v>Fizik Tedavi - Intensive FTR - Birleşik Arap Emirlikleri - Tümü - AR - Physical Therapy</x:v>
      </x:c>
      <x:c r="E72" t="str">
        <x:v>OUTCOME_LEADS</x:v>
      </x:c>
      <x:c r="F72" t="str">
        <x:v>PAUSED</x:v>
      </x:c>
      <x:c r="G72" t="str">
        <x:v>PAUSED</x:v>
      </x:c>
      <x:c r="H72" t="str">
        <x:v>AUCTION</x:v>
      </x:c>
      <x:c r="I72" s="28" t="n">
        <x:v>0</x:v>
      </x:c>
      <x:c r="J72" s="28" t="n">
        <x:v>0</x:v>
      </x:c>
      <x:c r="K72" t="str">
        <x:v>2024-11-09T13:58:27+0300</x:v>
      </x:c>
      <x:c r="L72"/>
      <x:c r="M72" t="str">
        <x:v>2024-12-06T12:31:22+0300</x:v>
      </x:c>
    </x:row>
    <x:row r="73">
      <x:c r="A73" t="str">
        <x:v>act_170008509278498</x:v>
      </x:c>
      <x:c r="B73" t="str">
        <x:v>Doruk Hospital</x:v>
      </x:c>
      <x:c r="C73" t="str">
        <x:v>120213115090800080</x:v>
      </x:c>
      <x:c r="D73" t="str">
        <x:v>Fizik Tedavi - Intensive FTR - Kuveyt - Tümü - AR - Physical Therapy</x:v>
      </x:c>
      <x:c r="E73" t="str">
        <x:v>OUTCOME_LEADS</x:v>
      </x:c>
      <x:c r="F73" t="str">
        <x:v>PAUSED</x:v>
      </x:c>
      <x:c r="G73" t="str">
        <x:v>PAUSED</x:v>
      </x:c>
      <x:c r="H73" t="str">
        <x:v>AUCTION</x:v>
      </x:c>
      <x:c r="I73" s="28" t="n">
        <x:v>0</x:v>
      </x:c>
      <x:c r="J73" s="28" t="n">
        <x:v>0</x:v>
      </x:c>
      <x:c r="K73" t="str">
        <x:v>2024-11-09T13:58:27+0300</x:v>
      </x:c>
      <x:c r="L73"/>
      <x:c r="M73" t="str">
        <x:v>2024-11-13T17:15:04+0300</x:v>
      </x:c>
    </x:row>
    <x:row r="74">
      <x:c r="A74" t="str">
        <x:v>act_170008509278498</x:v>
      </x:c>
      <x:c r="B74" t="str">
        <x:v>Doruk Hospital</x:v>
      </x:c>
      <x:c r="C74" t="str">
        <x:v>120213115095840080</x:v>
      </x:c>
      <x:c r="D74" t="str">
        <x:v>Fizik Tedavi - Intensive FTR - Katar - Tümü - AR - Physical Therapy</x:v>
      </x:c>
      <x:c r="E74" t="str">
        <x:v>OUTCOME_LEADS</x:v>
      </x:c>
      <x:c r="F74" t="str">
        <x:v>PAUSED</x:v>
      </x:c>
      <x:c r="G74" t="str">
        <x:v>PAUSED</x:v>
      </x:c>
      <x:c r="H74" t="str">
        <x:v>AUCTION</x:v>
      </x:c>
      <x:c r="I74" s="28" t="n">
        <x:v>0</x:v>
      </x:c>
      <x:c r="J74" s="28" t="n">
        <x:v>0</x:v>
      </x:c>
      <x:c r="K74" t="str">
        <x:v>2024-11-09T13:58:27+0300</x:v>
      </x:c>
      <x:c r="L74"/>
      <x:c r="M74" t="str">
        <x:v>2024-11-13T17:15:04+0300</x:v>
      </x:c>
    </x:row>
    <x:row r="75">
      <x:c r="A75" t="str">
        <x:v>act_170008509278498</x:v>
      </x:c>
      <x:c r="B75" t="str">
        <x:v>Doruk Hospital</x:v>
      </x:c>
      <x:c r="C75" t="str">
        <x:v>120213115101470080</x:v>
      </x:c>
      <x:c r="D75" t="str">
        <x:v>Fizik Tedavi - Intensive FTR - Bahreny - Tümü - AR - Physical Therapy</x:v>
      </x:c>
      <x:c r="E75" t="str">
        <x:v>OUTCOME_LEADS</x:v>
      </x:c>
      <x:c r="F75" t="str">
        <x:v>PAUSED</x:v>
      </x:c>
      <x:c r="G75" t="str">
        <x:v>PAUSED</x:v>
      </x:c>
      <x:c r="H75" t="str">
        <x:v>AUCTION</x:v>
      </x:c>
      <x:c r="I75" s="28" t="n">
        <x:v>0</x:v>
      </x:c>
      <x:c r="J75" s="28" t="n">
        <x:v>0</x:v>
      </x:c>
      <x:c r="K75" t="str">
        <x:v>2024-11-09T13:58:27+0300</x:v>
      </x:c>
      <x:c r="L75"/>
      <x:c r="M75" t="str">
        <x:v>2024-11-13T17:15:04+0300</x:v>
      </x:c>
    </x:row>
    <x:row r="76">
      <x:c r="A76" t="str">
        <x:v>act_170008509278498</x:v>
      </x:c>
      <x:c r="B76" t="str">
        <x:v>Doruk Hospital</x:v>
      </x:c>
      <x:c r="C76" t="str">
        <x:v>120213206305890080</x:v>
      </x:c>
      <x:c r="D76" t="str">
        <x:v>Fizik Tedavi - Intensive FTR - Arap Bölgesi - Tümü - AR - Physical Therapy - old</x:v>
      </x:c>
      <x:c r="E76" t="str">
        <x:v>OUTCOME_LEADS</x:v>
      </x:c>
      <x:c r="F76" t="str">
        <x:v>PAUSED</x:v>
      </x:c>
      <x:c r="G76" t="str">
        <x:v>PAUSED</x:v>
      </x:c>
      <x:c r="H76" t="str">
        <x:v>AUCTION</x:v>
      </x:c>
      <x:c r="I76" s="28" t="n">
        <x:v>0</x:v>
      </x:c>
      <x:c r="J76" s="28" t="n">
        <x:v>0</x:v>
      </x:c>
      <x:c r="K76" t="str">
        <x:v>2024-11-13T17:22:43+0300</x:v>
      </x:c>
      <x:c r="L76"/>
      <x:c r="M76" t="str">
        <x:v>2025-05-09T21:13:10+0300</x:v>
      </x:c>
    </x:row>
    <x:row r="77">
      <x:c r="A77" t="str">
        <x:v>act_170008509278498</x:v>
      </x:c>
      <x:c r="B77" t="str">
        <x:v>Doruk Hospital</x:v>
      </x:c>
      <x:c r="C77" t="str">
        <x:v>120213222485410080</x:v>
      </x:c>
      <x:c r="D77" t="str">
        <x:v>Fizik Tedavi - Intensive FTR - Avrupa Bölgesi Bölgesi - Tümü - AR - Doruk Hospital</x:v>
      </x:c>
      <x:c r="E77" t="str">
        <x:v>OUTCOME_LEADS</x:v>
      </x:c>
      <x:c r="F77" t="str">
        <x:v>PAUSED</x:v>
      </x:c>
      <x:c r="G77" t="str">
        <x:v>PAUSED</x:v>
      </x:c>
      <x:c r="H77" t="str">
        <x:v>AUCTION</x:v>
      </x:c>
      <x:c r="I77" s="28" t="n">
        <x:v>0</x:v>
      </x:c>
      <x:c r="J77" s="28" t="n">
        <x:v>0</x:v>
      </x:c>
      <x:c r="K77" t="str">
        <x:v>2024-11-14T10:55:16+0300</x:v>
      </x:c>
      <x:c r="L77"/>
      <x:c r="M77" t="str">
        <x:v>2024-12-26T13:27:14+0300</x:v>
      </x:c>
    </x:row>
    <x:row r="78">
      <x:c r="A78" t="str">
        <x:v>act_170008509278498</x:v>
      </x:c>
      <x:c r="B78" t="str">
        <x:v>Doruk Hospital</x:v>
      </x:c>
      <x:c r="C78" t="str">
        <x:v>120213222530740080</x:v>
      </x:c>
      <x:c r="D78" t="str">
        <x:v>Fizik Tedavi - Intensive FTR - Avrupa Bölgesi - Tümü - AR - Physical Therapy</x:v>
      </x:c>
      <x:c r="E78" t="str">
        <x:v>OUTCOME_LEADS</x:v>
      </x:c>
      <x:c r="F78" t="str">
        <x:v>PAUSED</x:v>
      </x:c>
      <x:c r="G78" t="str">
        <x:v>PAUSED</x:v>
      </x:c>
      <x:c r="H78" t="str">
        <x:v>AUCTION</x:v>
      </x:c>
      <x:c r="I78" s="28" t="n">
        <x:v>0</x:v>
      </x:c>
      <x:c r="J78" s="28" t="n">
        <x:v>0</x:v>
      </x:c>
      <x:c r="K78" t="str">
        <x:v>2024-11-14T10:55:16+0300</x:v>
      </x:c>
      <x:c r="L78"/>
      <x:c r="M78" t="str">
        <x:v>2024-12-26T13:27:54+0300</x:v>
      </x:c>
    </x:row>
    <x:row r="79">
      <x:c r="A79" t="str">
        <x:v>act_449281783851362</x:v>
      </x:c>
      <x:c r="B79" t="str">
        <x:v>Doruk Hastaneleri - SİNA ÖZEL Sağlık Hizmetleri A.ş</x:v>
      </x:c>
      <x:c r="C79" t="str">
        <x:v>120214167265870399</x:v>
      </x:c>
      <x:c r="D79" t="str">
        <x:v>Baş Dönmesi ve Denge Ünitesi / lead</x:v>
      </x:c>
      <x:c r="E79" t="str">
        <x:v>OUTCOME_LEADS</x:v>
      </x:c>
      <x:c r="F79" t="str">
        <x:v>ACTIVE</x:v>
      </x:c>
      <x:c r="G79" t="str">
        <x:v>ACTIVE</x:v>
      </x:c>
      <x:c r="H79" t="str">
        <x:v>AUCTION</x:v>
      </x:c>
      <x:c r="I79" s="28" t="n">
        <x:v>0</x:v>
      </x:c>
      <x:c r="J79" s="28" t="n">
        <x:v>0</x:v>
      </x:c>
      <x:c r="K79" t="str">
        <x:v>2024-09-05T15:21:38+0300</x:v>
      </x:c>
      <x:c r="L79"/>
      <x:c r="M79" t="str">
        <x:v>2025-04-21T05:16:59+0300</x:v>
      </x:c>
    </x:row>
    <x:row r="80">
      <x:c r="A80" t="str">
        <x:v>act_170008509278498</x:v>
      </x:c>
      <x:c r="B80" t="str">
        <x:v>Doruk Hospital</x:v>
      </x:c>
      <x:c r="C80" t="str">
        <x:v>120214484064480080</x:v>
      </x:c>
      <x:c r="D80" t="str">
        <x:v>Obezite - Obezite Cerrahisi - Birleşik Krallık - Tümü - EN - Obesity Surgery Center</x:v>
      </x:c>
      <x:c r="E80" t="str">
        <x:v>OUTCOME_LEADS</x:v>
      </x:c>
      <x:c r="F80" t="str">
        <x:v>PAUSED</x:v>
      </x:c>
      <x:c r="G80" t="str">
        <x:v>PAUSED</x:v>
      </x:c>
      <x:c r="H80" t="str">
        <x:v>AUCTION</x:v>
      </x:c>
      <x:c r="I80" s="28" t="n">
        <x:v>0</x:v>
      </x:c>
      <x:c r="J80" s="28" t="n">
        <x:v>0</x:v>
      </x:c>
      <x:c r="K80" t="str">
        <x:v>2025-01-06T14:05:47+0300</x:v>
      </x:c>
      <x:c r="L80"/>
      <x:c r="M80" t="str">
        <x:v>2025-02-21T10:31:21+0300</x:v>
      </x:c>
    </x:row>
    <x:row r="81">
      <x:c r="A81" t="str">
        <x:v>act_170008509278498</x:v>
      </x:c>
      <x:c r="B81" t="str">
        <x:v>Doruk Hospital</x:v>
      </x:c>
      <x:c r="C81" t="str">
        <x:v>120214511855500080</x:v>
      </x:c>
      <x:c r="D81" t="str">
        <x:v>Obezite - Obezite Cerrahisi - Arap Bölgesi - Tümü - AR - Obesity Surgery Center</x:v>
      </x:c>
      <x:c r="E81" t="str">
        <x:v>OUTCOME_LEADS</x:v>
      </x:c>
      <x:c r="F81" t="str">
        <x:v>PAUSED</x:v>
      </x:c>
      <x:c r="G81" t="str">
        <x:v>PAUSED</x:v>
      </x:c>
      <x:c r="H81" t="str">
        <x:v>AUCTION</x:v>
      </x:c>
      <x:c r="I81" s="28" t="n">
        <x:v>0</x:v>
      </x:c>
      <x:c r="J81" s="28" t="n">
        <x:v>0</x:v>
      </x:c>
      <x:c r="K81" t="str">
        <x:v>2025-01-08T10:52:19+0300</x:v>
      </x:c>
      <x:c r="L81"/>
      <x:c r="M81" t="str">
        <x:v>2025-02-25T17:29:45+0300</x:v>
      </x:c>
    </x:row>
    <x:row r="82">
      <x:c r="A82" t="str">
        <x:v>act_170008509278498</x:v>
      </x:c>
      <x:c r="B82" t="str">
        <x:v>Doruk Hospital</x:v>
      </x:c>
      <x:c r="C82" t="str">
        <x:v>120214532392750080</x:v>
      </x:c>
      <x:c r="D82" t="str">
        <x:v>Obezite - Obezite Cerrahisi - Türki Cumhuriyetler - Tümü - RU - Obesity Surgery Center</x:v>
      </x:c>
      <x:c r="E82" t="str">
        <x:v>OUTCOME_LEADS</x:v>
      </x:c>
      <x:c r="F82" t="str">
        <x:v>PAUSED</x:v>
      </x:c>
      <x:c r="G82" t="str">
        <x:v>PAUSED</x:v>
      </x:c>
      <x:c r="H82" t="str">
        <x:v>AUCTION</x:v>
      </x:c>
      <x:c r="I82" s="28" t="n">
        <x:v>0</x:v>
      </x:c>
      <x:c r="J82" s="28" t="n">
        <x:v>0</x:v>
      </x:c>
      <x:c r="K82" t="str">
        <x:v>2025-01-08T11:55:10+0300</x:v>
      </x:c>
      <x:c r="L82"/>
      <x:c r="M82" t="str">
        <x:v>2025-02-25T17:37:21+0300</x:v>
      </x:c>
    </x:row>
    <x:row r="83">
      <x:c r="A83" t="str">
        <x:v>act_170008509278498</x:v>
      </x:c>
      <x:c r="B83" t="str">
        <x:v>Doruk Hospital</x:v>
      </x:c>
      <x:c r="C83" t="str">
        <x:v>120214536390700080</x:v>
      </x:c>
      <x:c r="D83" t="str">
        <x:v>Obezite - Obezite Cerrahisi - Avrupa Bölgesi - Almanya - DE - Doruk Hospital</x:v>
      </x:c>
      <x:c r="E83" t="str">
        <x:v>OUTCOME_LEADS</x:v>
      </x:c>
      <x:c r="F83" t="str">
        <x:v>PAUSED</x:v>
      </x:c>
      <x:c r="G83" t="str">
        <x:v>PAUSED</x:v>
      </x:c>
      <x:c r="H83" t="str">
        <x:v>AUCTION</x:v>
      </x:c>
      <x:c r="I83" s="28" t="n">
        <x:v>0</x:v>
      </x:c>
      <x:c r="J83" s="28" t="n">
        <x:v>0</x:v>
      </x:c>
      <x:c r="K83" t="str">
        <x:v>2025-01-08T15:18:34+0300</x:v>
      </x:c>
      <x:c r="L83"/>
      <x:c r="M83" t="str">
        <x:v>2025-01-20T15:04:09+0300</x:v>
      </x:c>
    </x:row>
    <x:row r="84">
      <x:c r="A84" t="str">
        <x:v>act_170008509278498</x:v>
      </x:c>
      <x:c r="B84" t="str">
        <x:v>Doruk Hospital</x:v>
      </x:c>
      <x:c r="C84" t="str">
        <x:v>120214538531850080</x:v>
      </x:c>
      <x:c r="D84" t="str">
        <x:v>Obezite - Obezite Cerrahisi - Avrupa Bölgesi - Fransa - FR - Doruk Hospital</x:v>
      </x:c>
      <x:c r="E84" t="str">
        <x:v>OUTCOME_LEADS</x:v>
      </x:c>
      <x:c r="F84" t="str">
        <x:v>PAUSED</x:v>
      </x:c>
      <x:c r="G84" t="str">
        <x:v>PAUSED</x:v>
      </x:c>
      <x:c r="H84" t="str">
        <x:v>AUCTION</x:v>
      </x:c>
      <x:c r="I84" s="28" t="n">
        <x:v>0</x:v>
      </x:c>
      <x:c r="J84" s="28" t="n">
        <x:v>0</x:v>
      </x:c>
      <x:c r="K84" t="str">
        <x:v>2025-01-08T15:43:48+0300</x:v>
      </x:c>
      <x:c r="L84"/>
      <x:c r="M84" t="str">
        <x:v>2025-01-20T15:04:12+0300</x:v>
      </x:c>
    </x:row>
    <x:row r="85">
      <x:c r="A85" t="str">
        <x:v>act_170008509278498</x:v>
      </x:c>
      <x:c r="B85" t="str">
        <x:v>Doruk Hospital</x:v>
      </x:c>
      <x:c r="C85" t="str">
        <x:v>120214552851530080</x:v>
      </x:c>
      <x:c r="D85" t="str">
        <x:v>Obezite - Obezite Cerrahisi -  Avrupa Bölgesi - Tümü - EN - Obesity Surgery Center</x:v>
      </x:c>
      <x:c r="E85" t="str">
        <x:v>OUTCOME_LEADS</x:v>
      </x:c>
      <x:c r="F85" t="str">
        <x:v>PAUSED</x:v>
      </x:c>
      <x:c r="G85" t="str">
        <x:v>PAUSED</x:v>
      </x:c>
      <x:c r="H85" t="str">
        <x:v>AUCTION</x:v>
      </x:c>
      <x:c r="I85" s="28" t="n">
        <x:v>0</x:v>
      </x:c>
      <x:c r="J85" s="28" t="n">
        <x:v>0</x:v>
      </x:c>
      <x:c r="K85" t="str">
        <x:v>2025-01-09T10:07:26+0300</x:v>
      </x:c>
      <x:c r="L85"/>
      <x:c r="M85" t="str">
        <x:v>2025-02-22T14:29:40+0300</x:v>
      </x:c>
    </x:row>
    <x:row r="86">
      <x:c r="A86" t="str">
        <x:v>act_170008509278498</x:v>
      </x:c>
      <x:c r="B86" t="str">
        <x:v>Doruk Hospital</x:v>
      </x:c>
      <x:c r="C86" t="str">
        <x:v>120214553624090080</x:v>
      </x:c>
      <x:c r="D86" t="str">
        <x:v>Obezite - Obezite Cerrahisi -  Avrupa Bölgesi - Tümü - EN - Doruk Hospital</x:v>
      </x:c>
      <x:c r="E86" t="str">
        <x:v>OUTCOME_LEADS</x:v>
      </x:c>
      <x:c r="F86" t="str">
        <x:v>PAUSED</x:v>
      </x:c>
      <x:c r="G86" t="str">
        <x:v>PAUSED</x:v>
      </x:c>
      <x:c r="H86" t="str">
        <x:v>AUCTION</x:v>
      </x:c>
      <x:c r="I86" s="28" t="n">
        <x:v>0</x:v>
      </x:c>
      <x:c r="J86" s="28" t="n">
        <x:v>0</x:v>
      </x:c>
      <x:c r="K86" t="str">
        <x:v>2025-01-09T11:08:48+0300</x:v>
      </x:c>
      <x:c r="L86"/>
      <x:c r="M86" t="str">
        <x:v>2025-01-21T09:21:39+0300</x:v>
      </x:c>
    </x:row>
    <x:row r="87">
      <x:c r="A87" t="str">
        <x:v>act_170008509278498</x:v>
      </x:c>
      <x:c r="B87" t="str">
        <x:v>Doruk Hospital</x:v>
      </x:c>
      <x:c r="C87" t="str">
        <x:v>120214554423510080</x:v>
      </x:c>
      <x:c r="D87" t="str">
        <x:v>Obezite - Obezite Cerrahisi - Birleşik Krallık - Tümü - EN - Doruk Hospital</x:v>
      </x:c>
      <x:c r="E87" t="str">
        <x:v>OUTCOME_LEADS</x:v>
      </x:c>
      <x:c r="F87" t="str">
        <x:v>PAUSED</x:v>
      </x:c>
      <x:c r="G87" t="str">
        <x:v>PAUSED</x:v>
      </x:c>
      <x:c r="H87" t="str">
        <x:v>AUCTION</x:v>
      </x:c>
      <x:c r="I87" s="28" t="n">
        <x:v>0</x:v>
      </x:c>
      <x:c r="J87" s="28" t="n">
        <x:v>0</x:v>
      </x:c>
      <x:c r="K87" t="str">
        <x:v>2025-01-09T11:23:26+0300</x:v>
      </x:c>
      <x:c r="L87"/>
      <x:c r="M87" t="str">
        <x:v>2025-01-21T09:21:38+0300</x:v>
      </x:c>
    </x:row>
    <x:row r="88">
      <x:c r="A88" t="str">
        <x:v>act_170008509278498</x:v>
      </x:c>
      <x:c r="B88" t="str">
        <x:v>Doruk Hospital</x:v>
      </x:c>
      <x:c r="C88" t="str">
        <x:v>120214556412880080</x:v>
      </x:c>
      <x:c r="D88" t="str">
        <x:v>Obezite - Obezite Cerrahisi - Avrupa Bölgesi - Fransa - FR - Obesity Surgery Center</x:v>
      </x:c>
      <x:c r="E88" t="str">
        <x:v>OUTCOME_LEADS</x:v>
      </x:c>
      <x:c r="F88" t="str">
        <x:v>PAUSED</x:v>
      </x:c>
      <x:c r="G88" t="str">
        <x:v>PAUSED</x:v>
      </x:c>
      <x:c r="H88" t="str">
        <x:v>AUCTION</x:v>
      </x:c>
      <x:c r="I88" s="28" t="n">
        <x:v>0</x:v>
      </x:c>
      <x:c r="J88" s="28" t="n">
        <x:v>0</x:v>
      </x:c>
      <x:c r="K88" t="str">
        <x:v>2025-01-09T13:31:10+0300</x:v>
      </x:c>
      <x:c r="L88"/>
      <x:c r="M88" t="str">
        <x:v>2025-01-20T15:04:14+0300</x:v>
      </x:c>
    </x:row>
    <x:row r="89">
      <x:c r="A89" t="str">
        <x:v>act_170008509278498</x:v>
      </x:c>
      <x:c r="B89" t="str">
        <x:v>Doruk Hospital</x:v>
      </x:c>
      <x:c r="C89" t="str">
        <x:v>120214558872490080</x:v>
      </x:c>
      <x:c r="D89" t="str">
        <x:v>Obezite - Obezite Cerrahisi - Avrupa Bölgesi - Almanya - DE - Obesity Surgery Turkey</x:v>
      </x:c>
      <x:c r="E89" t="str">
        <x:v>OUTCOME_LEADS</x:v>
      </x:c>
      <x:c r="F89" t="str">
        <x:v>PAUSED</x:v>
      </x:c>
      <x:c r="G89" t="str">
        <x:v>PAUSED</x:v>
      </x:c>
      <x:c r="H89" t="str">
        <x:v>AUCTION</x:v>
      </x:c>
      <x:c r="I89" s="28" t="n">
        <x:v>0</x:v>
      </x:c>
      <x:c r="J89" s="28" t="n">
        <x:v>0</x:v>
      </x:c>
      <x:c r="K89" t="str">
        <x:v>2025-01-09T14:59:26+0300</x:v>
      </x:c>
      <x:c r="L89"/>
      <x:c r="M89" t="str">
        <x:v>2025-01-20T15:04:06+0300</x:v>
      </x:c>
    </x:row>
    <x:row r="90">
      <x:c r="A90" t="str">
        <x:v>act_170008509278498</x:v>
      </x:c>
      <x:c r="B90" t="str">
        <x:v>Doruk Hospital</x:v>
      </x:c>
      <x:c r="C90" t="str">
        <x:v>120214618201610080</x:v>
      </x:c>
      <x:c r="D90" t="str">
        <x:v>Obezite - Obezite Cerrahisi - Arap Bölgesi - Tümü - AR - Doruk Hospital</x:v>
      </x:c>
      <x:c r="E90" t="str">
        <x:v>OUTCOME_LEADS</x:v>
      </x:c>
      <x:c r="F90" t="str">
        <x:v>PAUSED</x:v>
      </x:c>
      <x:c r="G90" t="str">
        <x:v>PAUSED</x:v>
      </x:c>
      <x:c r="H90" t="str">
        <x:v>AUCTION</x:v>
      </x:c>
      <x:c r="I90" s="28" t="n">
        <x:v>2500</x:v>
      </x:c>
      <x:c r="J90" s="28" t="n">
        <x:v>0</x:v>
      </x:c>
      <x:c r="K90" t="str">
        <x:v>2025-01-11T14:31:39+0300</x:v>
      </x:c>
      <x:c r="L90"/>
      <x:c r="M90" t="str">
        <x:v>2025-01-21T09:21:32+0300</x:v>
      </x:c>
    </x:row>
    <x:row r="91">
      <x:c r="A91" t="str">
        <x:v>act_170008509278498</x:v>
      </x:c>
      <x:c r="B91" t="str">
        <x:v>Doruk Hospital</x:v>
      </x:c>
      <x:c r="C91" t="str">
        <x:v>120214659807540080</x:v>
      </x:c>
      <x:c r="D91" t="str">
        <x:v>Obezite - Obezite Cerrahisi - Rus Bölgesi - Tümü - RU - Doruk Hospital</x:v>
      </x:c>
      <x:c r="E91" t="str">
        <x:v>OUTCOME_LEADS</x:v>
      </x:c>
      <x:c r="F91" t="str">
        <x:v>PAUSED</x:v>
      </x:c>
      <x:c r="G91" t="str">
        <x:v>PAUSED</x:v>
      </x:c>
      <x:c r="H91" t="str">
        <x:v>AUCTION</x:v>
      </x:c>
      <x:c r="I91" s="28" t="n">
        <x:v>0</x:v>
      </x:c>
      <x:c r="J91" s="28" t="n">
        <x:v>0</x:v>
      </x:c>
      <x:c r="K91" t="str">
        <x:v>2025-01-13T14:58:24+0300</x:v>
      </x:c>
      <x:c r="L91"/>
      <x:c r="M91" t="str">
        <x:v>2025-01-21T09:21:31+0300</x:v>
      </x:c>
    </x:row>
    <x:row r="92">
      <x:c r="A92" t="str">
        <x:v>act_170008509278498</x:v>
      </x:c>
      <x:c r="B92" t="str">
        <x:v>Doruk Hospital</x:v>
      </x:c>
      <x:c r="C92" t="str">
        <x:v>120214894253860080</x:v>
      </x:c>
      <x:c r="D92" t="str">
        <x:v>Obezite - Obezite Cerrahisi -  Amerika - Tümü - EN - Obesity Surgery Center</x:v>
      </x:c>
      <x:c r="E92" t="str">
        <x:v>OUTCOME_LEADS</x:v>
      </x:c>
      <x:c r="F92" t="str">
        <x:v>PAUSED</x:v>
      </x:c>
      <x:c r="G92" t="str">
        <x:v>PAUSED</x:v>
      </x:c>
      <x:c r="H92" t="str">
        <x:v>AUCTION</x:v>
      </x:c>
      <x:c r="I92" s="28" t="n">
        <x:v>0</x:v>
      </x:c>
      <x:c r="J92" s="28" t="n">
        <x:v>0</x:v>
      </x:c>
      <x:c r="K92" t="str">
        <x:v>2025-01-20T17:49:23+0300</x:v>
      </x:c>
      <x:c r="L92"/>
      <x:c r="M92" t="str">
        <x:v>2025-02-15T00:22:03+0300</x:v>
      </x:c>
    </x:row>
    <x:row r="93">
      <x:c r="A93" t="str">
        <x:v>act_170008509278498</x:v>
      </x:c>
      <x:c r="B93" t="str">
        <x:v>Doruk Hospital</x:v>
      </x:c>
      <x:c r="C93" t="str">
        <x:v>120215228186820080</x:v>
      </x:c>
      <x:c r="D93" t="str">
        <x:v>Obezite  - Takipci  - RU - Obesity Surgery Center</x:v>
      </x:c>
      <x:c r="E93" t="str">
        <x:v>OUTCOME_TRAFFIC</x:v>
      </x:c>
      <x:c r="F93" t="str">
        <x:v>PAUSED</x:v>
      </x:c>
      <x:c r="G93" t="str">
        <x:v>PAUSED</x:v>
      </x:c>
      <x:c r="H93" t="str">
        <x:v>AUCTION</x:v>
      </x:c>
      <x:c r="I93" s="28" t="n">
        <x:v>0</x:v>
      </x:c>
      <x:c r="J93" s="28" t="n">
        <x:v>0</x:v>
      </x:c>
      <x:c r="K93" t="str">
        <x:v>2025-01-29T15:12:10+0300</x:v>
      </x:c>
      <x:c r="L93"/>
      <x:c r="M93" t="str">
        <x:v>2025-04-15T18:44:03+0300</x:v>
      </x:c>
    </x:row>
    <x:row r="94">
      <x:c r="A94" t="str">
        <x:v>act_170008509278498</x:v>
      </x:c>
      <x:c r="B94" t="str">
        <x:v>Doruk Hospital</x:v>
      </x:c>
      <x:c r="C94" t="str">
        <x:v>120215571302830080</x:v>
      </x:c>
      <x:c r="D94" t="str">
        <x:v>Obezite  - Takipci  - EN - Obesity Surgery Center</x:v>
      </x:c>
      <x:c r="E94" t="str">
        <x:v>OUTCOME_TRAFFIC</x:v>
      </x:c>
      <x:c r="F94" t="str">
        <x:v>PAUSED</x:v>
      </x:c>
      <x:c r="G94" t="str">
        <x:v>PAUSED</x:v>
      </x:c>
      <x:c r="H94" t="str">
        <x:v>AUCTION</x:v>
      </x:c>
      <x:c r="I94" s="28" t="n">
        <x:v>0</x:v>
      </x:c>
      <x:c r="J94" s="28" t="n">
        <x:v>0</x:v>
      </x:c>
      <x:c r="K94" t="str">
        <x:v>2025-02-08T14:18:22+0300</x:v>
      </x:c>
      <x:c r="L94"/>
      <x:c r="M94" t="str">
        <x:v>2025-04-15T18:44:03+0300</x:v>
      </x:c>
    </x:row>
    <x:row r="95">
      <x:c r="A95" t="str">
        <x:v>act_170008509278498</x:v>
      </x:c>
      <x:c r="B95" t="str">
        <x:v>Doruk Hospital</x:v>
      </x:c>
      <x:c r="C95" t="str">
        <x:v>120215572305890080</x:v>
      </x:c>
      <x:c r="D95" t="str">
        <x:v>Obezite  - Takipci  - AR - Obesity Surgery Center</x:v>
      </x:c>
      <x:c r="E95" t="str">
        <x:v>OUTCOME_TRAFFIC</x:v>
      </x:c>
      <x:c r="F95" t="str">
        <x:v>PAUSED</x:v>
      </x:c>
      <x:c r="G95" t="str">
        <x:v>PAUSED</x:v>
      </x:c>
      <x:c r="H95" t="str">
        <x:v>AUCTION</x:v>
      </x:c>
      <x:c r="I95" s="28" t="n">
        <x:v>0</x:v>
      </x:c>
      <x:c r="J95" s="28" t="n">
        <x:v>0</x:v>
      </x:c>
      <x:c r="K95" t="str">
        <x:v>2025-02-08T14:53:33+0300</x:v>
      </x:c>
      <x:c r="L95"/>
      <x:c r="M95" t="str">
        <x:v>2025-04-15T18:44:01+0300</x:v>
      </x:c>
    </x:row>
    <x:row r="96">
      <x:c r="A96" t="str">
        <x:v>act_170008509278498</x:v>
      </x:c>
      <x:c r="B96" t="str">
        <x:v>Doruk Hospital</x:v>
      </x:c>
      <x:c r="C96" t="str">
        <x:v>120215694566760080</x:v>
      </x:c>
      <x:c r="D96" t="str">
        <x:v>Obezite - Mesajlaşma - EN - Obesity Surgery Turkey</x:v>
      </x:c>
      <x:c r="E96" t="str">
        <x:v>OUTCOME_ENGAGEMENT</x:v>
      </x:c>
      <x:c r="F96" t="str">
        <x:v>PAUSED</x:v>
      </x:c>
      <x:c r="G96" t="str">
        <x:v>PAUSED</x:v>
      </x:c>
      <x:c r="H96" t="str">
        <x:v>AUCTION</x:v>
      </x:c>
      <x:c r="I96" s="28" t="n">
        <x:v>0</x:v>
      </x:c>
      <x:c r="J96" s="28" t="n">
        <x:v>0</x:v>
      </x:c>
      <x:c r="K96" t="str">
        <x:v>2025-02-11T19:27:10+0300</x:v>
      </x:c>
      <x:c r="L96"/>
      <x:c r="M96" t="str">
        <x:v>2025-02-15T00:43:20+0300</x:v>
      </x:c>
    </x:row>
    <x:row r="97">
      <x:c r="A97" t="str">
        <x:v>act_170008509278498</x:v>
      </x:c>
      <x:c r="B97" t="str">
        <x:v>Doruk Hospital</x:v>
      </x:c>
      <x:c r="C97" t="str">
        <x:v>120216494033620080</x:v>
      </x:c>
      <x:c r="D97" t="str">
        <x:v>Meme Estetiği - Jinekomasti - Birleşik Krallık - Tümü - EN - Obesity Surgery Center</x:v>
      </x:c>
      <x:c r="E97" t="str">
        <x:v>OUTCOME_LEADS</x:v>
      </x:c>
      <x:c r="F97" t="str">
        <x:v>PAUSED</x:v>
      </x:c>
      <x:c r="G97" t="str">
        <x:v>PAUSED</x:v>
      </x:c>
      <x:c r="H97" t="str">
        <x:v>AUCTION</x:v>
      </x:c>
      <x:c r="I97" s="28" t="n">
        <x:v>0</x:v>
      </x:c>
      <x:c r="J97" s="28" t="n">
        <x:v>0</x:v>
      </x:c>
      <x:c r="K97" t="str">
        <x:v>2025-02-24T11:04:48+0300</x:v>
      </x:c>
      <x:c r="L97"/>
      <x:c r="M97" t="str">
        <x:v>2025-04-21T16:29:37+0300</x:v>
      </x:c>
    </x:row>
    <x:row r="98">
      <x:c r="A98" t="str">
        <x:v>act_170008509278498</x:v>
      </x:c>
      <x:c r="B98" t="str">
        <x:v>Doruk Hospital</x:v>
      </x:c>
      <x:c r="C98" t="str">
        <x:v>120216496701780080</x:v>
      </x:c>
      <x:c r="D98" t="str">
        <x:v>Meme Estetiği - Jinekomasti - Avrupa Bölgesi - Tümü - EN - Obesity Surgery Center</x:v>
      </x:c>
      <x:c r="E98" t="str">
        <x:v>OUTCOME_LEADS</x:v>
      </x:c>
      <x:c r="F98" t="str">
        <x:v>PAUSED</x:v>
      </x:c>
      <x:c r="G98" t="str">
        <x:v>PAUSED</x:v>
      </x:c>
      <x:c r="H98" t="str">
        <x:v>AUCTION</x:v>
      </x:c>
      <x:c r="I98" s="28" t="n">
        <x:v>0</x:v>
      </x:c>
      <x:c r="J98" s="28" t="n">
        <x:v>0</x:v>
      </x:c>
      <x:c r="K98" t="str">
        <x:v>2025-02-24T11:26:55+0300</x:v>
      </x:c>
      <x:c r="L98"/>
      <x:c r="M98" t="str">
        <x:v>2025-04-21T16:30:54+0300</x:v>
      </x:c>
    </x:row>
    <x:row r="99">
      <x:c r="A99" t="str">
        <x:v>act_170008509278498</x:v>
      </x:c>
      <x:c r="B99" t="str">
        <x:v>Doruk Hospital</x:v>
      </x:c>
      <x:c r="C99" t="str">
        <x:v>120216497354840080</x:v>
      </x:c>
      <x:c r="D99" t="str">
        <x:v>Vücut Şekillendirme - Lipo/Abdo - Avrupa Bölgesi - Tümü - EN - Obesity Surgery Center</x:v>
      </x:c>
      <x:c r="E99" t="str">
        <x:v>OUTCOME_LEADS</x:v>
      </x:c>
      <x:c r="F99" t="str">
        <x:v>PAUSED</x:v>
      </x:c>
      <x:c r="G99" t="str">
        <x:v>PAUSED</x:v>
      </x:c>
      <x:c r="H99" t="str">
        <x:v>AUCTION</x:v>
      </x:c>
      <x:c r="I99" s="28" t="n">
        <x:v>0</x:v>
      </x:c>
      <x:c r="J99" s="28" t="n">
        <x:v>0</x:v>
      </x:c>
      <x:c r="K99" t="str">
        <x:v>2025-02-24T11:54:44+0300</x:v>
      </x:c>
      <x:c r="L99"/>
      <x:c r="M99" t="str">
        <x:v>2025-04-22T13:37:40+0300</x:v>
      </x:c>
    </x:row>
    <x:row r="100">
      <x:c r="A100" t="str">
        <x:v>act_170008509278498</x:v>
      </x:c>
      <x:c r="B100" t="str">
        <x:v>Doruk Hospital</x:v>
      </x:c>
      <x:c r="C100" t="str">
        <x:v>120216502032960080</x:v>
      </x:c>
      <x:c r="D100" t="str">
        <x:v>Vücut Şekillendirme - Lipo/Abdo - Birleşik Krallık - Tümü - EN - Obesity Surgery Center</x:v>
      </x:c>
      <x:c r="E100" t="str">
        <x:v>OUTCOME_LEADS</x:v>
      </x:c>
      <x:c r="F100" t="str">
        <x:v>PAUSED</x:v>
      </x:c>
      <x:c r="G100" t="str">
        <x:v>PAUSED</x:v>
      </x:c>
      <x:c r="H100" t="str">
        <x:v>AUCTION</x:v>
      </x:c>
      <x:c r="I100" s="28" t="n">
        <x:v>0</x:v>
      </x:c>
      <x:c r="J100" s="28" t="n">
        <x:v>0</x:v>
      </x:c>
      <x:c r="K100" t="str">
        <x:v>2025-02-24T12:24:41+0300</x:v>
      </x:c>
      <x:c r="L100"/>
      <x:c r="M100" t="str">
        <x:v>2025-04-22T13:38:55+0300</x:v>
      </x:c>
    </x:row>
    <x:row r="101">
      <x:c r="A101" t="str">
        <x:v>act_170008509278498</x:v>
      </x:c>
      <x:c r="B101" t="str">
        <x:v>Doruk Hospital</x:v>
      </x:c>
      <x:c r="C101" t="str">
        <x:v>120216713777290080</x:v>
      </x:c>
      <x:c r="D101" t="str">
        <x:v>Meme Estetiği - Jinekomasti - Arap Bölgesi - Tümü - AR - Obesity Surgery Center</x:v>
      </x:c>
      <x:c r="E101" t="str">
        <x:v>OUTCOME_LEADS</x:v>
      </x:c>
      <x:c r="F101" t="str">
        <x:v>PAUSED</x:v>
      </x:c>
      <x:c r="G101" t="str">
        <x:v>PAUSED</x:v>
      </x:c>
      <x:c r="H101" t="str">
        <x:v>AUCTION</x:v>
      </x:c>
      <x:c r="I101" s="28" t="n">
        <x:v>0</x:v>
      </x:c>
      <x:c r="J101" s="28" t="n">
        <x:v>0</x:v>
      </x:c>
      <x:c r="K101" t="str">
        <x:v>2025-02-26T10:54:59+0300</x:v>
      </x:c>
      <x:c r="L101"/>
      <x:c r="M101" t="str">
        <x:v>2025-04-21T16:28:35+0300</x:v>
      </x:c>
    </x:row>
    <x:row r="102">
      <x:c r="A102" t="str">
        <x:v>act_170008509278498</x:v>
      </x:c>
      <x:c r="B102" t="str">
        <x:v>Doruk Hospital</x:v>
      </x:c>
      <x:c r="C102" t="str">
        <x:v>120216716897510080</x:v>
      </x:c>
      <x:c r="D102" t="str">
        <x:v>Vücut Şekillendirme - Lipo/Abdo - Arap Bölgesi - Tümü - AR - Obesity Surgery Center</x:v>
      </x:c>
      <x:c r="E102" t="str">
        <x:v>OUTCOME_LEADS</x:v>
      </x:c>
      <x:c r="F102" t="str">
        <x:v>PAUSED</x:v>
      </x:c>
      <x:c r="G102" t="str">
        <x:v>PAUSED</x:v>
      </x:c>
      <x:c r="H102" t="str">
        <x:v>AUCTION</x:v>
      </x:c>
      <x:c r="I102" s="28" t="n">
        <x:v>0</x:v>
      </x:c>
      <x:c r="J102" s="28" t="n">
        <x:v>0</x:v>
      </x:c>
      <x:c r="K102" t="str">
        <x:v>2025-02-26T11:25:33+0300</x:v>
      </x:c>
      <x:c r="L102"/>
      <x:c r="M102" t="str">
        <x:v>2025-04-22T13:37:10+0300</x:v>
      </x:c>
    </x:row>
    <x:row r="103">
      <x:c r="A103" t="str">
        <x:v>act_170008509278498</x:v>
      </x:c>
      <x:c r="B103" t="str">
        <x:v>Doruk Hospital</x:v>
      </x:c>
      <x:c r="C103" t="str">
        <x:v>120216893233340080</x:v>
      </x:c>
      <x:c r="D103" t="str">
        <x:v>Meme Estetiği - Jinekomasti - Türki Cumhuriyetleri - Tümü - RU - Obesity Surgery Center</x:v>
      </x:c>
      <x:c r="E103" t="str">
        <x:v>OUTCOME_LEADS</x:v>
      </x:c>
      <x:c r="F103" t="str">
        <x:v>PAUSED</x:v>
      </x:c>
      <x:c r="G103" t="str">
        <x:v>PAUSED</x:v>
      </x:c>
      <x:c r="H103" t="str">
        <x:v>AUCTION</x:v>
      </x:c>
      <x:c r="I103" s="28" t="n">
        <x:v>0</x:v>
      </x:c>
      <x:c r="J103" s="28" t="n">
        <x:v>0</x:v>
      </x:c>
      <x:c r="K103" t="str">
        <x:v>2025-02-28T15:38:57+0300</x:v>
      </x:c>
      <x:c r="L103"/>
      <x:c r="M103" t="str">
        <x:v>2025-04-21T16:26:41+0300</x:v>
      </x:c>
    </x:row>
    <x:row r="104">
      <x:c r="A104" t="str">
        <x:v>act_170008509278498</x:v>
      </x:c>
      <x:c r="B104" t="str">
        <x:v>Doruk Hospital</x:v>
      </x:c>
      <x:c r="C104" t="str">
        <x:v>120216894221960080</x:v>
      </x:c>
      <x:c r="D104" t="str">
        <x:v>Vücut Şekillendirme - Lipo/Abdo - Türki Cumhuriyetleri - Tümü - RU - Obesity Surgery Center</x:v>
      </x:c>
      <x:c r="E104" t="str">
        <x:v>OUTCOME_LEADS</x:v>
      </x:c>
      <x:c r="F104" t="str">
        <x:v>PAUSED</x:v>
      </x:c>
      <x:c r="G104" t="str">
        <x:v>PAUSED</x:v>
      </x:c>
      <x:c r="H104" t="str">
        <x:v>AUCTION</x:v>
      </x:c>
      <x:c r="I104" s="28" t="n">
        <x:v>0</x:v>
      </x:c>
      <x:c r="J104" s="28" t="n">
        <x:v>0</x:v>
      </x:c>
      <x:c r="K104" t="str">
        <x:v>2025-02-28T15:57:14+0300</x:v>
      </x:c>
      <x:c r="L104"/>
      <x:c r="M104" t="str">
        <x:v>2025-04-22T13:35:48+0300</x:v>
      </x:c>
    </x:row>
    <x:row r="105">
      <x:c r="A105" t="str">
        <x:v>act_170008509278498</x:v>
      </x:c>
      <x:c r="B105" t="str">
        <x:v>Doruk Hospital</x:v>
      </x:c>
      <x:c r="C105" t="str">
        <x:v>120217485013260080</x:v>
      </x:c>
      <x:c r="D105" t="str">
        <x:v>Fizik Tedavi - Soft FTR - Türki Cumhuriyetler - Tümü - RU - Physical Therapy</x:v>
      </x:c>
      <x:c r="E105" t="str">
        <x:v>OUTCOME_LEADS</x:v>
      </x:c>
      <x:c r="F105" t="str">
        <x:v>PAUSED</x:v>
      </x:c>
      <x:c r="G105" t="str">
        <x:v>PAUSED</x:v>
      </x:c>
      <x:c r="H105" t="str">
        <x:v>AUCTION</x:v>
      </x:c>
      <x:c r="I105" s="28" t="n">
        <x:v>0</x:v>
      </x:c>
      <x:c r="J105" s="28" t="n">
        <x:v>0</x:v>
      </x:c>
      <x:c r="K105" t="str">
        <x:v>2025-03-17T15:58:56+0300</x:v>
      </x:c>
      <x:c r="L105"/>
      <x:c r="M105" t="str">
        <x:v>2025-04-07T17:43:00+0300</x:v>
      </x:c>
    </x:row>
    <x:row r="106">
      <x:c r="A106" t="str">
        <x:v>act_170008509278498</x:v>
      </x:c>
      <x:c r="B106" t="str">
        <x:v>Doruk Hospital</x:v>
      </x:c>
      <x:c r="C106" t="str">
        <x:v>120217485716020080</x:v>
      </x:c>
      <x:c r="D106" t="str">
        <x:v>Fizik Tedavi - Soft FTR - İngiltere - Tümü - EN - Physical Therapy</x:v>
      </x:c>
      <x:c r="E106" t="str">
        <x:v>OUTCOME_LEADS</x:v>
      </x:c>
      <x:c r="F106" t="str">
        <x:v>PAUSED</x:v>
      </x:c>
      <x:c r="G106" t="str">
        <x:v>PAUSED</x:v>
      </x:c>
      <x:c r="H106" t="str">
        <x:v>AUCTION</x:v>
      </x:c>
      <x:c r="I106" s="28" t="n">
        <x:v>0</x:v>
      </x:c>
      <x:c r="J106" s="28" t="n">
        <x:v>0</x:v>
      </x:c>
      <x:c r="K106" t="str">
        <x:v>2025-03-17T16:12:59+0300</x:v>
      </x:c>
      <x:c r="L106"/>
      <x:c r="M106" t="str">
        <x:v>2025-04-07T17:42:59+0300</x:v>
      </x:c>
    </x:row>
    <x:row r="107">
      <x:c r="A107" t="str">
        <x:v>act_170008509278498</x:v>
      </x:c>
      <x:c r="B107" t="str">
        <x:v>Doruk Hospital</x:v>
      </x:c>
      <x:c r="C107" t="str">
        <x:v>120217486278490080</x:v>
      </x:c>
      <x:c r="D107" t="str">
        <x:v>Fizik Tedavi - Soft FTR - Avrupa Bölgesi - Tümü - EN - Physical Therapy</x:v>
      </x:c>
      <x:c r="E107" t="str">
        <x:v>OUTCOME_LEADS</x:v>
      </x:c>
      <x:c r="F107" t="str">
        <x:v>PAUSED</x:v>
      </x:c>
      <x:c r="G107" t="str">
        <x:v>PAUSED</x:v>
      </x:c>
      <x:c r="H107" t="str">
        <x:v>AUCTION</x:v>
      </x:c>
      <x:c r="I107" s="28" t="n">
        <x:v>0</x:v>
      </x:c>
      <x:c r="J107" s="28" t="n">
        <x:v>0</x:v>
      </x:c>
      <x:c r="K107" t="str">
        <x:v>2025-03-17T16:15:30+0300</x:v>
      </x:c>
      <x:c r="L107"/>
      <x:c r="M107" t="str">
        <x:v>2025-04-07T17:42:59+0300</x:v>
      </x:c>
    </x:row>
    <x:row r="108">
      <x:c r="A108" t="str">
        <x:v>act_170008509278498</x:v>
      </x:c>
      <x:c r="B108" t="str">
        <x:v>Doruk Hospital</x:v>
      </x:c>
      <x:c r="C108" t="str">
        <x:v>120217486545650080</x:v>
      </x:c>
      <x:c r="D108" t="str">
        <x:v>Fizik Tedavi - Soft FTR - Arap Bölgesi - Tümü - AR - Physical Therapy</x:v>
      </x:c>
      <x:c r="E108" t="str">
        <x:v>OUTCOME_LEADS</x:v>
      </x:c>
      <x:c r="F108" t="str">
        <x:v>PAUSED</x:v>
      </x:c>
      <x:c r="G108" t="str">
        <x:v>PAUSED</x:v>
      </x:c>
      <x:c r="H108" t="str">
        <x:v>AUCTION</x:v>
      </x:c>
      <x:c r="I108" s="28" t="n">
        <x:v>0</x:v>
      </x:c>
      <x:c r="J108" s="28" t="n">
        <x:v>0</x:v>
      </x:c>
      <x:c r="K108" t="str">
        <x:v>2025-03-17T16:26:21+0300</x:v>
      </x:c>
      <x:c r="L108"/>
      <x:c r="M108" t="str">
        <x:v>2025-04-07T17:42:57+0300</x:v>
      </x:c>
    </x:row>
    <x:row r="109">
      <x:c r="A109" t="str">
        <x:v>act_170008509278498</x:v>
      </x:c>
      <x:c r="B109" t="str">
        <x:v>Doruk Hospital</x:v>
      </x:c>
      <x:c r="C109" t="str">
        <x:v>120218339331080080</x:v>
      </x:c>
      <x:c r="D109" t="str">
        <x:v>Estetik - Genital Estetik - Birleşik Krallık - Tümü - EN - Doruk Hospital</x:v>
      </x:c>
      <x:c r="E109" t="str">
        <x:v>OUTCOME_LEADS</x:v>
      </x:c>
      <x:c r="F109" t="str">
        <x:v>PAUSED</x:v>
      </x:c>
      <x:c r="G109" t="str">
        <x:v>PAUSED</x:v>
      </x:c>
      <x:c r="H109" t="str">
        <x:v>AUCTION</x:v>
      </x:c>
      <x:c r="I109" s="28" t="n">
        <x:v>0</x:v>
      </x:c>
      <x:c r="J109" s="28" t="n">
        <x:v>0</x:v>
      </x:c>
      <x:c r="K109" t="str">
        <x:v>2025-04-07T10:51:26+0300</x:v>
      </x:c>
      <x:c r="L109"/>
      <x:c r="M109" t="str">
        <x:v>2025-05-04T21:37:47+0300</x:v>
      </x:c>
    </x:row>
    <x:row r="110">
      <x:c r="A110" t="str">
        <x:v>act_170008509278498</x:v>
      </x:c>
      <x:c r="B110" t="str">
        <x:v>Doruk Hospital</x:v>
      </x:c>
      <x:c r="C110" t="str">
        <x:v>120218340780530080</x:v>
      </x:c>
      <x:c r="D110" t="str">
        <x:v>Estetik - Genital Estetik - Avrupa Bölgesi - Tümü - EN - Doruk Hospital</x:v>
      </x:c>
      <x:c r="E110" t="str">
        <x:v>OUTCOME_LEADS</x:v>
      </x:c>
      <x:c r="F110" t="str">
        <x:v>PAUSED</x:v>
      </x:c>
      <x:c r="G110" t="str">
        <x:v>PAUSED</x:v>
      </x:c>
      <x:c r="H110" t="str">
        <x:v>AUCTION</x:v>
      </x:c>
      <x:c r="I110" s="28" t="n">
        <x:v>0</x:v>
      </x:c>
      <x:c r="J110" s="28" t="n">
        <x:v>0</x:v>
      </x:c>
      <x:c r="K110" t="str">
        <x:v>2025-04-07T10:54:53+0300</x:v>
      </x:c>
      <x:c r="L110"/>
      <x:c r="M110" t="str">
        <x:v>2025-05-06T12:01:45+0300</x:v>
      </x:c>
    </x:row>
    <x:row r="111">
      <x:c r="A111" t="str">
        <x:v>act_170008509278498</x:v>
      </x:c>
      <x:c r="B111" t="str">
        <x:v>Doruk Hospital</x:v>
      </x:c>
      <x:c r="C111" t="str">
        <x:v>120218341134590080</x:v>
      </x:c>
      <x:c r="D111" t="str">
        <x:v>Estetik - Genital Estetik - Türki Cumhuriyetler - Tümü - RU - Doruk Hospital</x:v>
      </x:c>
      <x:c r="E111" t="str">
        <x:v>OUTCOME_LEADS</x:v>
      </x:c>
      <x:c r="F111" t="str">
        <x:v>PAUSED</x:v>
      </x:c>
      <x:c r="G111" t="str">
        <x:v>PAUSED</x:v>
      </x:c>
      <x:c r="H111" t="str">
        <x:v>AUCTION</x:v>
      </x:c>
      <x:c r="I111" s="28" t="n">
        <x:v>0</x:v>
      </x:c>
      <x:c r="J111" s="28" t="n">
        <x:v>0</x:v>
      </x:c>
      <x:c r="K111" t="str">
        <x:v>2025-04-07T11:16:24+0300</x:v>
      </x:c>
      <x:c r="L111"/>
      <x:c r="M111" t="str">
        <x:v>2025-05-06T12:03:07+0300</x:v>
      </x:c>
    </x:row>
    <x:row r="112">
      <x:c r="A112" t="str">
        <x:v>act_170008509278498</x:v>
      </x:c>
      <x:c r="B112" t="str">
        <x:v>Doruk Hospital</x:v>
      </x:c>
      <x:c r="C112" t="str">
        <x:v>120218704745730080</x:v>
      </x:c>
      <x:c r="D112" t="str">
        <x:v>Meme Estetiği - Jinekomasti - Türki Cumhuriyetleri - Tümü - RU - Obesity Surgery Center - CTW</x:v>
      </x:c>
      <x:c r="E112" t="str">
        <x:v>OUTCOME_ENGAGEMENT</x:v>
      </x:c>
      <x:c r="F112" t="str">
        <x:v>PAUSED</x:v>
      </x:c>
      <x:c r="G112" t="str">
        <x:v>PAUSED</x:v>
      </x:c>
      <x:c r="H112" t="str">
        <x:v>AUCTION</x:v>
      </x:c>
      <x:c r="I112" s="28" t="n">
        <x:v>0</x:v>
      </x:c>
      <x:c r="J112" s="28" t="n">
        <x:v>0</x:v>
      </x:c>
      <x:c r="K112" t="str">
        <x:v>2025-04-12T12:56:54+0300</x:v>
      </x:c>
      <x:c r="L112"/>
      <x:c r="M112" t="str">
        <x:v>2025-04-16T11:34:22+0300</x:v>
      </x:c>
    </x:row>
    <x:row r="113">
      <x:c r="A113" t="str">
        <x:v>act_170008509278498</x:v>
      </x:c>
      <x:c r="B113" t="str">
        <x:v>Doruk Hospital</x:v>
      </x:c>
      <x:c r="C113" t="str">
        <x:v>120218704942620080</x:v>
      </x:c>
      <x:c r="D113" t="str">
        <x:v>Vücut Şekillendirme - Lipo/Abdo - Türki Cumhuriyetleri - Tümü - RU - Obesity Surgery Center - CTW</x:v>
      </x:c>
      <x:c r="E113" t="str">
        <x:v>OUTCOME_ENGAGEMENT</x:v>
      </x:c>
      <x:c r="F113" t="str">
        <x:v>PAUSED</x:v>
      </x:c>
      <x:c r="G113" t="str">
        <x:v>PAUSED</x:v>
      </x:c>
      <x:c r="H113" t="str">
        <x:v>AUCTION</x:v>
      </x:c>
      <x:c r="I113" s="28" t="n">
        <x:v>0</x:v>
      </x:c>
      <x:c r="J113" s="28" t="n">
        <x:v>0</x:v>
      </x:c>
      <x:c r="K113" t="str">
        <x:v>2025-04-12T13:23:30+0300</x:v>
      </x:c>
      <x:c r="L113"/>
      <x:c r="M113" t="str">
        <x:v>2025-04-16T11:34:19+0300</x:v>
      </x:c>
    </x:row>
    <x:row r="114">
      <x:c r="A114" t="str">
        <x:v>act_170008509278498</x:v>
      </x:c>
      <x:c r="B114" t="str">
        <x:v>Doruk Hospital</x:v>
      </x:c>
      <x:c r="C114" t="str">
        <x:v>120218706136570080</x:v>
      </x:c>
      <x:c r="D114" t="str">
        <x:v>Meme Estetiği - Jinekomasti - Arap Bölgesi - Tümü - AR - Obesity Surgery Center - CTW</x:v>
      </x:c>
      <x:c r="E114" t="str">
        <x:v>OUTCOME_ENGAGEMENT</x:v>
      </x:c>
      <x:c r="F114" t="str">
        <x:v>PAUSED</x:v>
      </x:c>
      <x:c r="G114" t="str">
        <x:v>PAUSED</x:v>
      </x:c>
      <x:c r="H114" t="str">
        <x:v>AUCTION</x:v>
      </x:c>
      <x:c r="I114" s="28" t="n">
        <x:v>0</x:v>
      </x:c>
      <x:c r="J114" s="28" t="n">
        <x:v>0</x:v>
      </x:c>
      <x:c r="K114" t="str">
        <x:v>2025-04-12T14:05:51+0300</x:v>
      </x:c>
      <x:c r="L114"/>
      <x:c r="M114" t="str">
        <x:v>2025-04-16T11:34:17+0300</x:v>
      </x:c>
    </x:row>
    <x:row r="115">
      <x:c r="A115" t="str">
        <x:v>act_170008509278498</x:v>
      </x:c>
      <x:c r="B115" t="str">
        <x:v>Doruk Hospital</x:v>
      </x:c>
      <x:c r="C115" t="str">
        <x:v>120218706234270080</x:v>
      </x:c>
      <x:c r="D115" t="str">
        <x:v>Vücut Şekillendirme - Lipo/Abdo - Arap Bölgesi - Tümü - AR - Obesity Surgery Center - CTW</x:v>
      </x:c>
      <x:c r="E115" t="str">
        <x:v>OUTCOME_ENGAGEMENT</x:v>
      </x:c>
      <x:c r="F115" t="str">
        <x:v>PAUSED</x:v>
      </x:c>
      <x:c r="G115" t="str">
        <x:v>PAUSED</x:v>
      </x:c>
      <x:c r="H115" t="str">
        <x:v>AUCTION</x:v>
      </x:c>
      <x:c r="I115" s="28" t="n">
        <x:v>0</x:v>
      </x:c>
      <x:c r="J115" s="28" t="n">
        <x:v>0</x:v>
      </x:c>
      <x:c r="K115" t="str">
        <x:v>2025-04-12T14:17:43+0300</x:v>
      </x:c>
      <x:c r="L115"/>
      <x:c r="M115" t="str">
        <x:v>2025-04-16T11:34:10+0300</x:v>
      </x:c>
    </x:row>
    <x:row r="116">
      <x:c r="A116" t="str">
        <x:v>act_170008509278498</x:v>
      </x:c>
      <x:c r="B116" t="str">
        <x:v>Doruk Hospital</x:v>
      </x:c>
      <x:c r="C116" t="str">
        <x:v>120219441796010080</x:v>
      </x:c>
      <x:c r="D116" t="str">
        <x:v>Estetik - Genital Estetik - Arap Bölgesi  - Tümü - AR - Doruk Aesthetic Surgery</x:v>
      </x:c>
      <x:c r="E116" t="str">
        <x:v>OUTCOME_LEADS</x:v>
      </x:c>
      <x:c r="F116" t="str">
        <x:v>PAUSED</x:v>
      </x:c>
      <x:c r="G116" t="str">
        <x:v>PAUSED</x:v>
      </x:c>
      <x:c r="H116" t="str">
        <x:v>AUCTION</x:v>
      </x:c>
      <x:c r="I116" s="28" t="n">
        <x:v>0</x:v>
      </x:c>
      <x:c r="J116" s="28" t="n">
        <x:v>0</x:v>
      </x:c>
      <x:c r="K116" t="str">
        <x:v>2025-04-19T11:58:11+0300</x:v>
      </x:c>
      <x:c r="L116"/>
      <x:c r="M116" t="str">
        <x:v>2025-05-04T21:37:05+0300</x:v>
      </x:c>
    </x:row>
    <x:row r="117">
      <x:c r="A117" t="str">
        <x:v>act_170008509278498</x:v>
      </x:c>
      <x:c r="B117" t="str">
        <x:v>Doruk Hospital</x:v>
      </x:c>
      <x:c r="C117" t="str">
        <x:v>120219442053420080</x:v>
      </x:c>
      <x:c r="D117" t="str">
        <x:v>Estetik - Genital Estetik - Türki Cumhuriyetler - Tümü - RU - Doruk Aesthetic Surgery</x:v>
      </x:c>
      <x:c r="E117" t="str">
        <x:v>OUTCOME_LEADS</x:v>
      </x:c>
      <x:c r="F117" t="str">
        <x:v>PAUSED</x:v>
      </x:c>
      <x:c r="G117" t="str">
        <x:v>PAUSED</x:v>
      </x:c>
      <x:c r="H117" t="str">
        <x:v>AUCTION</x:v>
      </x:c>
      <x:c r="I117" s="28" t="n">
        <x:v>0</x:v>
      </x:c>
      <x:c r="J117" s="28" t="n">
        <x:v>0</x:v>
      </x:c>
      <x:c r="K117" t="str">
        <x:v>2025-04-19T11:58:11+0300</x:v>
      </x:c>
      <x:c r="L117"/>
      <x:c r="M117" t="str">
        <x:v>2025-05-06T12:03:02+0300</x:v>
      </x:c>
    </x:row>
    <x:row r="118">
      <x:c r="A118" t="str">
        <x:v>act_170008509278498</x:v>
      </x:c>
      <x:c r="B118" t="str">
        <x:v>Doruk Hospital</x:v>
      </x:c>
      <x:c r="C118" t="str">
        <x:v>120219442289140080</x:v>
      </x:c>
      <x:c r="D118" t="str">
        <x:v>Estetik - Genital Estetik - Birleşik Krallık - Tümü - EN - Doruk Aesthetic Surgery</x:v>
      </x:c>
      <x:c r="E118" t="str">
        <x:v>OUTCOME_LEADS</x:v>
      </x:c>
      <x:c r="F118" t="str">
        <x:v>PAUSED</x:v>
      </x:c>
      <x:c r="G118" t="str">
        <x:v>PAUSED</x:v>
      </x:c>
      <x:c r="H118" t="str">
        <x:v>AUCTION</x:v>
      </x:c>
      <x:c r="I118" s="28" t="n">
        <x:v>0</x:v>
      </x:c>
      <x:c r="J118" s="28" t="n">
        <x:v>0</x:v>
      </x:c>
      <x:c r="K118" t="str">
        <x:v>2025-04-19T11:58:11+0300</x:v>
      </x:c>
      <x:c r="L118"/>
      <x:c r="M118" t="str">
        <x:v>2025-05-06T12:02:07+0300</x:v>
      </x:c>
    </x:row>
    <x:row r="119">
      <x:c r="A119" t="str">
        <x:v>act_170008509278498</x:v>
      </x:c>
      <x:c r="B119" t="str">
        <x:v>Doruk Hospital</x:v>
      </x:c>
      <x:c r="C119" t="str">
        <x:v>120219442670050080</x:v>
      </x:c>
      <x:c r="D119" t="str">
        <x:v>Estetik - Genital Estetik - Avrupa Bölgesi - Tümü - EN - Doruk Aesthetic Surgery</x:v>
      </x:c>
      <x:c r="E119" t="str">
        <x:v>OUTCOME_LEADS</x:v>
      </x:c>
      <x:c r="F119" t="str">
        <x:v>PAUSED</x:v>
      </x:c>
      <x:c r="G119" t="str">
        <x:v>PAUSED</x:v>
      </x:c>
      <x:c r="H119" t="str">
        <x:v>AUCTION</x:v>
      </x:c>
      <x:c r="I119" s="28" t="n">
        <x:v>0</x:v>
      </x:c>
      <x:c r="J119" s="28" t="n">
        <x:v>0</x:v>
      </x:c>
      <x:c r="K119" t="str">
        <x:v>2025-04-19T11:58:11+0300</x:v>
      </x:c>
      <x:c r="L119"/>
      <x:c r="M119" t="str">
        <x:v>2025-05-06T12:04:39+0300</x:v>
      </x:c>
    </x:row>
    <x:row r="120">
      <x:c r="A120" t="str">
        <x:v>act_170008509278498</x:v>
      </x:c>
      <x:c r="B120" t="str">
        <x:v>Doruk Hospital</x:v>
      </x:c>
      <x:c r="C120" t="str">
        <x:v>120219688447680080</x:v>
      </x:c>
      <x:c r="D120" t="str">
        <x:v>Meme Estetiği - Jinekomasti - Türki Cumhuriyetleri - Tümü - RU - Doruk Aesthetic Surgery</x:v>
      </x:c>
      <x:c r="E120" t="str">
        <x:v>OUTCOME_LEADS</x:v>
      </x:c>
      <x:c r="F120" t="str">
        <x:v>PAUSED</x:v>
      </x:c>
      <x:c r="G120" t="str">
        <x:v>PAUSED</x:v>
      </x:c>
      <x:c r="H120" t="str">
        <x:v>AUCTION</x:v>
      </x:c>
      <x:c r="I120" s="28" t="n">
        <x:v>0</x:v>
      </x:c>
      <x:c r="J120" s="28" t="n">
        <x:v>0</x:v>
      </x:c>
      <x:c r="K120" t="str">
        <x:v>2025-04-21T16:31:27+0300</x:v>
      </x:c>
      <x:c r="L120"/>
      <x:c r="M120" t="str">
        <x:v>2025-05-07T16:08:25+0300</x:v>
      </x:c>
    </x:row>
    <x:row r="121">
      <x:c r="A121" t="str">
        <x:v>act_170008509278498</x:v>
      </x:c>
      <x:c r="B121" t="str">
        <x:v>Doruk Hospital</x:v>
      </x:c>
      <x:c r="C121" t="str">
        <x:v>120219688483430080</x:v>
      </x:c>
      <x:c r="D121" t="str">
        <x:v>Meme Estetiği - Jinekomasti - Arap Bölgesi - Tümü - AR - Doruk Aesthetic Surgery</x:v>
      </x:c>
      <x:c r="E121" t="str">
        <x:v>OUTCOME_LEADS</x:v>
      </x:c>
      <x:c r="F121" t="str">
        <x:v>PAUSED</x:v>
      </x:c>
      <x:c r="G121" t="str">
        <x:v>PAUSED</x:v>
      </x:c>
      <x:c r="H121" t="str">
        <x:v>AUCTION</x:v>
      </x:c>
      <x:c r="I121" s="28" t="n">
        <x:v>0</x:v>
      </x:c>
      <x:c r="J121" s="28" t="n">
        <x:v>0</x:v>
      </x:c>
      <x:c r="K121" t="str">
        <x:v>2025-04-21T16:31:28+0300</x:v>
      </x:c>
      <x:c r="L121"/>
      <x:c r="M121" t="str">
        <x:v>2025-05-04T21:38:27+0300</x:v>
      </x:c>
    </x:row>
    <x:row r="122">
      <x:c r="A122" t="str">
        <x:v>act_170008509278498</x:v>
      </x:c>
      <x:c r="B122" t="str">
        <x:v>Doruk Hospital</x:v>
      </x:c>
      <x:c r="C122" t="str">
        <x:v>120219688507620080</x:v>
      </x:c>
      <x:c r="D122" t="str">
        <x:v>Meme Estetiği - Jinekomasti - Birleşik Krallık - Tümü - EN - Doruk Aesthetic Surgery</x:v>
      </x:c>
      <x:c r="E122" t="str">
        <x:v>OUTCOME_LEADS</x:v>
      </x:c>
      <x:c r="F122" t="str">
        <x:v>PAUSED</x:v>
      </x:c>
      <x:c r="G122" t="str">
        <x:v>PAUSED</x:v>
      </x:c>
      <x:c r="H122" t="str">
        <x:v>AUCTION</x:v>
      </x:c>
      <x:c r="I122" s="28" t="n">
        <x:v>0</x:v>
      </x:c>
      <x:c r="J122" s="28" t="n">
        <x:v>0</x:v>
      </x:c>
      <x:c r="K122" t="str">
        <x:v>2025-04-21T16:31:27+0300</x:v>
      </x:c>
      <x:c r="L122"/>
      <x:c r="M122" t="str">
        <x:v>2026-07-28T11:37:18+0300</x:v>
      </x:c>
    </x:row>
    <x:row r="123">
      <x:c r="A123" t="str">
        <x:v>act_170008509278498</x:v>
      </x:c>
      <x:c r="B123" t="str">
        <x:v>Doruk Hospital</x:v>
      </x:c>
      <x:c r="C123" t="str">
        <x:v>120219688526390080</x:v>
      </x:c>
      <x:c r="D123" t="str">
        <x:v>Meme Estetiği - Jinekomasti - Avrupa Bölgesi - Tümü - EN - Doruk Aesthetic Surgery</x:v>
      </x:c>
      <x:c r="E123" t="str">
        <x:v>OUTCOME_LEADS</x:v>
      </x:c>
      <x:c r="F123" t="str">
        <x:v>PAUSED</x:v>
      </x:c>
      <x:c r="G123" t="str">
        <x:v>PAUSED</x:v>
      </x:c>
      <x:c r="H123" t="str">
        <x:v>AUCTION</x:v>
      </x:c>
      <x:c r="I123" s="28" t="n">
        <x:v>0</x:v>
      </x:c>
      <x:c r="J123" s="28" t="n">
        <x:v>0</x:v>
      </x:c>
      <x:c r="K123" t="str">
        <x:v>2025-04-21T16:31:28+0300</x:v>
      </x:c>
      <x:c r="L123"/>
      <x:c r="M123" t="str">
        <x:v>2025-05-07T16:08:25+0300</x:v>
      </x:c>
    </x:row>
    <x:row r="124">
      <x:c r="A124" t="str">
        <x:v>act_170008509278498</x:v>
      </x:c>
      <x:c r="B124" t="str">
        <x:v>Doruk Hospital</x:v>
      </x:c>
      <x:c r="C124" t="str">
        <x:v>120219689247910080</x:v>
      </x:c>
      <x:c r="D124" t="str">
        <x:v>Obezite - Obezite Cerrahisi - Birleşik Krallık - Tümü - EN - Doruk Aesthetic Surgery</x:v>
      </x:c>
      <x:c r="E124" t="str">
        <x:v>OUTCOME_LEADS</x:v>
      </x:c>
      <x:c r="F124" t="str">
        <x:v>PAUSED</x:v>
      </x:c>
      <x:c r="G124" t="str">
        <x:v>PAUSED</x:v>
      </x:c>
      <x:c r="H124" t="str">
        <x:v>AUCTION</x:v>
      </x:c>
      <x:c r="I124" s="28" t="n">
        <x:v>0</x:v>
      </x:c>
      <x:c r="J124" s="28" t="n">
        <x:v>0</x:v>
      </x:c>
      <x:c r="K124" t="str">
        <x:v>2025-04-21T16:46:57+0300</x:v>
      </x:c>
      <x:c r="L124"/>
      <x:c r="M124" t="str">
        <x:v>2025-04-21T16:46:56+0300</x:v>
      </x:c>
    </x:row>
    <x:row r="125">
      <x:c r="A125" t="str">
        <x:v>act_170008509278498</x:v>
      </x:c>
      <x:c r="B125" t="str">
        <x:v>Doruk Hospital</x:v>
      </x:c>
      <x:c r="C125" t="str">
        <x:v>120219689272970080</x:v>
      </x:c>
      <x:c r="D125" t="str">
        <x:v>Obezite - Obezite Cerrahisi - Arap Bölgesi - Tümü - AR - Doruk Aesthetic Surgery</x:v>
      </x:c>
      <x:c r="E125" t="str">
        <x:v>OUTCOME_LEADS</x:v>
      </x:c>
      <x:c r="F125" t="str">
        <x:v>PAUSED</x:v>
      </x:c>
      <x:c r="G125" t="str">
        <x:v>PAUSED</x:v>
      </x:c>
      <x:c r="H125" t="str">
        <x:v>AUCTION</x:v>
      </x:c>
      <x:c r="I125" s="28" t="n">
        <x:v>0</x:v>
      </x:c>
      <x:c r="J125" s="28" t="n">
        <x:v>0</x:v>
      </x:c>
      <x:c r="K125" t="str">
        <x:v>2025-04-21T16:46:57+0300</x:v>
      </x:c>
      <x:c r="L125"/>
      <x:c r="M125" t="str">
        <x:v>2025-04-21T16:46:55+0300</x:v>
      </x:c>
    </x:row>
    <x:row r="126">
      <x:c r="A126" t="str">
        <x:v>act_170008509278498</x:v>
      </x:c>
      <x:c r="B126" t="str">
        <x:v>Doruk Hospital</x:v>
      </x:c>
      <x:c r="C126" t="str">
        <x:v>120219689282850080</x:v>
      </x:c>
      <x:c r="D126" t="str">
        <x:v>Obezite - Obezite Cerrahisi - Rus Bölgesi - Tümü - RU - Doruk Hospital - Doruk Aesthetic Surgery</x:v>
      </x:c>
      <x:c r="E126" t="str">
        <x:v>OUTCOME_LEADS</x:v>
      </x:c>
      <x:c r="F126" t="str">
        <x:v>PAUSED</x:v>
      </x:c>
      <x:c r="G126" t="str">
        <x:v>PAUSED</x:v>
      </x:c>
      <x:c r="H126" t="str">
        <x:v>AUCTION</x:v>
      </x:c>
      <x:c r="I126" s="28" t="n">
        <x:v>0</x:v>
      </x:c>
      <x:c r="J126" s="28" t="n">
        <x:v>0</x:v>
      </x:c>
      <x:c r="K126" t="str">
        <x:v>2025-04-21T16:46:57+0300</x:v>
      </x:c>
      <x:c r="L126"/>
      <x:c r="M126" t="str">
        <x:v>2025-04-21T16:46:55+0300</x:v>
      </x:c>
    </x:row>
    <x:row r="127">
      <x:c r="A127" t="str">
        <x:v>act_170008509278498</x:v>
      </x:c>
      <x:c r="B127" t="str">
        <x:v>Doruk Hospital</x:v>
      </x:c>
      <x:c r="C127" t="str">
        <x:v>120219763519310080</x:v>
      </x:c>
      <x:c r="D127" t="str">
        <x:v>Vücut Şekillendirme - Lipo/Abdo - Türki Cumhuriyetleri - Tümü - RU - Doruk Aesthetic Surgery</x:v>
      </x:c>
      <x:c r="E127" t="str">
        <x:v>OUTCOME_LEADS</x:v>
      </x:c>
      <x:c r="F127" t="str">
        <x:v>PAUSED</x:v>
      </x:c>
      <x:c r="G127" t="str">
        <x:v>PAUSED</x:v>
      </x:c>
      <x:c r="H127" t="str">
        <x:v>AUCTION</x:v>
      </x:c>
      <x:c r="I127" s="28" t="n">
        <x:v>0</x:v>
      </x:c>
      <x:c r="J127" s="28" t="n">
        <x:v>0</x:v>
      </x:c>
      <x:c r="K127" t="str">
        <x:v>2025-04-22T13:39:19+0300</x:v>
      </x:c>
      <x:c r="L127"/>
      <x:c r="M127" t="str">
        <x:v>2025-05-07T16:08:25+0300</x:v>
      </x:c>
    </x:row>
    <x:row r="128">
      <x:c r="A128" t="str">
        <x:v>act_170008509278498</x:v>
      </x:c>
      <x:c r="B128" t="str">
        <x:v>Doruk Hospital</x:v>
      </x:c>
      <x:c r="C128" t="str">
        <x:v>120219763626200080</x:v>
      </x:c>
      <x:c r="D128" t="str">
        <x:v>Vücut Şekillendirme - Lipo/Abdo - Arap Bölgesi - Tümü - AR - Doruk Aesthetic Surgery</x:v>
      </x:c>
      <x:c r="E128" t="str">
        <x:v>OUTCOME_LEADS</x:v>
      </x:c>
      <x:c r="F128" t="str">
        <x:v>PAUSED</x:v>
      </x:c>
      <x:c r="G128" t="str">
        <x:v>PAUSED</x:v>
      </x:c>
      <x:c r="H128" t="str">
        <x:v>AUCTION</x:v>
      </x:c>
      <x:c r="I128" s="28" t="n">
        <x:v>0</x:v>
      </x:c>
      <x:c r="J128" s="28" t="n">
        <x:v>0</x:v>
      </x:c>
      <x:c r="K128" t="str">
        <x:v>2025-04-22T13:39:19+0300</x:v>
      </x:c>
      <x:c r="L128"/>
      <x:c r="M128" t="str">
        <x:v>2025-05-04T21:38:19+0300</x:v>
      </x:c>
    </x:row>
    <x:row r="129">
      <x:c r="A129" t="str">
        <x:v>act_170008509278498</x:v>
      </x:c>
      <x:c r="B129" t="str">
        <x:v>Doruk Hospital</x:v>
      </x:c>
      <x:c r="C129" t="str">
        <x:v>120219763911790080</x:v>
      </x:c>
      <x:c r="D129" t="str">
        <x:v>Vücut Şekillendirme - Lipo/Abdo - Avrupa Bölgesi - Tümü - EN - Doruk Aesthetic Surgery</x:v>
      </x:c>
      <x:c r="E129" t="str">
        <x:v>OUTCOME_LEADS</x:v>
      </x:c>
      <x:c r="F129" t="str">
        <x:v>PAUSED</x:v>
      </x:c>
      <x:c r="G129" t="str">
        <x:v>PAUSED</x:v>
      </x:c>
      <x:c r="H129" t="str">
        <x:v>AUCTION</x:v>
      </x:c>
      <x:c r="I129" s="28" t="n">
        <x:v>0</x:v>
      </x:c>
      <x:c r="J129" s="28" t="n">
        <x:v>0</x:v>
      </x:c>
      <x:c r="K129" t="str">
        <x:v>2025-04-22T13:39:19+0300</x:v>
      </x:c>
      <x:c r="L129"/>
      <x:c r="M129" t="str">
        <x:v>2025-05-07T16:08:21+0300</x:v>
      </x:c>
    </x:row>
    <x:row r="130">
      <x:c r="A130" t="str">
        <x:v>act_170008509278498</x:v>
      </x:c>
      <x:c r="B130" t="str">
        <x:v>Doruk Hospital</x:v>
      </x:c>
      <x:c r="C130" t="str">
        <x:v>120219764006330080</x:v>
      </x:c>
      <x:c r="D130" t="str">
        <x:v>Vücut Şekillendirme - Lipo/Abdo - Birleşik Krallık - Tümü - EN - Doruk Aesthetic Surgery</x:v>
      </x:c>
      <x:c r="E130" t="str">
        <x:v>OUTCOME_LEADS</x:v>
      </x:c>
      <x:c r="F130" t="str">
        <x:v>PAUSED</x:v>
      </x:c>
      <x:c r="G130" t="str">
        <x:v>PAUSED</x:v>
      </x:c>
      <x:c r="H130" t="str">
        <x:v>AUCTION</x:v>
      </x:c>
      <x:c r="I130" s="28" t="n">
        <x:v>0</x:v>
      </x:c>
      <x:c r="J130" s="28" t="n">
        <x:v>0</x:v>
      </x:c>
      <x:c r="K130" t="str">
        <x:v>2025-04-22T13:39:19+0300</x:v>
      </x:c>
      <x:c r="L130"/>
      <x:c r="M130" t="str">
        <x:v>2025-05-07T16:08:19+0300</x:v>
      </x:c>
    </x:row>
    <x:row r="131">
      <x:c r="A131" t="str">
        <x:v>act_449281783851362</x:v>
      </x:c>
      <x:c r="B131" t="str">
        <x:v>Doruk Hastaneleri - SİNA ÖZEL Sağlık Hizmetleri A.ş</x:v>
      </x:c>
      <x:c r="C131" t="str">
        <x:v>120220089108220399</x:v>
      </x:c>
      <x:c r="D131" t="str">
        <x:v>Checkup - genel - lead</x:v>
      </x:c>
      <x:c r="E131" t="str">
        <x:v>OUTCOME_LEADS</x:v>
      </x:c>
      <x:c r="F131" t="str">
        <x:v>ACTIVE</x:v>
      </x:c>
      <x:c r="G131" t="str">
        <x:v>ACTIVE</x:v>
      </x:c>
      <x:c r="H131" t="str">
        <x:v>AUCTION</x:v>
      </x:c>
      <x:c r="I131" s="28" t="n">
        <x:v>0</x:v>
      </x:c>
      <x:c r="J131" s="28" t="n">
        <x:v>0</x:v>
      </x:c>
      <x:c r="K131" t="str">
        <x:v>2025-02-24T17:54:24+0300</x:v>
      </x:c>
      <x:c r="L131"/>
      <x:c r="M131" t="str">
        <x:v>2026-05-21T17:18:56+0300</x:v>
      </x:c>
    </x:row>
    <x:row r="132">
      <x:c r="A132" t="str">
        <x:v>act_170008509278498</x:v>
      </x:c>
      <x:c r="B132" t="str">
        <x:v>Doruk Hospital</x:v>
      </x:c>
      <x:c r="C132" t="str">
        <x:v>120220229321100080</x:v>
      </x:c>
      <x:c r="D132" t="str">
        <x:v>Estetik - Genel -  Arap Bölgesi - Tümü - AR - Doruk Aesthetic Surgery - on_lead</x:v>
      </x:c>
      <x:c r="E132" t="str">
        <x:v>OUTCOME_LEADS</x:v>
      </x:c>
      <x:c r="F132" t="str">
        <x:v>PAUSED</x:v>
      </x:c>
      <x:c r="G132" t="str">
        <x:v>PAUSED</x:v>
      </x:c>
      <x:c r="H132" t="str">
        <x:v>AUCTION</x:v>
      </x:c>
      <x:c r="I132" s="28" t="n">
        <x:v>0</x:v>
      </x:c>
      <x:c r="J132" s="28" t="n">
        <x:v>0</x:v>
      </x:c>
      <x:c r="K132" t="str">
        <x:v>2025-04-30T14:31:26+0300</x:v>
      </x:c>
      <x:c r="L132"/>
      <x:c r="M132" t="str">
        <x:v>2025-08-27T16:25:28+0300</x:v>
      </x:c>
    </x:row>
    <x:row r="133">
      <x:c r="A133" t="str">
        <x:v>act_170008509278498</x:v>
      </x:c>
      <x:c r="B133" t="str">
        <x:v>Doruk Hospital</x:v>
      </x:c>
      <x:c r="C133" t="str">
        <x:v>120220398508760080</x:v>
      </x:c>
      <x:c r="D133" t="str">
        <x:v>Estetik - Genel - Türki Cumhuriyetler - Tümü - RU - Doruk Aesthetic Surgery - on_lead</x:v>
      </x:c>
      <x:c r="E133" t="str">
        <x:v>OUTCOME_LEADS</x:v>
      </x:c>
      <x:c r="F133" t="str">
        <x:v>PAUSED</x:v>
      </x:c>
      <x:c r="G133" t="str">
        <x:v>PAUSED</x:v>
      </x:c>
      <x:c r="H133" t="str">
        <x:v>AUCTION</x:v>
      </x:c>
      <x:c r="I133" s="28" t="n">
        <x:v>0</x:v>
      </x:c>
      <x:c r="J133" s="28" t="n">
        <x:v>0</x:v>
      </x:c>
      <x:c r="K133" t="str">
        <x:v>2025-05-02T14:58:25+0300</x:v>
      </x:c>
      <x:c r="L133"/>
      <x:c r="M133" t="str">
        <x:v>2025-05-31T10:04:32+0300</x:v>
      </x:c>
    </x:row>
    <x:row r="134">
      <x:c r="A134" t="str">
        <x:v>act_170008509278498</x:v>
      </x:c>
      <x:c r="B134" t="str">
        <x:v>Doruk Hospital</x:v>
      </x:c>
      <x:c r="C134" t="str">
        <x:v>120220463601400080</x:v>
      </x:c>
      <x:c r="D134" t="str">
        <x:v>Estetik - Genel - Birleşik Krallık - Tümü - EN - Doruk Aesthetic Surgery - lead</x:v>
      </x:c>
      <x:c r="E134" t="str">
        <x:v>OUTCOME_LEADS</x:v>
      </x:c>
      <x:c r="F134" t="str">
        <x:v>PAUSED</x:v>
      </x:c>
      <x:c r="G134" t="str">
        <x:v>PAUSED</x:v>
      </x:c>
      <x:c r="H134" t="str">
        <x:v>AUCTION</x:v>
      </x:c>
      <x:c r="I134" s="28" t="n">
        <x:v>0</x:v>
      </x:c>
      <x:c r="J134" s="28" t="n">
        <x:v>0</x:v>
      </x:c>
      <x:c r="K134" t="str">
        <x:v>2025-05-03T13:45:18+0300</x:v>
      </x:c>
      <x:c r="L134"/>
      <x:c r="M134" t="str">
        <x:v>2025-09-18T22:13:38+0300</x:v>
      </x:c>
    </x:row>
    <x:row r="135">
      <x:c r="A135" t="str">
        <x:v>act_170008509278498</x:v>
      </x:c>
      <x:c r="B135" t="str">
        <x:v>Doruk Hospital</x:v>
      </x:c>
      <x:c r="C135" t="str">
        <x:v>120220948625530080</x:v>
      </x:c>
      <x:c r="D135" t="str">
        <x:v>Estetik - Genel - Avrupa Bölgesi  - Tümü - EN - Doruk Aesthetic Surgery - lead</x:v>
      </x:c>
      <x:c r="E135" t="str">
        <x:v>OUTCOME_LEADS</x:v>
      </x:c>
      <x:c r="F135" t="str">
        <x:v>PAUSED</x:v>
      </x:c>
      <x:c r="G135" t="str">
        <x:v>PAUSED</x:v>
      </x:c>
      <x:c r="H135" t="str">
        <x:v>AUCTION</x:v>
      </x:c>
      <x:c r="I135" s="28" t="n">
        <x:v>0</x:v>
      </x:c>
      <x:c r="J135" s="28" t="n">
        <x:v>0</x:v>
      </x:c>
      <x:c r="K135" t="str">
        <x:v>2025-05-07T15:38:04+0300</x:v>
      </x:c>
      <x:c r="L135"/>
      <x:c r="M135" t="str">
        <x:v>2025-09-18T22:13:50+0300</x:v>
      </x:c>
    </x:row>
    <x:row r="136">
      <x:c r="A136" t="str">
        <x:v>act_170008509278498</x:v>
      </x:c>
      <x:c r="B136" t="str">
        <x:v>Doruk Hospital</x:v>
      </x:c>
      <x:c r="C136" t="str">
        <x:v>120221301712470080</x:v>
      </x:c>
      <x:c r="D136" t="str">
        <x:v>Fizik Tedavi - Intensive FTR - Arap Bölgesi - Tümü - AR - Physical Therapy</x:v>
      </x:c>
      <x:c r="E136" t="str">
        <x:v>OUTCOME_LEADS</x:v>
      </x:c>
      <x:c r="F136" t="str">
        <x:v>PAUSED</x:v>
      </x:c>
      <x:c r="G136" t="str">
        <x:v>PAUSED</x:v>
      </x:c>
      <x:c r="H136" t="str">
        <x:v>AUCTION</x:v>
      </x:c>
      <x:c r="I136" s="28" t="n">
        <x:v>0</x:v>
      </x:c>
      <x:c r="J136" s="28" t="n">
        <x:v>0</x:v>
      </x:c>
      <x:c r="K136" t="str">
        <x:v>2025-05-09T21:10:15+0300</x:v>
      </x:c>
      <x:c r="L136"/>
      <x:c r="M136" t="str">
        <x:v>2025-06-02T13:23:45+0300</x:v>
      </x:c>
    </x:row>
    <x:row r="137">
      <x:c r="A137" t="str">
        <x:v>act_170008509278498</x:v>
      </x:c>
      <x:c r="B137" t="str">
        <x:v>Doruk Hospital</x:v>
      </x:c>
      <x:c r="C137" t="str">
        <x:v>120222231456050080</x:v>
      </x:c>
      <x:c r="D137" t="str">
        <x:v>Fizik Tedavi - Intensive FTR - Arap Bölgesi - Tümü - AR - Physical Therapy - on_lead</x:v>
      </x:c>
      <x:c r="E137" t="str">
        <x:v>OUTCOME_LEADS</x:v>
      </x:c>
      <x:c r="F137" t="str">
        <x:v>PAUSED</x:v>
      </x:c>
      <x:c r="G137" t="str">
        <x:v>PAUSED</x:v>
      </x:c>
      <x:c r="H137" t="str">
        <x:v>AUCTION</x:v>
      </x:c>
      <x:c r="I137" s="28" t="n">
        <x:v>0</x:v>
      </x:c>
      <x:c r="J137" s="28" t="n">
        <x:v>0</x:v>
      </x:c>
      <x:c r="K137" t="str">
        <x:v>2025-05-15T14:26:13+0300</x:v>
      </x:c>
      <x:c r="L137"/>
      <x:c r="M137" t="str">
        <x:v>2025-07-05T11:07:28+0300</x:v>
      </x:c>
    </x:row>
    <x:row r="138">
      <x:c r="A138" t="str">
        <x:v>act_170008509278498</x:v>
      </x:c>
      <x:c r="B138" t="str">
        <x:v>Doruk Hospital</x:v>
      </x:c>
      <x:c r="C138" t="str">
        <x:v>120222524792360080</x:v>
      </x:c>
      <x:c r="D138" t="str">
        <x:v>Fizik Tedavi - Intensive FTR - Türki Cumhuriyetler - Tümü - RU - Physical Therapy - on_lead</x:v>
      </x:c>
      <x:c r="E138" t="str">
        <x:v>OUTCOME_LEADS</x:v>
      </x:c>
      <x:c r="F138" t="str">
        <x:v>PAUSED</x:v>
      </x:c>
      <x:c r="G138" t="str">
        <x:v>PAUSED</x:v>
      </x:c>
      <x:c r="H138" t="str">
        <x:v>AUCTION</x:v>
      </x:c>
      <x:c r="I138" s="28" t="n">
        <x:v>0</x:v>
      </x:c>
      <x:c r="J138" s="28" t="n">
        <x:v>0</x:v>
      </x:c>
      <x:c r="K138" t="str">
        <x:v>2025-05-17T11:46:27+0300</x:v>
      </x:c>
      <x:c r="L138"/>
      <x:c r="M138" t="str">
        <x:v>2025-05-19T15:14:05+0300</x:v>
      </x:c>
    </x:row>
    <x:row r="139">
      <x:c r="A139" t="str">
        <x:v>act_170008509278498</x:v>
      </x:c>
      <x:c r="B139" t="str">
        <x:v>Doruk Hospital</x:v>
      </x:c>
      <x:c r="C139" t="str">
        <x:v>120226400025670080</x:v>
      </x:c>
      <x:c r="D139" t="str">
        <x:v>Fizik Tedavi - Intensive FTR - Arap Bölgesi - Tümü - AR - Physical Therapy - lead</x:v>
      </x:c>
      <x:c r="E139" t="str">
        <x:v>OUTCOME_LEADS</x:v>
      </x:c>
      <x:c r="F139" t="str">
        <x:v>PAUSED</x:v>
      </x:c>
      <x:c r="G139" t="str">
        <x:v>PAUSED</x:v>
      </x:c>
      <x:c r="H139" t="str">
        <x:v>AUCTION</x:v>
      </x:c>
      <x:c r="I139" s="28" t="n">
        <x:v>0</x:v>
      </x:c>
      <x:c r="J139" s="28" t="n">
        <x:v>0</x:v>
      </x:c>
      <x:c r="K139" t="str">
        <x:v>2025-07-05T11:09:28+0300</x:v>
      </x:c>
      <x:c r="L139"/>
      <x:c r="M139" t="str">
        <x:v>2025-10-03T14:47:03+0300</x:v>
      </x:c>
    </x:row>
    <x:row r="140">
      <x:c r="A140" t="str">
        <x:v>act_170008509278498</x:v>
      </x:c>
      <x:c r="B140" t="str">
        <x:v>Doruk Hospital</x:v>
      </x:c>
      <x:c r="C140" t="str">
        <x:v>120226400686870080</x:v>
      </x:c>
      <x:c r="D140" t="str">
        <x:v>Fizik Tedavi - Intensive FTR - Türki Cumhuriyetler - Tümü - RU - Physical Therapy - lead</x:v>
      </x:c>
      <x:c r="E140" t="str">
        <x:v>OUTCOME_LEADS</x:v>
      </x:c>
      <x:c r="F140" t="str">
        <x:v>PAUSED</x:v>
      </x:c>
      <x:c r="G140" t="str">
        <x:v>PAUSED</x:v>
      </x:c>
      <x:c r="H140" t="str">
        <x:v>AUCTION</x:v>
      </x:c>
      <x:c r="I140" s="28" t="n">
        <x:v>0</x:v>
      </x:c>
      <x:c r="J140" s="28" t="n">
        <x:v>0</x:v>
      </x:c>
      <x:c r="K140" t="str">
        <x:v>2025-07-05T11:14:17+0300</x:v>
      </x:c>
      <x:c r="L140"/>
      <x:c r="M140" t="str">
        <x:v>2025-10-03T00:16:50+0300</x:v>
      </x:c>
    </x:row>
    <x:row r="141">
      <x:c r="A141" t="str">
        <x:v>act_170008509278498</x:v>
      </x:c>
      <x:c r="B141" t="str">
        <x:v>Doruk Hospital</x:v>
      </x:c>
      <x:c r="C141" t="str">
        <x:v>120226565450880080</x:v>
      </x:c>
      <x:c r="D141" t="str">
        <x:v>Estetik - Genel - Dünya - Tümü - EN - Doruk Aesthetic Surgery - takipci</x:v>
      </x:c>
      <x:c r="E141" t="str">
        <x:v>OUTCOME_TRAFFIC</x:v>
      </x:c>
      <x:c r="F141" t="str">
        <x:v>PAUSED</x:v>
      </x:c>
      <x:c r="G141" t="str">
        <x:v>PAUSED</x:v>
      </x:c>
      <x:c r="H141" t="str">
        <x:v>AUCTION</x:v>
      </x:c>
      <x:c r="I141" s="28" t="n">
        <x:v>0</x:v>
      </x:c>
      <x:c r="J141" s="28" t="n">
        <x:v>0</x:v>
      </x:c>
      <x:c r="K141" t="str">
        <x:v>2025-07-08T12:01:33+0300</x:v>
      </x:c>
      <x:c r="L141"/>
      <x:c r="M141" t="str">
        <x:v>2025-07-25T15:36:17+0300</x:v>
      </x:c>
    </x:row>
    <x:row r="142">
      <x:c r="A142" t="str">
        <x:v>act_170008509278498</x:v>
      </x:c>
      <x:c r="B142" t="str">
        <x:v>Doruk Hospital</x:v>
      </x:c>
      <x:c r="C142" t="str">
        <x:v>120228102150610080</x:v>
      </x:c>
      <x:c r="D142" t="str">
        <x:v>Estetik -  Jinekomasti - Arap Bölgesi - Tümü - AR - Doruk Aesthetic Surgery - on_lead</x:v>
      </x:c>
      <x:c r="E142" t="str">
        <x:v>OUTCOME_LEADS</x:v>
      </x:c>
      <x:c r="F142" t="str">
        <x:v>PAUSED</x:v>
      </x:c>
      <x:c r="G142" t="str">
        <x:v>PAUSED</x:v>
      </x:c>
      <x:c r="H142" t="str">
        <x:v>AUCTION</x:v>
      </x:c>
      <x:c r="I142" s="28" t="n">
        <x:v>0</x:v>
      </x:c>
      <x:c r="J142" s="28" t="n">
        <x:v>0</x:v>
      </x:c>
      <x:c r="K142" t="str">
        <x:v>2025-07-26T11:34:44+0300</x:v>
      </x:c>
      <x:c r="L142"/>
      <x:c r="M142" t="str">
        <x:v>2026-07-28T11:36:32+0300</x:v>
      </x:c>
    </x:row>
    <x:row r="143">
      <x:c r="A143" t="str">
        <x:v>act_170008509278498</x:v>
      </x:c>
      <x:c r="B143" t="str">
        <x:v>Doruk Hospital</x:v>
      </x:c>
      <x:c r="C143" t="str">
        <x:v>120228111131150080</x:v>
      </x:c>
      <x:c r="D143" t="str">
        <x:v>Estetik - Jinekomasti - Türki Cumhuriyetler - Tümü - RU - Doruk Aesthetic Surgery - on_lead</x:v>
      </x:c>
      <x:c r="E143" t="str">
        <x:v>OUTCOME_LEADS</x:v>
      </x:c>
      <x:c r="F143" t="str">
        <x:v>PAUSED</x:v>
      </x:c>
      <x:c r="G143" t="str">
        <x:v>PAUSED</x:v>
      </x:c>
      <x:c r="H143" t="str">
        <x:v>AUCTION</x:v>
      </x:c>
      <x:c r="I143" s="28" t="n">
        <x:v>0</x:v>
      </x:c>
      <x:c r="J143" s="28" t="n">
        <x:v>0</x:v>
      </x:c>
      <x:c r="K143" t="str">
        <x:v>2025-07-26T12:05:34+0300</x:v>
      </x:c>
      <x:c r="L143"/>
      <x:c r="M143" t="str">
        <x:v>2025-07-26T13:52:12+0300</x:v>
      </x:c>
    </x:row>
    <x:row r="144">
      <x:c r="A144" t="str">
        <x:v>act_170008509278498</x:v>
      </x:c>
      <x:c r="B144" t="str">
        <x:v>Doruk Hospital</x:v>
      </x:c>
      <x:c r="C144" t="str">
        <x:v>120228125501480080</x:v>
      </x:c>
      <x:c r="D144" t="str">
        <x:v>Estetik - Genital Estetik - Türki Cumhuriyetler - Tümü - RU - Doruk Aesthetic Surgery-SAD</x:v>
      </x:c>
      <x:c r="E144" t="str">
        <x:v>OUTCOME_LEADS</x:v>
      </x:c>
      <x:c r="F144" t="str">
        <x:v>PAUSED</x:v>
      </x:c>
      <x:c r="G144" t="str">
        <x:v>PAUSED</x:v>
      </x:c>
      <x:c r="H144" t="str">
        <x:v>AUCTION</x:v>
      </x:c>
      <x:c r="I144" s="28" t="n">
        <x:v>0</x:v>
      </x:c>
      <x:c r="J144" s="28" t="n">
        <x:v>0</x:v>
      </x:c>
      <x:c r="K144" t="str">
        <x:v>2025-07-26T13:45:53+0300</x:v>
      </x:c>
      <x:c r="L144"/>
      <x:c r="M144" t="str">
        <x:v>2025-07-26T13:46:09+0300</x:v>
      </x:c>
    </x:row>
    <x:row r="145">
      <x:c r="A145" t="str">
        <x:v>act_170008509278498</x:v>
      </x:c>
      <x:c r="B145" t="str">
        <x:v>Doruk Hospital</x:v>
      </x:c>
      <x:c r="C145" t="str">
        <x:v>120228125604550080</x:v>
      </x:c>
      <x:c r="D145" t="str">
        <x:v>Estetik - Genel - Türki Cumhuriyetler - Tümü - RU - Doruk Aesthetic Surgery - on_lead</x:v>
      </x:c>
      <x:c r="E145" t="str">
        <x:v>OUTCOME_LEADS</x:v>
      </x:c>
      <x:c r="F145" t="str">
        <x:v>PAUSED</x:v>
      </x:c>
      <x:c r="G145" t="str">
        <x:v>PAUSED</x:v>
      </x:c>
      <x:c r="H145" t="str">
        <x:v>AUCTION</x:v>
      </x:c>
      <x:c r="I145" s="28" t="n">
        <x:v>0</x:v>
      </x:c>
      <x:c r="J145" s="28" t="n">
        <x:v>0</x:v>
      </x:c>
      <x:c r="K145" t="str">
        <x:v>2025-07-26T13:45:53+0300</x:v>
      </x:c>
      <x:c r="L145"/>
      <x:c r="M145" t="str">
        <x:v>2025-08-11T18:19:02+0300</x:v>
      </x:c>
    </x:row>
    <x:row r="146">
      <x:c r="A146" t="str">
        <x:v>act_170008509278498</x:v>
      </x:c>
      <x:c r="B146" t="str">
        <x:v>Doruk Hospital</x:v>
      </x:c>
      <x:c r="C146" t="str">
        <x:v>120231979592300080</x:v>
      </x:c>
      <x:c r="D146" t="str">
        <x:v>Instagram gönderisi: ‎‎خطوة نحو الشفاء... مع...</x:v>
      </x:c>
      <x:c r="E146" t="str">
        <x:v>LINK_CLICKS</x:v>
      </x:c>
      <x:c r="F146" t="str">
        <x:v>PAUSED</x:v>
      </x:c>
      <x:c r="G146" t="str">
        <x:v>PAUSED</x:v>
      </x:c>
      <x:c r="H146" t="str">
        <x:v>AUCTION</x:v>
      </x:c>
      <x:c r="I146" s="28" t="n">
        <x:v>2000</x:v>
      </x:c>
      <x:c r="J146" s="28" t="n">
        <x:v>0</x:v>
      </x:c>
      <x:c r="K146" t="str">
        <x:v>2025-09-24T20:49:43+0300</x:v>
      </x:c>
      <x:c r="L146" t="str">
        <x:v>2025-10-01T20:49:43+0300</x:v>
      </x:c>
      <x:c r="M146" t="str">
        <x:v>2025-09-25T18:10:57+0300</x:v>
      </x:c>
    </x:row>
    <x:row r="147">
      <x:c r="A147" t="str">
        <x:v>act_170008509278498</x:v>
      </x:c>
      <x:c r="B147" t="str">
        <x:v>Doruk Hospital</x:v>
      </x:c>
      <x:c r="C147" t="str">
        <x:v>120231979632650080</x:v>
      </x:c>
      <x:c r="D147" t="str">
        <x:v>Instagram gönderisi: ‎ابدأ رحلة علاجك بخطوة بسيطة...</x:v>
      </x:c>
      <x:c r="E147" t="str">
        <x:v>LINK_CLICKS</x:v>
      </x:c>
      <x:c r="F147" t="str">
        <x:v>PAUSED</x:v>
      </x:c>
      <x:c r="G147" t="str">
        <x:v>PAUSED</x:v>
      </x:c>
      <x:c r="H147" t="str">
        <x:v>AUCTION</x:v>
      </x:c>
      <x:c r="I147" s="28" t="n">
        <x:v>2000</x:v>
      </x:c>
      <x:c r="J147" s="28" t="n">
        <x:v>0</x:v>
      </x:c>
      <x:c r="K147" t="str">
        <x:v>2025-09-24T20:50:56+0300</x:v>
      </x:c>
      <x:c r="L147" t="str">
        <x:v>2025-10-01T20:50:56+0300</x:v>
      </x:c>
      <x:c r="M147" t="str">
        <x:v>2025-09-25T18:11:00+0300</x:v>
      </x:c>
    </x:row>
    <x:row r="148">
      <x:c r="A148" t="str">
        <x:v>act_170008509278498</x:v>
      </x:c>
      <x:c r="B148" t="str">
        <x:v>Doruk Hospital</x:v>
      </x:c>
      <x:c r="C148" t="str">
        <x:v>120231980058170080</x:v>
      </x:c>
      <x:c r="D148" t="str">
        <x:v>Instagram gönderisi: ‎‎إعادة التأهيل الحديثة في...</x:v>
      </x:c>
      <x:c r="E148" t="str">
        <x:v>LINK_CLICKS</x:v>
      </x:c>
      <x:c r="F148" t="str">
        <x:v>PAUSED</x:v>
      </x:c>
      <x:c r="G148" t="str">
        <x:v>PAUSED</x:v>
      </x:c>
      <x:c r="H148" t="str">
        <x:v>AUCTION</x:v>
      </x:c>
      <x:c r="I148" s="28" t="n">
        <x:v>3000</x:v>
      </x:c>
      <x:c r="J148" s="28" t="n">
        <x:v>0</x:v>
      </x:c>
      <x:c r="K148" t="str">
        <x:v>2025-09-24T21:00:59+0300</x:v>
      </x:c>
      <x:c r="L148" t="str">
        <x:v>2025-10-01T21:00:59+0300</x:v>
      </x:c>
      <x:c r="M148" t="str">
        <x:v>2025-09-25T18:11:10+0300</x:v>
      </x:c>
    </x:row>
    <x:row r="149">
      <x:c r="A149" t="str">
        <x:v>act_170008509278498</x:v>
      </x:c>
      <x:c r="B149" t="str">
        <x:v>Doruk Hospital</x:v>
      </x:c>
      <x:c r="C149" t="str">
        <x:v>120231980159640080</x:v>
      </x:c>
      <x:c r="D149" t="str">
        <x:v>Instagram gönderisi: ‎⁨	التقنيات الحديثة تُمكّن...</x:v>
      </x:c>
      <x:c r="E149" t="str">
        <x:v>LINK_CLICKS</x:v>
      </x:c>
      <x:c r="F149" t="str">
        <x:v>PAUSED</x:v>
      </x:c>
      <x:c r="G149" t="str">
        <x:v>PAUSED</x:v>
      </x:c>
      <x:c r="H149" t="str">
        <x:v>AUCTION</x:v>
      </x:c>
      <x:c r="I149" s="28" t="n">
        <x:v>3000</x:v>
      </x:c>
      <x:c r="J149" s="28" t="n">
        <x:v>0</x:v>
      </x:c>
      <x:c r="K149" t="str">
        <x:v>2025-09-24T21:06:50+0300</x:v>
      </x:c>
      <x:c r="L149" t="str">
        <x:v>2025-10-01T21:06:50+0300</x:v>
      </x:c>
      <x:c r="M149" t="str">
        <x:v>2025-09-25T18:10:36+0300</x:v>
      </x:c>
    </x:row>
    <x:row r="150">
      <x:c r="A150" t="str">
        <x:v>act_170008509278498</x:v>
      </x:c>
      <x:c r="B150" t="str">
        <x:v>Doruk Hospital</x:v>
      </x:c>
      <x:c r="C150" t="str">
        <x:v>120231980413140080</x:v>
      </x:c>
      <x:c r="D150" t="str">
        <x:v>Rusça Gönderiden Profil Ziyaret</x:v>
      </x:c>
      <x:c r="E150" t="str">
        <x:v>LINK_CLICKS</x:v>
      </x:c>
      <x:c r="F150" t="str">
        <x:v>PAUSED</x:v>
      </x:c>
      <x:c r="G150" t="str">
        <x:v>PAUSED</x:v>
      </x:c>
      <x:c r="H150" t="str">
        <x:v>AUCTION</x:v>
      </x:c>
      <x:c r="I150" s="28" t="n">
        <x:v>2000</x:v>
      </x:c>
      <x:c r="J150" s="28" t="n">
        <x:v>0</x:v>
      </x:c>
      <x:c r="K150" t="str">
        <x:v>2025-09-24T21:16:26+0300</x:v>
      </x:c>
      <x:c r="L150" t="str">
        <x:v>2025-10-01T21:16:26+0300</x:v>
      </x:c>
      <x:c r="M150" t="str">
        <x:v>2025-10-04T14:58:27+0300</x:v>
      </x:c>
    </x:row>
    <x:row r="151">
      <x:c r="A151" t="str">
        <x:v>act_170008509278498</x:v>
      </x:c>
      <x:c r="B151" t="str">
        <x:v>Doruk Hospital</x:v>
      </x:c>
      <x:c r="C151" t="str">
        <x:v>120231980474670080</x:v>
      </x:c>
      <x:c r="D151" t="str">
        <x:v>Rusça Gönderiden Profil Ziyaret</x:v>
      </x:c>
      <x:c r="E151" t="str">
        <x:v>LINK_CLICKS</x:v>
      </x:c>
      <x:c r="F151" t="str">
        <x:v>PAUSED</x:v>
      </x:c>
      <x:c r="G151" t="str">
        <x:v>PAUSED</x:v>
      </x:c>
      <x:c r="H151" t="str">
        <x:v>AUCTION</x:v>
      </x:c>
      <x:c r="I151" s="28" t="n">
        <x:v>3000</x:v>
      </x:c>
      <x:c r="J151" s="28" t="n">
        <x:v>0</x:v>
      </x:c>
      <x:c r="K151" t="str">
        <x:v>2025-09-24T21:17:52+0300</x:v>
      </x:c>
      <x:c r="L151" t="str">
        <x:v>2025-10-01T21:17:52+0300</x:v>
      </x:c>
      <x:c r="M151" t="str">
        <x:v>2025-10-06T19:06:47+0300</x:v>
      </x:c>
    </x:row>
    <x:row r="152">
      <x:c r="A152" t="str">
        <x:v>act_170008509278498</x:v>
      </x:c>
      <x:c r="B152" t="str">
        <x:v>Doruk Hospital</x:v>
      </x:c>
      <x:c r="C152" t="str">
        <x:v>120231980674570080</x:v>
      </x:c>
      <x:c r="D152" t="str">
        <x:v>Rusça Gönderiden Profil Ziyaret</x:v>
      </x:c>
      <x:c r="E152" t="str">
        <x:v>LINK_CLICKS</x:v>
      </x:c>
      <x:c r="F152" t="str">
        <x:v>PAUSED</x:v>
      </x:c>
      <x:c r="G152" t="str">
        <x:v>PAUSED</x:v>
      </x:c>
      <x:c r="H152" t="str">
        <x:v>AUCTION</x:v>
      </x:c>
      <x:c r="I152" s="28" t="n">
        <x:v>3000</x:v>
      </x:c>
      <x:c r="J152" s="28" t="n">
        <x:v>0</x:v>
      </x:c>
      <x:c r="K152" t="str">
        <x:v>2025-09-24T21:24:25+0300</x:v>
      </x:c>
      <x:c r="L152" t="str">
        <x:v>2025-10-01T21:24:25+0300</x:v>
      </x:c>
      <x:c r="M152" t="str">
        <x:v>2025-10-04T14:58:27+0300</x:v>
      </x:c>
    </x:row>
    <x:row r="153">
      <x:c r="A153" t="str">
        <x:v>act_170008509278498</x:v>
      </x:c>
      <x:c r="B153" t="str">
        <x:v>Doruk Hospital</x:v>
      </x:c>
      <x:c r="C153" t="str">
        <x:v>120231988176000080</x:v>
      </x:c>
      <x:c r="D153" t="str">
        <x:v>Rusça Gönderiden Profil Ziyaret</x:v>
      </x:c>
      <x:c r="E153" t="str">
        <x:v>LINK_CLICKS</x:v>
      </x:c>
      <x:c r="F153" t="str">
        <x:v>PAUSED</x:v>
      </x:c>
      <x:c r="G153" t="str">
        <x:v>PAUSED</x:v>
      </x:c>
      <x:c r="H153" t="str">
        <x:v>AUCTION</x:v>
      </x:c>
      <x:c r="I153" s="28" t="n">
        <x:v>2000</x:v>
      </x:c>
      <x:c r="J153" s="28" t="n">
        <x:v>0</x:v>
      </x:c>
      <x:c r="K153" t="str">
        <x:v>2025-09-25T00:12:08+0300</x:v>
      </x:c>
      <x:c r="L153" t="str">
        <x:v>2025-10-02T00:12:08+0300</x:v>
      </x:c>
      <x:c r="M153" t="str">
        <x:v>2025-10-04T14:58:26+0300</x:v>
      </x:c>
    </x:row>
    <x:row r="154">
      <x:c r="A154" t="str">
        <x:v>act_170008509278498</x:v>
      </x:c>
      <x:c r="B154" t="str">
        <x:v>Doruk Hospital</x:v>
      </x:c>
      <x:c r="C154" t="str">
        <x:v>120232022740530080</x:v>
      </x:c>
      <x:c r="D154" t="str">
        <x:v>Rusça Gönderiden Profil Ziyaret</x:v>
      </x:c>
      <x:c r="E154" t="str">
        <x:v>LINK_CLICKS</x:v>
      </x:c>
      <x:c r="F154" t="str">
        <x:v>PAUSED</x:v>
      </x:c>
      <x:c r="G154" t="str">
        <x:v>PAUSED</x:v>
      </x:c>
      <x:c r="H154" t="str">
        <x:v>AUCTION</x:v>
      </x:c>
      <x:c r="I154" s="28" t="n">
        <x:v>3500</x:v>
      </x:c>
      <x:c r="J154" s="28" t="n">
        <x:v>0</x:v>
      </x:c>
      <x:c r="K154" t="str">
        <x:v>2025-09-25T18:33:04+0300</x:v>
      </x:c>
      <x:c r="L154" t="str">
        <x:v>2025-10-02T18:33:04+0300</x:v>
      </x:c>
      <x:c r="M154" t="str">
        <x:v>2025-10-06T19:06:45+0300</x:v>
      </x:c>
    </x:row>
    <x:row r="155">
      <x:c r="A155" t="str">
        <x:v>act_170008509278498</x:v>
      </x:c>
      <x:c r="B155" t="str">
        <x:v>Doruk Hospital</x:v>
      </x:c>
      <x:c r="C155" t="str">
        <x:v>120232023048790080</x:v>
      </x:c>
      <x:c r="D155" t="str">
        <x:v>Rusça Gönderiden Profil Ziyaret</x:v>
      </x:c>
      <x:c r="E155" t="str">
        <x:v>LINK_CLICKS</x:v>
      </x:c>
      <x:c r="F155" t="str">
        <x:v>PAUSED</x:v>
      </x:c>
      <x:c r="G155" t="str">
        <x:v>PAUSED</x:v>
      </x:c>
      <x:c r="H155" t="str">
        <x:v>AUCTION</x:v>
      </x:c>
      <x:c r="I155" s="28" t="n">
        <x:v>1000</x:v>
      </x:c>
      <x:c r="J155" s="28" t="n">
        <x:v>0</x:v>
      </x:c>
      <x:c r="K155" t="str">
        <x:v>2025-09-25T18:44:38+0300</x:v>
      </x:c>
      <x:c r="L155" t="str">
        <x:v>2025-10-02T18:44:38+0300</x:v>
      </x:c>
      <x:c r="M155" t="str">
        <x:v>2025-10-06T19:06:45+0300</x:v>
      </x:c>
    </x:row>
    <x:row r="156">
      <x:c r="A156" t="str">
        <x:v>act_170008509278498</x:v>
      </x:c>
      <x:c r="B156" t="str">
        <x:v>Doruk Hospital</x:v>
      </x:c>
      <x:c r="C156" t="str">
        <x:v>120232023228260080</x:v>
      </x:c>
      <x:c r="D156" t="str">
        <x:v>Rusça Gönderiden Profil Ziyaret</x:v>
      </x:c>
      <x:c r="E156" t="str">
        <x:v>LINK_CLICKS</x:v>
      </x:c>
      <x:c r="F156" t="str">
        <x:v>PAUSED</x:v>
      </x:c>
      <x:c r="G156" t="str">
        <x:v>PAUSED</x:v>
      </x:c>
      <x:c r="H156" t="str">
        <x:v>AUCTION</x:v>
      </x:c>
      <x:c r="I156" s="28" t="n">
        <x:v>1000</x:v>
      </x:c>
      <x:c r="J156" s="28" t="n">
        <x:v>0</x:v>
      </x:c>
      <x:c r="K156" t="str">
        <x:v>2025-09-25T18:49:02+0300</x:v>
      </x:c>
      <x:c r="L156" t="str">
        <x:v>2025-10-02T18:49:02+0300</x:v>
      </x:c>
      <x:c r="M156" t="str">
        <x:v>2025-10-06T19:06:44+0300</x:v>
      </x:c>
    </x:row>
    <x:row r="157">
      <x:c r="A157" t="str">
        <x:v>act_170008509278498</x:v>
      </x:c>
      <x:c r="B157" t="str">
        <x:v>Doruk Hospital</x:v>
      </x:c>
      <x:c r="C157" t="str">
        <x:v>120232024114900080</x:v>
      </x:c>
      <x:c r="D157" t="str">
        <x:v>Arapça - Gönderiden Profili Ziyaret</x:v>
      </x:c>
      <x:c r="E157" t="str">
        <x:v>LINK_CLICKS</x:v>
      </x:c>
      <x:c r="F157" t="str">
        <x:v>PAUSED</x:v>
      </x:c>
      <x:c r="G157" t="str">
        <x:v>PAUSED</x:v>
      </x:c>
      <x:c r="H157" t="str">
        <x:v>AUCTION</x:v>
      </x:c>
      <x:c r="I157" s="28" t="n">
        <x:v>4000</x:v>
      </x:c>
      <x:c r="J157" s="28" t="n">
        <x:v>0</x:v>
      </x:c>
      <x:c r="K157" t="str">
        <x:v>2025-09-25T19:08:41+0300</x:v>
      </x:c>
      <x:c r="L157" t="str">
        <x:v>2025-10-02T19:08:41+0300</x:v>
      </x:c>
      <x:c r="M157" t="str">
        <x:v>2025-10-03T20:27:49+0300</x:v>
      </x:c>
    </x:row>
    <x:row r="158">
      <x:c r="A158" t="str">
        <x:v>act_170008509278498</x:v>
      </x:c>
      <x:c r="B158" t="str">
        <x:v>Doruk Hospital</x:v>
      </x:c>
      <x:c r="C158" t="str">
        <x:v>120232024227490080</x:v>
      </x:c>
      <x:c r="D158" t="str">
        <x:v>Arapça - Gönderiden Profili Ziyaret</x:v>
      </x:c>
      <x:c r="E158" t="str">
        <x:v>LINK_CLICKS</x:v>
      </x:c>
      <x:c r="F158" t="str">
        <x:v>PAUSED</x:v>
      </x:c>
      <x:c r="G158" t="str">
        <x:v>PAUSED</x:v>
      </x:c>
      <x:c r="H158" t="str">
        <x:v>AUCTION</x:v>
      </x:c>
      <x:c r="I158" s="28" t="n">
        <x:v>4000</x:v>
      </x:c>
      <x:c r="J158" s="28" t="n">
        <x:v>0</x:v>
      </x:c>
      <x:c r="K158" t="str">
        <x:v>2025-09-25T19:11:30+0300</x:v>
      </x:c>
      <x:c r="L158" t="str">
        <x:v>2025-10-02T19:11:30+0300</x:v>
      </x:c>
      <x:c r="M158" t="str">
        <x:v>2025-10-03T20:27:48+0300</x:v>
      </x:c>
    </x:row>
    <x:row r="159">
      <x:c r="A159" t="str">
        <x:v>act_170008509278498</x:v>
      </x:c>
      <x:c r="B159" t="str">
        <x:v>Doruk Hospital</x:v>
      </x:c>
      <x:c r="C159" t="str">
        <x:v>120232025240530080</x:v>
      </x:c>
      <x:c r="D159" t="str">
        <x:v>Arapça - Gönderiden Profili Ziyaret</x:v>
      </x:c>
      <x:c r="E159" t="str">
        <x:v>LINK_CLICKS</x:v>
      </x:c>
      <x:c r="F159" t="str">
        <x:v>PAUSED</x:v>
      </x:c>
      <x:c r="G159" t="str">
        <x:v>PAUSED</x:v>
      </x:c>
      <x:c r="H159" t="str">
        <x:v>AUCTION</x:v>
      </x:c>
      <x:c r="I159" s="28" t="n">
        <x:v>4000</x:v>
      </x:c>
      <x:c r="J159" s="28" t="n">
        <x:v>0</x:v>
      </x:c>
      <x:c r="K159" t="str">
        <x:v>2025-09-25T19:25:47+0300</x:v>
      </x:c>
      <x:c r="L159" t="str">
        <x:v>2025-10-02T19:25:47+0300</x:v>
      </x:c>
      <x:c r="M159" t="str">
        <x:v>2025-10-03T20:27:47+0300</x:v>
      </x:c>
    </x:row>
    <x:row r="160">
      <x:c r="A160" t="str">
        <x:v>act_170008509278498</x:v>
      </x:c>
      <x:c r="B160" t="str">
        <x:v>Doruk Hospital</x:v>
      </x:c>
      <x:c r="C160" t="str">
        <x:v>120232143232530080</x:v>
      </x:c>
      <x:c r="D160" t="str">
        <x:v>Arapça Gönderiden Mesajlaşma - FTR - Körfez (S.A hariç)</x:v>
      </x:c>
      <x:c r="E160" t="str">
        <x:v>MESSAGES</x:v>
      </x:c>
      <x:c r="F160" t="str">
        <x:v>PAUSED</x:v>
      </x:c>
      <x:c r="G160" t="str">
        <x:v>PAUSED</x:v>
      </x:c>
      <x:c r="H160" t="str">
        <x:v>AUCTION</x:v>
      </x:c>
      <x:c r="I160" s="28" t="n">
        <x:v>4000</x:v>
      </x:c>
      <x:c r="J160" s="28" t="n">
        <x:v>0</x:v>
      </x:c>
      <x:c r="K160" t="str">
        <x:v>2025-09-27T18:52:44+0300</x:v>
      </x:c>
      <x:c r="L160"/>
      <x:c r="M160" t="str">
        <x:v>2025-10-03T18:35:50+0300</x:v>
      </x:c>
    </x:row>
    <x:row r="161">
      <x:c r="A161" t="str">
        <x:v>act_170008509278498</x:v>
      </x:c>
      <x:c r="B161" t="str">
        <x:v>Doruk Hospital</x:v>
      </x:c>
      <x:c r="C161" t="str">
        <x:v>120232145380130080</x:v>
      </x:c>
      <x:c r="D161" t="str">
        <x:v>Rusça Gönderiden Mesajlaşma - FTR - Kazakistan</x:v>
      </x:c>
      <x:c r="E161" t="str">
        <x:v>MESSAGES</x:v>
      </x:c>
      <x:c r="F161" t="str">
        <x:v>PAUSED</x:v>
      </x:c>
      <x:c r="G161" t="str">
        <x:v>PAUSED</x:v>
      </x:c>
      <x:c r="H161" t="str">
        <x:v>AUCTION</x:v>
      </x:c>
      <x:c r="I161" s="28" t="n">
        <x:v>1500</x:v>
      </x:c>
      <x:c r="J161" s="28" t="n">
        <x:v>0</x:v>
      </x:c>
      <x:c r="K161" t="str">
        <x:v>2025-09-27T19:36:59+0300</x:v>
      </x:c>
      <x:c r="L161"/>
      <x:c r="M161" t="str">
        <x:v>2025-10-03T22:10:14+0300</x:v>
      </x:c>
    </x:row>
    <x:row r="162">
      <x:c r="A162" t="str">
        <x:v>act_170008509278498</x:v>
      </x:c>
      <x:c r="B162" t="str">
        <x:v>Doruk Hospital</x:v>
      </x:c>
      <x:c r="C162" t="str">
        <x:v>120232145860610080</x:v>
      </x:c>
      <x:c r="D162" t="str">
        <x:v>Rusça Gönderiden Mesajlaşma - FTR - Ukrayna</x:v>
      </x:c>
      <x:c r="E162" t="str">
        <x:v>MESSAGES</x:v>
      </x:c>
      <x:c r="F162" t="str">
        <x:v>PAUSED</x:v>
      </x:c>
      <x:c r="G162" t="str">
        <x:v>PAUSED</x:v>
      </x:c>
      <x:c r="H162" t="str">
        <x:v>AUCTION</x:v>
      </x:c>
      <x:c r="I162" s="28" t="n">
        <x:v>1000</x:v>
      </x:c>
      <x:c r="J162" s="28" t="n">
        <x:v>0</x:v>
      </x:c>
      <x:c r="K162" t="str">
        <x:v>2025-09-27T19:45:34+0300</x:v>
      </x:c>
      <x:c r="L162"/>
      <x:c r="M162" t="str">
        <x:v>2025-10-03T22:09:21+0300</x:v>
      </x:c>
    </x:row>
    <x:row r="163">
      <x:c r="A163" t="str">
        <x:v>act_170008509278498</x:v>
      </x:c>
      <x:c r="B163" t="str">
        <x:v>Doruk Hospital</x:v>
      </x:c>
      <x:c r="C163" t="str">
        <x:v>120232146392950080</x:v>
      </x:c>
      <x:c r="D163" t="str">
        <x:v>Rusça Gönderiden Mesajlaşma - FTR - Özbekistan+Kırgızistan</x:v>
      </x:c>
      <x:c r="E163" t="str">
        <x:v>MESSAGES</x:v>
      </x:c>
      <x:c r="F163" t="str">
        <x:v>PAUSED</x:v>
      </x:c>
      <x:c r="G163" t="str">
        <x:v>PAUSED</x:v>
      </x:c>
      <x:c r="H163" t="str">
        <x:v>AUCTION</x:v>
      </x:c>
      <x:c r="I163" s="28" t="n">
        <x:v>1000</x:v>
      </x:c>
      <x:c r="J163" s="28" t="n">
        <x:v>0</x:v>
      </x:c>
      <x:c r="K163" t="str">
        <x:v>2025-09-27T19:49:24+0300</x:v>
      </x:c>
      <x:c r="L163"/>
      <x:c r="M163" t="str">
        <x:v>2025-10-03T22:08:24+0300</x:v>
      </x:c>
    </x:row>
    <x:row r="164">
      <x:c r="A164" t="str">
        <x:v>act_170008509278498</x:v>
      </x:c>
      <x:c r="B164" t="str">
        <x:v>Doruk Hospital</x:v>
      </x:c>
      <x:c r="C164" t="str">
        <x:v>120232311417850080</x:v>
      </x:c>
      <x:c r="D164" t="str">
        <x:v>Arapça Gönderiden Mesajlaşma - FTR - Tüm Arap</x:v>
      </x:c>
      <x:c r="E164" t="str">
        <x:v>MESSAGES</x:v>
      </x:c>
      <x:c r="F164" t="str">
        <x:v>PAUSED</x:v>
      </x:c>
      <x:c r="G164" t="str">
        <x:v>PAUSED</x:v>
      </x:c>
      <x:c r="H164" t="str">
        <x:v>AUCTION</x:v>
      </x:c>
      <x:c r="I164" s="28" t="n">
        <x:v>4000</x:v>
      </x:c>
      <x:c r="J164" s="28" t="n">
        <x:v>0</x:v>
      </x:c>
      <x:c r="K164" t="str">
        <x:v>2025-09-30T22:02:52+0300</x:v>
      </x:c>
      <x:c r="L164"/>
      <x:c r="M164" t="str">
        <x:v>2025-10-03T18:35:36+0300</x:v>
      </x:c>
    </x:row>
    <x:row r="165">
      <x:c r="A165" t="str">
        <x:v>act_170008509278498</x:v>
      </x:c>
      <x:c r="B165" t="str">
        <x:v>Doruk Hospital</x:v>
      </x:c>
      <x:c r="C165" t="str">
        <x:v>120232382033210080</x:v>
      </x:c>
      <x:c r="D165" t="str">
        <x:v>Fizik Tedavi - Intensive FTR - Türki Cumhuriyetler - Tümü - RU - Lechenie v Turtsii - lead</x:v>
      </x:c>
      <x:c r="E165" t="str">
        <x:v>OUTCOME_LEADS</x:v>
      </x:c>
      <x:c r="F165" t="str">
        <x:v>ACTIVE</x:v>
      </x:c>
      <x:c r="G165" t="str">
        <x:v>ACTIVE</x:v>
      </x:c>
      <x:c r="H165" t="str">
        <x:v>AUCTION</x:v>
      </x:c>
      <x:c r="I165" s="28" t="n">
        <x:v>0</x:v>
      </x:c>
      <x:c r="J165" s="28" t="n">
        <x:v>0</x:v>
      </x:c>
      <x:c r="K165" t="str">
        <x:v>2025-10-02T10:00:53+0300</x:v>
      </x:c>
      <x:c r="L165"/>
      <x:c r="M165" t="str">
        <x:v>2026-03-30T11:05:10+0300</x:v>
      </x:c>
    </x:row>
    <x:row r="166">
      <x:c r="A166" t="str">
        <x:v>act_170008509278498</x:v>
      </x:c>
      <x:c r="B166" t="str">
        <x:v>Doruk Hospital</x:v>
      </x:c>
      <x:c r="C166" t="str">
        <x:v>120232423822490080</x:v>
      </x:c>
      <x:c r="D166" t="str">
        <x:v>Rusça Gönderiden Profil Ziyaret</x:v>
      </x:c>
      <x:c r="E166" t="str">
        <x:v>LINK_CLICKS</x:v>
      </x:c>
      <x:c r="F166" t="str">
        <x:v>PAUSED</x:v>
      </x:c>
      <x:c r="G166" t="str">
        <x:v>PAUSED</x:v>
      </x:c>
      <x:c r="H166" t="str">
        <x:v>AUCTION</x:v>
      </x:c>
      <x:c r="I166" s="28" t="n">
        <x:v>2000</x:v>
      </x:c>
      <x:c r="J166" s="28" t="n">
        <x:v>0</x:v>
      </x:c>
      <x:c r="K166" t="str">
        <x:v>2025-10-03T02:38:50+0300</x:v>
      </x:c>
      <x:c r="L166" t="str">
        <x:v>2025-10-10T02:38:50+0300</x:v>
      </x:c>
      <x:c r="M166" t="str">
        <x:v>2025-10-03T22:08:04+0300</x:v>
      </x:c>
    </x:row>
    <x:row r="167">
      <x:c r="A167" t="str">
        <x:v>act_170008509278498</x:v>
      </x:c>
      <x:c r="B167" t="str">
        <x:v>Doruk Hospital</x:v>
      </x:c>
      <x:c r="C167" t="str">
        <x:v>120232423881110080</x:v>
      </x:c>
      <x:c r="D167" t="str">
        <x:v>Rusça Gönderiden Profil Ziyaret</x:v>
      </x:c>
      <x:c r="E167" t="str">
        <x:v>LINK_CLICKS</x:v>
      </x:c>
      <x:c r="F167" t="str">
        <x:v>PAUSED</x:v>
      </x:c>
      <x:c r="G167" t="str">
        <x:v>PAUSED</x:v>
      </x:c>
      <x:c r="H167" t="str">
        <x:v>AUCTION</x:v>
      </x:c>
      <x:c r="I167" s="28" t="n">
        <x:v>2000</x:v>
      </x:c>
      <x:c r="J167" s="28" t="n">
        <x:v>0</x:v>
      </x:c>
      <x:c r="K167" t="str">
        <x:v>2025-10-03T02:40:45+0300</x:v>
      </x:c>
      <x:c r="L167" t="str">
        <x:v>2025-10-10T02:40:45+0300</x:v>
      </x:c>
      <x:c r="M167" t="str">
        <x:v>2025-10-03T22:06:15+0300</x:v>
      </x:c>
    </x:row>
    <x:row r="168">
      <x:c r="A168" t="str">
        <x:v>act_170008509278498</x:v>
      </x:c>
      <x:c r="B168" t="str">
        <x:v>Doruk Hospital</x:v>
      </x:c>
      <x:c r="C168" t="str">
        <x:v>120232423930470080</x:v>
      </x:c>
      <x:c r="D168" t="str">
        <x:v>Rusça Gönderiden Profil Ziyaret</x:v>
      </x:c>
      <x:c r="E168" t="str">
        <x:v>LINK_CLICKS</x:v>
      </x:c>
      <x:c r="F168" t="str">
        <x:v>PAUSED</x:v>
      </x:c>
      <x:c r="G168" t="str">
        <x:v>PAUSED</x:v>
      </x:c>
      <x:c r="H168" t="str">
        <x:v>AUCTION</x:v>
      </x:c>
      <x:c r="I168" s="28" t="n">
        <x:v>2000</x:v>
      </x:c>
      <x:c r="J168" s="28" t="n">
        <x:v>0</x:v>
      </x:c>
      <x:c r="K168" t="str">
        <x:v>2025-10-03T02:43:38+0300</x:v>
      </x:c>
      <x:c r="L168" t="str">
        <x:v>2025-10-10T02:43:38+0300</x:v>
      </x:c>
      <x:c r="M168" t="str">
        <x:v>2025-10-03T22:06:03+0300</x:v>
      </x:c>
    </x:row>
    <x:row r="169">
      <x:c r="A169" t="str">
        <x:v>act_170008509278498</x:v>
      </x:c>
      <x:c r="B169" t="str">
        <x:v>Doruk Hospital</x:v>
      </x:c>
      <x:c r="C169" t="str">
        <x:v>120232423945640080</x:v>
      </x:c>
      <x:c r="D169" t="str">
        <x:v>Rusça Gönderiden Profil Ziyaret</x:v>
      </x:c>
      <x:c r="E169" t="str">
        <x:v>LINK_CLICKS</x:v>
      </x:c>
      <x:c r="F169" t="str">
        <x:v>PAUSED</x:v>
      </x:c>
      <x:c r="G169" t="str">
        <x:v>PAUSED</x:v>
      </x:c>
      <x:c r="H169" t="str">
        <x:v>AUCTION</x:v>
      </x:c>
      <x:c r="I169" s="28" t="n">
        <x:v>2000</x:v>
      </x:c>
      <x:c r="J169" s="28" t="n">
        <x:v>0</x:v>
      </x:c>
      <x:c r="K169" t="str">
        <x:v>2025-10-03T02:45:24+0300</x:v>
      </x:c>
      <x:c r="L169" t="str">
        <x:v>2025-10-10T02:45:24+0300</x:v>
      </x:c>
      <x:c r="M169" t="str">
        <x:v>2025-10-03T22:05:53+0300</x:v>
      </x:c>
    </x:row>
    <x:row r="170">
      <x:c r="A170" t="str">
        <x:v>act_170008509278498</x:v>
      </x:c>
      <x:c r="B170" t="str">
        <x:v>Doruk Hospital</x:v>
      </x:c>
      <x:c r="C170" t="str">
        <x:v>120232423963210080</x:v>
      </x:c>
      <x:c r="D170" t="str">
        <x:v>Rusça Gönderiden Profil Ziyaret</x:v>
      </x:c>
      <x:c r="E170" t="str">
        <x:v>LINK_CLICKS</x:v>
      </x:c>
      <x:c r="F170" t="str">
        <x:v>PAUSED</x:v>
      </x:c>
      <x:c r="G170" t="str">
        <x:v>PAUSED</x:v>
      </x:c>
      <x:c r="H170" t="str">
        <x:v>AUCTION</x:v>
      </x:c>
      <x:c r="I170" s="28" t="n">
        <x:v>2000</x:v>
      </x:c>
      <x:c r="J170" s="28" t="n">
        <x:v>0</x:v>
      </x:c>
      <x:c r="K170" t="str">
        <x:v>2025-10-03T02:46:54+0300</x:v>
      </x:c>
      <x:c r="L170" t="str">
        <x:v>2025-10-10T02:46:54+0300</x:v>
      </x:c>
      <x:c r="M170" t="str">
        <x:v>2025-10-03T22:05:42+0300</x:v>
      </x:c>
    </x:row>
    <x:row r="171">
      <x:c r="A171" t="str">
        <x:v>act_170008509278498</x:v>
      </x:c>
      <x:c r="B171" t="str">
        <x:v>Doruk Hospital</x:v>
      </x:c>
      <x:c r="C171" t="str">
        <x:v>120232423975420080</x:v>
      </x:c>
      <x:c r="D171" t="str">
        <x:v>Rusça Gönderiden Profil Ziyaret</x:v>
      </x:c>
      <x:c r="E171" t="str">
        <x:v>LINK_CLICKS</x:v>
      </x:c>
      <x:c r="F171" t="str">
        <x:v>PAUSED</x:v>
      </x:c>
      <x:c r="G171" t="str">
        <x:v>PAUSED</x:v>
      </x:c>
      <x:c r="H171" t="str">
        <x:v>AUCTION</x:v>
      </x:c>
      <x:c r="I171" s="28" t="n">
        <x:v>2000</x:v>
      </x:c>
      <x:c r="J171" s="28" t="n">
        <x:v>0</x:v>
      </x:c>
      <x:c r="K171" t="str">
        <x:v>2025-10-03T02:48:11+0300</x:v>
      </x:c>
      <x:c r="L171" t="str">
        <x:v>2025-10-10T02:48:11+0300</x:v>
      </x:c>
      <x:c r="M171" t="str">
        <x:v>2025-10-03T22:05:34+0300</x:v>
      </x:c>
    </x:row>
    <x:row r="172">
      <x:c r="A172" t="str">
        <x:v>act_170008509278498</x:v>
      </x:c>
      <x:c r="B172" t="str">
        <x:v>Doruk Hospital</x:v>
      </x:c>
      <x:c r="C172" t="str">
        <x:v>120232435509150080</x:v>
      </x:c>
      <x:c r="D172" t="str">
        <x:v>Fizik Tedavi - Intensive FTR - Arap Bölgesi - Tümü - AR - Doruk İlaj Turkia - lead</x:v>
      </x:c>
      <x:c r="E172" t="str">
        <x:v>OUTCOME_LEADS</x:v>
      </x:c>
      <x:c r="F172" t="str">
        <x:v>PAUSED</x:v>
      </x:c>
      <x:c r="G172" t="str">
        <x:v>PAUSED</x:v>
      </x:c>
      <x:c r="H172" t="str">
        <x:v>AUCTION</x:v>
      </x:c>
      <x:c r="I172" s="28" t="n">
        <x:v>0</x:v>
      </x:c>
      <x:c r="J172" s="28" t="n">
        <x:v>0</x:v>
      </x:c>
      <x:c r="K172" t="str">
        <x:v>2025-10-03T15:07:20+0300</x:v>
      </x:c>
      <x:c r="L172"/>
      <x:c r="M172" t="str">
        <x:v>2026-05-04T15:16:23+0300</x:v>
      </x:c>
    </x:row>
    <x:row r="173">
      <x:c r="A173" t="str">
        <x:v>act_170008509278498</x:v>
      </x:c>
      <x:c r="B173" t="str">
        <x:v>Doruk Hospital</x:v>
      </x:c>
      <x:c r="C173" t="str">
        <x:v>120232463977480080</x:v>
      </x:c>
      <x:c r="D173" t="str">
        <x:v>Arapça FTR Körfez Trafik</x:v>
      </x:c>
      <x:c r="E173" t="str">
        <x:v>LINK_CLICKS</x:v>
      </x:c>
      <x:c r="F173" t="str">
        <x:v>PAUSED</x:v>
      </x:c>
      <x:c r="G173" t="str">
        <x:v>PAUSED</x:v>
      </x:c>
      <x:c r="H173" t="str">
        <x:v>AUCTION</x:v>
      </x:c>
      <x:c r="I173" s="28" t="n">
        <x:v>3000</x:v>
      </x:c>
      <x:c r="J173" s="28" t="n">
        <x:v>0</x:v>
      </x:c>
      <x:c r="K173" t="str">
        <x:v>2025-10-03T18:56:49+0300</x:v>
      </x:c>
      <x:c r="L173"/>
      <x:c r="M173" t="str">
        <x:v>2025-10-05T00:58:35+0300</x:v>
      </x:c>
    </x:row>
    <x:row r="174">
      <x:c r="A174" t="str">
        <x:v>act_170008509278498</x:v>
      </x:c>
      <x:c r="B174" t="str">
        <x:v>Doruk Hospital</x:v>
      </x:c>
      <x:c r="C174" t="str">
        <x:v>120232467477010080</x:v>
      </x:c>
      <x:c r="D174" t="str">
        <x:v>Arapça FTR Körfez Trafik</x:v>
      </x:c>
      <x:c r="E174" t="str">
        <x:v>LINK_CLICKS</x:v>
      </x:c>
      <x:c r="F174" t="str">
        <x:v>PAUSED</x:v>
      </x:c>
      <x:c r="G174" t="str">
        <x:v>PAUSED</x:v>
      </x:c>
      <x:c r="H174" t="str">
        <x:v>AUCTION</x:v>
      </x:c>
      <x:c r="I174" s="28" t="n">
        <x:v>3000</x:v>
      </x:c>
      <x:c r="J174" s="28" t="n">
        <x:v>0</x:v>
      </x:c>
      <x:c r="K174" t="str">
        <x:v>2025-10-03T19:46:38+0300</x:v>
      </x:c>
      <x:c r="L174"/>
      <x:c r="M174" t="str">
        <x:v>2025-10-05T00:46:36+0300</x:v>
      </x:c>
    </x:row>
    <x:row r="175">
      <x:c r="A175" t="str">
        <x:v>act_170008509278498</x:v>
      </x:c>
      <x:c r="B175" t="str">
        <x:v>Doruk Hospital</x:v>
      </x:c>
      <x:c r="C175" t="str">
        <x:v>120232468339280080</x:v>
      </x:c>
      <x:c r="D175" t="str">
        <x:v>Arapça Onko Körfez Trafik</x:v>
      </x:c>
      <x:c r="E175" t="str">
        <x:v>LINK_CLICKS</x:v>
      </x:c>
      <x:c r="F175" t="str">
        <x:v>PAUSED</x:v>
      </x:c>
      <x:c r="G175" t="str">
        <x:v>PAUSED</x:v>
      </x:c>
      <x:c r="H175" t="str">
        <x:v>AUCTION</x:v>
      </x:c>
      <x:c r="I175" s="28" t="n">
        <x:v>4000</x:v>
      </x:c>
      <x:c r="J175" s="28" t="n">
        <x:v>0</x:v>
      </x:c>
      <x:c r="K175" t="str">
        <x:v>2025-10-03T20:18:01+0300</x:v>
      </x:c>
      <x:c r="L175"/>
      <x:c r="M175" t="str">
        <x:v>2025-10-05T00:46:26+0300</x:v>
      </x:c>
    </x:row>
    <x:row r="176">
      <x:c r="A176" t="str">
        <x:v>act_170008509278498</x:v>
      </x:c>
      <x:c r="B176" t="str">
        <x:v>Doruk Hospital</x:v>
      </x:c>
      <x:c r="C176" t="str">
        <x:v>120232468462160080</x:v>
      </x:c>
      <x:c r="D176" t="str">
        <x:v>Arapça Onko Körfez Trafik</x:v>
      </x:c>
      <x:c r="E176" t="str">
        <x:v>LINK_CLICKS</x:v>
      </x:c>
      <x:c r="F176" t="str">
        <x:v>PAUSED</x:v>
      </x:c>
      <x:c r="G176" t="str">
        <x:v>PAUSED</x:v>
      </x:c>
      <x:c r="H176" t="str">
        <x:v>AUCTION</x:v>
      </x:c>
      <x:c r="I176" s="28" t="n">
        <x:v>4000</x:v>
      </x:c>
      <x:c r="J176" s="28" t="n">
        <x:v>0</x:v>
      </x:c>
      <x:c r="K176" t="str">
        <x:v>2025-10-03T20:22:56+0300</x:v>
      </x:c>
      <x:c r="L176" t="str">
        <x:v>2025-10-09T20:22:56+0300</x:v>
      </x:c>
      <x:c r="M176" t="str">
        <x:v>2025-10-05T00:46:16+0300</x:v>
      </x:c>
    </x:row>
    <x:row r="177">
      <x:c r="A177" t="str">
        <x:v>act_170008509278498</x:v>
      </x:c>
      <x:c r="B177" t="str">
        <x:v>Doruk Hospital</x:v>
      </x:c>
      <x:c r="C177" t="str">
        <x:v>120232468496200080</x:v>
      </x:c>
      <x:c r="D177" t="str">
        <x:v>Arapça Onko Körfez Trafik</x:v>
      </x:c>
      <x:c r="E177" t="str">
        <x:v>LINK_CLICKS</x:v>
      </x:c>
      <x:c r="F177" t="str">
        <x:v>PAUSED</x:v>
      </x:c>
      <x:c r="G177" t="str">
        <x:v>PAUSED</x:v>
      </x:c>
      <x:c r="H177" t="str">
        <x:v>AUCTION</x:v>
      </x:c>
      <x:c r="I177" s="28" t="n">
        <x:v>4000</x:v>
      </x:c>
      <x:c r="J177" s="28" t="n">
        <x:v>0</x:v>
      </x:c>
      <x:c r="K177" t="str">
        <x:v>2025-10-03T20:25:35+0300</x:v>
      </x:c>
      <x:c r="L177"/>
      <x:c r="M177" t="str">
        <x:v>2025-10-05T00:46:08+0300</x:v>
      </x:c>
    </x:row>
    <x:row r="178">
      <x:c r="A178" t="str">
        <x:v>act_170008509278498</x:v>
      </x:c>
      <x:c r="B178" t="str">
        <x:v>Doruk Hospital</x:v>
      </x:c>
      <x:c r="C178" t="str">
        <x:v>120232473441090080</x:v>
      </x:c>
      <x:c r="D178" t="str">
        <x:v>Arapça FTR Körfez Trafik</x:v>
      </x:c>
      <x:c r="E178" t="str">
        <x:v>LINK_CLICKS</x:v>
      </x:c>
      <x:c r="F178" t="str">
        <x:v>PAUSED</x:v>
      </x:c>
      <x:c r="G178" t="str">
        <x:v>PAUSED</x:v>
      </x:c>
      <x:c r="H178" t="str">
        <x:v>AUCTION</x:v>
      </x:c>
      <x:c r="I178" s="28" t="n">
        <x:v>3000</x:v>
      </x:c>
      <x:c r="J178" s="28" t="n">
        <x:v>0</x:v>
      </x:c>
      <x:c r="K178" t="str">
        <x:v>2025-10-03T22:16:53+0300</x:v>
      </x:c>
      <x:c r="L178"/>
      <x:c r="M178" t="str">
        <x:v>2025-10-05T00:45:47+0300</x:v>
      </x:c>
    </x:row>
    <x:row r="179">
      <x:c r="A179" t="str">
        <x:v>act_170008509278498</x:v>
      </x:c>
      <x:c r="B179" t="str">
        <x:v>Doruk Hospital</x:v>
      </x:c>
      <x:c r="C179" t="str">
        <x:v>120232473555680080</x:v>
      </x:c>
      <x:c r="D179" t="str">
        <x:v>Arapça FTR Körfez Trafik</x:v>
      </x:c>
      <x:c r="E179" t="str">
        <x:v>LINK_CLICKS</x:v>
      </x:c>
      <x:c r="F179" t="str">
        <x:v>PAUSED</x:v>
      </x:c>
      <x:c r="G179" t="str">
        <x:v>PAUSED</x:v>
      </x:c>
      <x:c r="H179" t="str">
        <x:v>AUCTION</x:v>
      </x:c>
      <x:c r="I179" s="28" t="n">
        <x:v>3000</x:v>
      </x:c>
      <x:c r="J179" s="28" t="n">
        <x:v>0</x:v>
      </x:c>
      <x:c r="K179" t="str">
        <x:v>2025-10-03T22:20:07+0300</x:v>
      </x:c>
      <x:c r="L179"/>
      <x:c r="M179" t="str">
        <x:v>2025-10-05T00:21:44+0300</x:v>
      </x:c>
    </x:row>
    <x:row r="180">
      <x:c r="A180" t="str">
        <x:v>act_170008509278498</x:v>
      </x:c>
      <x:c r="B180" t="str">
        <x:v>Doruk Hospital</x:v>
      </x:c>
      <x:c r="C180" t="str">
        <x:v>120232473626750080</x:v>
      </x:c>
      <x:c r="D180" t="str">
        <x:v>Lechenie Trafik - RU</x:v>
      </x:c>
      <x:c r="E180" t="str">
        <x:v>OUTCOME_TRAFFIC</x:v>
      </x:c>
      <x:c r="F180" t="str">
        <x:v>PAUSED</x:v>
      </x:c>
      <x:c r="G180" t="str">
        <x:v>PAUSED</x:v>
      </x:c>
      <x:c r="H180" t="str">
        <x:v>AUCTION</x:v>
      </x:c>
      <x:c r="I180" s="28" t="n">
        <x:v>0</x:v>
      </x:c>
      <x:c r="J180" s="28" t="n">
        <x:v>0</x:v>
      </x:c>
      <x:c r="K180" t="str">
        <x:v>2025-10-03T22:24:56+0300</x:v>
      </x:c>
      <x:c r="L180"/>
      <x:c r="M180" t="str">
        <x:v>2025-10-04T23:54:27+0300</x:v>
      </x:c>
    </x:row>
    <x:row r="181">
      <x:c r="A181" t="str">
        <x:v>act_170008509278498</x:v>
      </x:c>
      <x:c r="B181" t="str">
        <x:v>Doruk Hospital</x:v>
      </x:c>
      <x:c r="C181" t="str">
        <x:v>120232526043030080</x:v>
      </x:c>
      <x:c r="D181" t="str">
        <x:v>Rusça Onkoloji Kazakistan Profilden Ziyaret</x:v>
      </x:c>
      <x:c r="E181" t="str">
        <x:v>LINK_CLICKS</x:v>
      </x:c>
      <x:c r="F181" t="str">
        <x:v>PAUSED</x:v>
      </x:c>
      <x:c r="G181" t="str">
        <x:v>PAUSED</x:v>
      </x:c>
      <x:c r="H181" t="str">
        <x:v>AUCTION</x:v>
      </x:c>
      <x:c r="I181" s="28" t="n">
        <x:v>4000</x:v>
      </x:c>
      <x:c r="J181" s="28" t="n">
        <x:v>0</x:v>
      </x:c>
      <x:c r="K181" t="str">
        <x:v>2025-10-04T21:22:11+0300</x:v>
      </x:c>
      <x:c r="L181"/>
      <x:c r="M181" t="str">
        <x:v>2025-10-06T19:06:20+0300</x:v>
      </x:c>
    </x:row>
    <x:row r="182">
      <x:c r="A182" t="str">
        <x:v>act_170008509278498</x:v>
      </x:c>
      <x:c r="B182" t="str">
        <x:v>Doruk Hospital</x:v>
      </x:c>
      <x:c r="C182" t="str">
        <x:v>120232526096800080</x:v>
      </x:c>
      <x:c r="D182" t="str">
        <x:v>Rusça Onkoloji Kazakistan Profilden Ziyaret</x:v>
      </x:c>
      <x:c r="E182" t="str">
        <x:v>LINK_CLICKS</x:v>
      </x:c>
      <x:c r="F182" t="str">
        <x:v>PAUSED</x:v>
      </x:c>
      <x:c r="G182" t="str">
        <x:v>PAUSED</x:v>
      </x:c>
      <x:c r="H182" t="str">
        <x:v>AUCTION</x:v>
      </x:c>
      <x:c r="I182" s="28" t="n">
        <x:v>4000</x:v>
      </x:c>
      <x:c r="J182" s="28" t="n">
        <x:v>0</x:v>
      </x:c>
      <x:c r="K182" t="str">
        <x:v>2025-10-04T21:25:36+0300</x:v>
      </x:c>
      <x:c r="L182"/>
      <x:c r="M182" t="str">
        <x:v>2025-10-06T19:06:21+0300</x:v>
      </x:c>
    </x:row>
    <x:row r="183">
      <x:c r="A183" t="str">
        <x:v>act_170008509278498</x:v>
      </x:c>
      <x:c r="B183" t="str">
        <x:v>Doruk Hospital</x:v>
      </x:c>
      <x:c r="C183" t="str">
        <x:v>120232526108390080</x:v>
      </x:c>
      <x:c r="D183" t="str">
        <x:v>Rusça FTR Kazakistan Profilden Ziyaret</x:v>
      </x:c>
      <x:c r="E183" t="str">
        <x:v>LINK_CLICKS</x:v>
      </x:c>
      <x:c r="F183" t="str">
        <x:v>PAUSED</x:v>
      </x:c>
      <x:c r="G183" t="str">
        <x:v>PAUSED</x:v>
      </x:c>
      <x:c r="H183" t="str">
        <x:v>AUCTION</x:v>
      </x:c>
      <x:c r="I183" s="28" t="n">
        <x:v>1500</x:v>
      </x:c>
      <x:c r="J183" s="28" t="n">
        <x:v>0</x:v>
      </x:c>
      <x:c r="K183" t="str">
        <x:v>2025-10-04T21:28:50+0300</x:v>
      </x:c>
      <x:c r="L183"/>
      <x:c r="M183" t="str">
        <x:v>2025-10-06T19:06:21+0300</x:v>
      </x:c>
    </x:row>
    <x:row r="184">
      <x:c r="A184" t="str">
        <x:v>act_170008509278498</x:v>
      </x:c>
      <x:c r="B184" t="str">
        <x:v>Doruk Hospital</x:v>
      </x:c>
      <x:c r="C184" t="str">
        <x:v>120232526142570080</x:v>
      </x:c>
      <x:c r="D184" t="str">
        <x:v>Rusça FTR Kazakistan Profilden Ziyaret</x:v>
      </x:c>
      <x:c r="E184" t="str">
        <x:v>LINK_CLICKS</x:v>
      </x:c>
      <x:c r="F184" t="str">
        <x:v>PAUSED</x:v>
      </x:c>
      <x:c r="G184" t="str">
        <x:v>PAUSED</x:v>
      </x:c>
      <x:c r="H184" t="str">
        <x:v>AUCTION</x:v>
      </x:c>
      <x:c r="I184" s="28" t="n">
        <x:v>1500</x:v>
      </x:c>
      <x:c r="J184" s="28" t="n">
        <x:v>0</x:v>
      </x:c>
      <x:c r="K184" t="str">
        <x:v>2025-10-04T21:30:46+0300</x:v>
      </x:c>
      <x:c r="L184"/>
      <x:c r="M184" t="str">
        <x:v>2025-10-06T19:06:21+0300</x:v>
      </x:c>
    </x:row>
    <x:row r="185">
      <x:c r="A185" t="str">
        <x:v>act_170008509278498</x:v>
      </x:c>
      <x:c r="B185" t="str">
        <x:v>Doruk Hospital</x:v>
      </x:c>
      <x:c r="C185" t="str">
        <x:v>120232526167870080</x:v>
      </x:c>
      <x:c r="D185" t="str">
        <x:v>Rusça FTR Kazakistan Profilden Ziyaret</x:v>
      </x:c>
      <x:c r="E185" t="str">
        <x:v>LINK_CLICKS</x:v>
      </x:c>
      <x:c r="F185" t="str">
        <x:v>PAUSED</x:v>
      </x:c>
      <x:c r="G185" t="str">
        <x:v>PAUSED</x:v>
      </x:c>
      <x:c r="H185" t="str">
        <x:v>AUCTION</x:v>
      </x:c>
      <x:c r="I185" s="28" t="n">
        <x:v>1500</x:v>
      </x:c>
      <x:c r="J185" s="28" t="n">
        <x:v>0</x:v>
      </x:c>
      <x:c r="K185" t="str">
        <x:v>2025-10-04T21:32:44+0300</x:v>
      </x:c>
      <x:c r="L185"/>
      <x:c r="M185" t="str">
        <x:v>2025-10-06T19:06:21+0300</x:v>
      </x:c>
    </x:row>
    <x:row r="186">
      <x:c r="A186" t="str">
        <x:v>act_170008509278498</x:v>
      </x:c>
      <x:c r="B186" t="str">
        <x:v>Doruk Hospital</x:v>
      </x:c>
      <x:c r="C186" t="str">
        <x:v>120232526194150080</x:v>
      </x:c>
      <x:c r="D186" t="str">
        <x:v>Rusça FTR Kazakistan Profilden Ziyaret</x:v>
      </x:c>
      <x:c r="E186" t="str">
        <x:v>LINK_CLICKS</x:v>
      </x:c>
      <x:c r="F186" t="str">
        <x:v>PAUSED</x:v>
      </x:c>
      <x:c r="G186" t="str">
        <x:v>PAUSED</x:v>
      </x:c>
      <x:c r="H186" t="str">
        <x:v>AUCTION</x:v>
      </x:c>
      <x:c r="I186" s="28" t="n">
        <x:v>1500</x:v>
      </x:c>
      <x:c r="J186" s="28" t="n">
        <x:v>0</x:v>
      </x:c>
      <x:c r="K186" t="str">
        <x:v>2025-10-04T21:35:14+0300</x:v>
      </x:c>
      <x:c r="L186"/>
      <x:c r="M186" t="str">
        <x:v>2025-10-06T19:06:21+0300</x:v>
      </x:c>
    </x:row>
    <x:row r="187">
      <x:c r="A187" t="str">
        <x:v>act_170008509278498</x:v>
      </x:c>
      <x:c r="B187" t="str">
        <x:v>Doruk Hospital</x:v>
      </x:c>
      <x:c r="C187" t="str">
        <x:v>120232529670800080</x:v>
      </x:c>
      <x:c r="D187" t="str">
        <x:v>Rusça Onkoloji Özbekistan Profilden Ziyaret</x:v>
      </x:c>
      <x:c r="E187" t="str">
        <x:v>LINK_CLICKS</x:v>
      </x:c>
      <x:c r="F187" t="str">
        <x:v>PAUSED</x:v>
      </x:c>
      <x:c r="G187" t="str">
        <x:v>PAUSED</x:v>
      </x:c>
      <x:c r="H187" t="str">
        <x:v>AUCTION</x:v>
      </x:c>
      <x:c r="I187" s="28" t="n">
        <x:v>2500</x:v>
      </x:c>
      <x:c r="J187" s="28" t="n">
        <x:v>0</x:v>
      </x:c>
      <x:c r="K187" t="str">
        <x:v>2025-10-04T22:59:50+0300</x:v>
      </x:c>
      <x:c r="L187"/>
      <x:c r="M187" t="str">
        <x:v>2025-10-06T19:06:31+0300</x:v>
      </x:c>
    </x:row>
    <x:row r="188">
      <x:c r="A188" t="str">
        <x:v>act_170008509278498</x:v>
      </x:c>
      <x:c r="B188" t="str">
        <x:v>Doruk Hospital</x:v>
      </x:c>
      <x:c r="C188" t="str">
        <x:v>120232529793440080</x:v>
      </x:c>
      <x:c r="D188" t="str">
        <x:v>Rusça Onkoloji Özbekistan Profilden Ziyaret</x:v>
      </x:c>
      <x:c r="E188" t="str">
        <x:v>LINK_CLICKS</x:v>
      </x:c>
      <x:c r="F188" t="str">
        <x:v>PAUSED</x:v>
      </x:c>
      <x:c r="G188" t="str">
        <x:v>PAUSED</x:v>
      </x:c>
      <x:c r="H188" t="str">
        <x:v>AUCTION</x:v>
      </x:c>
      <x:c r="I188" s="28" t="n">
        <x:v>2500</x:v>
      </x:c>
      <x:c r="J188" s="28" t="n">
        <x:v>0</x:v>
      </x:c>
      <x:c r="K188" t="str">
        <x:v>2025-10-04T23:09:11+0300</x:v>
      </x:c>
      <x:c r="L188"/>
      <x:c r="M188" t="str">
        <x:v>2025-10-06T19:06:40+0300</x:v>
      </x:c>
    </x:row>
    <x:row r="189">
      <x:c r="A189" t="str">
        <x:v>act_170008509278498</x:v>
      </x:c>
      <x:c r="B189" t="str">
        <x:v>Doruk Hospital</x:v>
      </x:c>
      <x:c r="C189" t="str">
        <x:v>120232530414010080</x:v>
      </x:c>
      <x:c r="D189" t="str">
        <x:v>Rusça FTR Özbekistan Profilden Ziyaret</x:v>
      </x:c>
      <x:c r="E189" t="str">
        <x:v>LINK_CLICKS</x:v>
      </x:c>
      <x:c r="F189" t="str">
        <x:v>PAUSED</x:v>
      </x:c>
      <x:c r="G189" t="str">
        <x:v>PAUSED</x:v>
      </x:c>
      <x:c r="H189" t="str">
        <x:v>AUCTION</x:v>
      </x:c>
      <x:c r="I189" s="28" t="n">
        <x:v>1250</x:v>
      </x:c>
      <x:c r="J189" s="28" t="n">
        <x:v>0</x:v>
      </x:c>
      <x:c r="K189" t="str">
        <x:v>2025-10-04T23:25:44+0300</x:v>
      </x:c>
      <x:c r="L189"/>
      <x:c r="M189" t="str">
        <x:v>2025-10-06T19:06:21+0300</x:v>
      </x:c>
    </x:row>
    <x:row r="190">
      <x:c r="A190" t="str">
        <x:v>act_170008509278498</x:v>
      </x:c>
      <x:c r="B190" t="str">
        <x:v>Doruk Hospital</x:v>
      </x:c>
      <x:c r="C190" t="str">
        <x:v>120232530454360080</x:v>
      </x:c>
      <x:c r="D190" t="str">
        <x:v>Rusça FTR Özbekistan Profilden Ziyaret</x:v>
      </x:c>
      <x:c r="E190" t="str">
        <x:v>LINK_CLICKS</x:v>
      </x:c>
      <x:c r="F190" t="str">
        <x:v>PAUSED</x:v>
      </x:c>
      <x:c r="G190" t="str">
        <x:v>PAUSED</x:v>
      </x:c>
      <x:c r="H190" t="str">
        <x:v>AUCTION</x:v>
      </x:c>
      <x:c r="I190" s="28" t="n">
        <x:v>1250</x:v>
      </x:c>
      <x:c r="J190" s="28" t="n">
        <x:v>0</x:v>
      </x:c>
      <x:c r="K190" t="str">
        <x:v>2025-10-04T23:27:13+0300</x:v>
      </x:c>
      <x:c r="L190" t="str">
        <x:v>2025-10-10T23:27:13+0300</x:v>
      </x:c>
      <x:c r="M190" t="str">
        <x:v>2025-10-06T19:06:21+0300</x:v>
      </x:c>
    </x:row>
    <x:row r="191">
      <x:c r="A191" t="str">
        <x:v>act_170008509278498</x:v>
      </x:c>
      <x:c r="B191" t="str">
        <x:v>Doruk Hospital</x:v>
      </x:c>
      <x:c r="C191" t="str">
        <x:v>120232530502970080</x:v>
      </x:c>
      <x:c r="D191" t="str">
        <x:v>Rusça FTR Özbekistan Profilden Ziyaret</x:v>
      </x:c>
      <x:c r="E191" t="str">
        <x:v>LINK_CLICKS</x:v>
      </x:c>
      <x:c r="F191" t="str">
        <x:v>PAUSED</x:v>
      </x:c>
      <x:c r="G191" t="str">
        <x:v>PAUSED</x:v>
      </x:c>
      <x:c r="H191" t="str">
        <x:v>AUCTION</x:v>
      </x:c>
      <x:c r="I191" s="28" t="n">
        <x:v>1250</x:v>
      </x:c>
      <x:c r="J191" s="28" t="n">
        <x:v>0</x:v>
      </x:c>
      <x:c r="K191" t="str">
        <x:v>2025-10-04T23:29:31+0300</x:v>
      </x:c>
      <x:c r="L191"/>
      <x:c r="M191" t="str">
        <x:v>2025-10-06T19:06:21+0300</x:v>
      </x:c>
    </x:row>
    <x:row r="192">
      <x:c r="A192" t="str">
        <x:v>act_170008509278498</x:v>
      </x:c>
      <x:c r="B192" t="str">
        <x:v>Doruk Hospital</x:v>
      </x:c>
      <x:c r="C192" t="str">
        <x:v>120232530522660080</x:v>
      </x:c>
      <x:c r="D192" t="str">
        <x:v>Rusça FTR Özbekistan Profilden Ziyaret</x:v>
      </x:c>
      <x:c r="E192" t="str">
        <x:v>LINK_CLICKS</x:v>
      </x:c>
      <x:c r="F192" t="str">
        <x:v>PAUSED</x:v>
      </x:c>
      <x:c r="G192" t="str">
        <x:v>PAUSED</x:v>
      </x:c>
      <x:c r="H192" t="str">
        <x:v>AUCTION</x:v>
      </x:c>
      <x:c r="I192" s="28" t="n">
        <x:v>1250</x:v>
      </x:c>
      <x:c r="J192" s="28" t="n">
        <x:v>0</x:v>
      </x:c>
      <x:c r="K192" t="str">
        <x:v>2025-10-04T23:31:37+0300</x:v>
      </x:c>
      <x:c r="L192" t="str">
        <x:v>2025-10-10T23:31:37+0300</x:v>
      </x:c>
      <x:c r="M192" t="str">
        <x:v>2025-10-06T19:06:21+0300</x:v>
      </x:c>
    </x:row>
    <x:row r="193">
      <x:c r="A193" t="str">
        <x:v>act_170008509278498</x:v>
      </x:c>
      <x:c r="B193" t="str">
        <x:v>Doruk Hospital</x:v>
      </x:c>
      <x:c r="C193" t="str">
        <x:v>120232530695750080</x:v>
      </x:c>
      <x:c r="D193" t="str">
        <x:v>Rusça Onkoloji Kırgızistan Profilden Ziyaret</x:v>
      </x:c>
      <x:c r="E193" t="str">
        <x:v>LINK_CLICKS</x:v>
      </x:c>
      <x:c r="F193" t="str">
        <x:v>PAUSED</x:v>
      </x:c>
      <x:c r="G193" t="str">
        <x:v>PAUSED</x:v>
      </x:c>
      <x:c r="H193" t="str">
        <x:v>AUCTION</x:v>
      </x:c>
      <x:c r="I193" s="28" t="n">
        <x:v>1500</x:v>
      </x:c>
      <x:c r="J193" s="28" t="n">
        <x:v>0</x:v>
      </x:c>
      <x:c r="K193" t="str">
        <x:v>2025-10-04T23:40:10+0300</x:v>
      </x:c>
      <x:c r="L193"/>
      <x:c r="M193" t="str">
        <x:v>2025-10-06T19:06:21+0300</x:v>
      </x:c>
    </x:row>
    <x:row r="194">
      <x:c r="A194" t="str">
        <x:v>act_170008509278498</x:v>
      </x:c>
      <x:c r="B194" t="str">
        <x:v>Doruk Hospital</x:v>
      </x:c>
      <x:c r="C194" t="str">
        <x:v>120232530804450080</x:v>
      </x:c>
      <x:c r="D194" t="str">
        <x:v>Rusça Onkoloji Kırgızistan Profilden Ziyaret</x:v>
      </x:c>
      <x:c r="E194" t="str">
        <x:v>LINK_CLICKS</x:v>
      </x:c>
      <x:c r="F194" t="str">
        <x:v>PAUSED</x:v>
      </x:c>
      <x:c r="G194" t="str">
        <x:v>PAUSED</x:v>
      </x:c>
      <x:c r="H194" t="str">
        <x:v>AUCTION</x:v>
      </x:c>
      <x:c r="I194" s="28" t="n">
        <x:v>1500</x:v>
      </x:c>
      <x:c r="J194" s="28" t="n">
        <x:v>0</x:v>
      </x:c>
      <x:c r="K194" t="str">
        <x:v>2025-10-04T23:41:54+0300</x:v>
      </x:c>
      <x:c r="L194"/>
      <x:c r="M194" t="str">
        <x:v>2025-10-06T19:06:20+0300</x:v>
      </x:c>
    </x:row>
    <x:row r="195">
      <x:c r="A195" t="str">
        <x:v>act_170008509278498</x:v>
      </x:c>
      <x:c r="B195" t="str">
        <x:v>Doruk Hospital</x:v>
      </x:c>
      <x:c r="C195" t="str">
        <x:v>120232530866650080</x:v>
      </x:c>
      <x:c r="D195" t="str">
        <x:v>Rusça FTR Kırgızistan Profilden Ziyaret</x:v>
      </x:c>
      <x:c r="E195" t="str">
        <x:v>LINK_CLICKS</x:v>
      </x:c>
      <x:c r="F195" t="str">
        <x:v>PAUSED</x:v>
      </x:c>
      <x:c r="G195" t="str">
        <x:v>PAUSED</x:v>
      </x:c>
      <x:c r="H195" t="str">
        <x:v>AUCTION</x:v>
      </x:c>
      <x:c r="I195" s="28" t="n">
        <x:v>1000</x:v>
      </x:c>
      <x:c r="J195" s="28" t="n">
        <x:v>0</x:v>
      </x:c>
      <x:c r="K195" t="str">
        <x:v>2025-10-04T23:44:17+0300</x:v>
      </x:c>
      <x:c r="L195"/>
      <x:c r="M195" t="str">
        <x:v>2025-10-06T19:06:20+0300</x:v>
      </x:c>
    </x:row>
    <x:row r="196">
      <x:c r="A196" t="str">
        <x:v>act_170008509278498</x:v>
      </x:c>
      <x:c r="B196" t="str">
        <x:v>Doruk Hospital</x:v>
      </x:c>
      <x:c r="C196" t="str">
        <x:v>120232530908640080</x:v>
      </x:c>
      <x:c r="D196" t="str">
        <x:v>Rusça FTR Kırgızistan Profilden Ziyaret</x:v>
      </x:c>
      <x:c r="E196" t="str">
        <x:v>LINK_CLICKS</x:v>
      </x:c>
      <x:c r="F196" t="str">
        <x:v>PAUSED</x:v>
      </x:c>
      <x:c r="G196" t="str">
        <x:v>PAUSED</x:v>
      </x:c>
      <x:c r="H196" t="str">
        <x:v>AUCTION</x:v>
      </x:c>
      <x:c r="I196" s="28" t="n">
        <x:v>1000</x:v>
      </x:c>
      <x:c r="J196" s="28" t="n">
        <x:v>0</x:v>
      </x:c>
      <x:c r="K196" t="str">
        <x:v>2025-10-04T23:45:31+0300</x:v>
      </x:c>
      <x:c r="L196"/>
      <x:c r="M196" t="str">
        <x:v>2025-10-06T19:06:21+0300</x:v>
      </x:c>
    </x:row>
    <x:row r="197">
      <x:c r="A197" t="str">
        <x:v>act_170008509278498</x:v>
      </x:c>
      <x:c r="B197" t="str">
        <x:v>Doruk Hospital</x:v>
      </x:c>
      <x:c r="C197" t="str">
        <x:v>120232531014610080</x:v>
      </x:c>
      <x:c r="D197" t="str">
        <x:v>Rusça FTR Kırgızistan Profilden Ziyaret</x:v>
      </x:c>
      <x:c r="E197" t="str">
        <x:v>LINK_CLICKS</x:v>
      </x:c>
      <x:c r="F197" t="str">
        <x:v>PAUSED</x:v>
      </x:c>
      <x:c r="G197" t="str">
        <x:v>PAUSED</x:v>
      </x:c>
      <x:c r="H197" t="str">
        <x:v>AUCTION</x:v>
      </x:c>
      <x:c r="I197" s="28" t="n">
        <x:v>1000</x:v>
      </x:c>
      <x:c r="J197" s="28" t="n">
        <x:v>0</x:v>
      </x:c>
      <x:c r="K197" t="str">
        <x:v>2025-10-04T23:48:37+0300</x:v>
      </x:c>
      <x:c r="L197"/>
      <x:c r="M197" t="str">
        <x:v>2025-10-06T19:06:21+0300</x:v>
      </x:c>
    </x:row>
    <x:row r="198">
      <x:c r="A198" t="str">
        <x:v>act_170008509278498</x:v>
      </x:c>
      <x:c r="B198" t="str">
        <x:v>Doruk Hospital</x:v>
      </x:c>
      <x:c r="C198" t="str">
        <x:v>120232531098990080</x:v>
      </x:c>
      <x:c r="D198" t="str">
        <x:v>Rusça FTR Kırgızistan Profilden Ziyaret</x:v>
      </x:c>
      <x:c r="E198" t="str">
        <x:v>LINK_CLICKS</x:v>
      </x:c>
      <x:c r="F198" t="str">
        <x:v>PAUSED</x:v>
      </x:c>
      <x:c r="G198" t="str">
        <x:v>PAUSED</x:v>
      </x:c>
      <x:c r="H198" t="str">
        <x:v>AUCTION</x:v>
      </x:c>
      <x:c r="I198" s="28" t="n">
        <x:v>1000</x:v>
      </x:c>
      <x:c r="J198" s="28" t="n">
        <x:v>0</x:v>
      </x:c>
      <x:c r="K198" t="str">
        <x:v>2025-10-04T23:52:44+0300</x:v>
      </x:c>
      <x:c r="L198"/>
      <x:c r="M198" t="str">
        <x:v>2025-10-06T19:06:21+0300</x:v>
      </x:c>
    </x:row>
    <x:row r="199">
      <x:c r="A199" t="str">
        <x:v>act_170008509278498</x:v>
      </x:c>
      <x:c r="B199" t="str">
        <x:v>Doruk Hospital</x:v>
      </x:c>
      <x:c r="C199" t="str">
        <x:v>120232532038280080</x:v>
      </x:c>
      <x:c r="D199" t="str">
        <x:v>Arapça Onkoloji Kuveyt Profilden Ziyaret</x:v>
      </x:c>
      <x:c r="E199" t="str">
        <x:v>LINK_CLICKS</x:v>
      </x:c>
      <x:c r="F199" t="str">
        <x:v>PAUSED</x:v>
      </x:c>
      <x:c r="G199" t="str">
        <x:v>PAUSED</x:v>
      </x:c>
      <x:c r="H199" t="str">
        <x:v>AUCTION</x:v>
      </x:c>
      <x:c r="I199" s="28" t="n">
        <x:v>2600</x:v>
      </x:c>
      <x:c r="J199" s="28" t="n">
        <x:v>0</x:v>
      </x:c>
      <x:c r="K199" t="str">
        <x:v>2025-10-05T00:48:45+0300</x:v>
      </x:c>
      <x:c r="L199"/>
      <x:c r="M199" t="str">
        <x:v>2025-10-06T20:58:54+0300</x:v>
      </x:c>
    </x:row>
    <x:row r="200">
      <x:c r="A200" t="str">
        <x:v>act_170008509278498</x:v>
      </x:c>
      <x:c r="B200" t="str">
        <x:v>Doruk Hospital</x:v>
      </x:c>
      <x:c r="C200" t="str">
        <x:v>120232532090850080</x:v>
      </x:c>
      <x:c r="D200" t="str">
        <x:v>Arapça Onkoloji Kuveyt Profilden Ziyaret</x:v>
      </x:c>
      <x:c r="E200" t="str">
        <x:v>LINK_CLICKS</x:v>
      </x:c>
      <x:c r="F200" t="str">
        <x:v>PAUSED</x:v>
      </x:c>
      <x:c r="G200" t="str">
        <x:v>PAUSED</x:v>
      </x:c>
      <x:c r="H200" t="str">
        <x:v>AUCTION</x:v>
      </x:c>
      <x:c r="I200" s="28" t="n">
        <x:v>2600</x:v>
      </x:c>
      <x:c r="J200" s="28" t="n">
        <x:v>0</x:v>
      </x:c>
      <x:c r="K200" t="str">
        <x:v>2025-10-05T00:51:26+0300</x:v>
      </x:c>
      <x:c r="L200"/>
      <x:c r="M200" t="str">
        <x:v>2025-10-06T20:58:54+0300</x:v>
      </x:c>
    </x:row>
    <x:row r="201">
      <x:c r="A201" t="str">
        <x:v>act_170008509278498</x:v>
      </x:c>
      <x:c r="B201" t="str">
        <x:v>Doruk Hospital</x:v>
      </x:c>
      <x:c r="C201" t="str">
        <x:v>120232532244480080</x:v>
      </x:c>
      <x:c r="D201" t="str">
        <x:v>Arapça FTR Kuveyt Profilden Ziyaret</x:v>
      </x:c>
      <x:c r="E201" t="str">
        <x:v>LINK_CLICKS</x:v>
      </x:c>
      <x:c r="F201" t="str">
        <x:v>PAUSED</x:v>
      </x:c>
      <x:c r="G201" t="str">
        <x:v>PAUSED</x:v>
      </x:c>
      <x:c r="H201" t="str">
        <x:v>AUCTION</x:v>
      </x:c>
      <x:c r="I201" s="28" t="n">
        <x:v>1000</x:v>
      </x:c>
      <x:c r="J201" s="28" t="n">
        <x:v>0</x:v>
      </x:c>
      <x:c r="K201" t="str">
        <x:v>2025-10-05T00:55:49+0300</x:v>
      </x:c>
      <x:c r="L201"/>
      <x:c r="M201" t="str">
        <x:v>2025-10-06T20:58:54+0300</x:v>
      </x:c>
    </x:row>
    <x:row r="202">
      <x:c r="A202" t="str">
        <x:v>act_170008509278498</x:v>
      </x:c>
      <x:c r="B202" t="str">
        <x:v>Doruk Hospital</x:v>
      </x:c>
      <x:c r="C202" t="str">
        <x:v>120232532308240080</x:v>
      </x:c>
      <x:c r="D202" t="str">
        <x:v>Arapça FTR Kuveyt Profilden Ziyaret</x:v>
      </x:c>
      <x:c r="E202" t="str">
        <x:v>LINK_CLICKS</x:v>
      </x:c>
      <x:c r="F202" t="str">
        <x:v>PAUSED</x:v>
      </x:c>
      <x:c r="G202" t="str">
        <x:v>PAUSED</x:v>
      </x:c>
      <x:c r="H202" t="str">
        <x:v>AUCTION</x:v>
      </x:c>
      <x:c r="I202" s="28" t="n">
        <x:v>1000</x:v>
      </x:c>
      <x:c r="J202" s="28" t="n">
        <x:v>0</x:v>
      </x:c>
      <x:c r="K202" t="str">
        <x:v>2025-10-05T01:01:07+0300</x:v>
      </x:c>
      <x:c r="L202"/>
      <x:c r="M202" t="str">
        <x:v>2025-10-06T12:05:14+0300</x:v>
      </x:c>
    </x:row>
    <x:row r="203">
      <x:c r="A203" t="str">
        <x:v>act_170008509278498</x:v>
      </x:c>
      <x:c r="B203" t="str">
        <x:v>Doruk Hospital</x:v>
      </x:c>
      <x:c r="C203" t="str">
        <x:v>120232532334130080</x:v>
      </x:c>
      <x:c r="D203" t="str">
        <x:v>Arapça FTR Kuveyt Profilden Ziyaret</x:v>
      </x:c>
      <x:c r="E203" t="str">
        <x:v>LINK_CLICKS</x:v>
      </x:c>
      <x:c r="F203" t="str">
        <x:v>PAUSED</x:v>
      </x:c>
      <x:c r="G203" t="str">
        <x:v>PAUSED</x:v>
      </x:c>
      <x:c r="H203" t="str">
        <x:v>AUCTION</x:v>
      </x:c>
      <x:c r="I203" s="28" t="n">
        <x:v>1000</x:v>
      </x:c>
      <x:c r="J203" s="28" t="n">
        <x:v>0</x:v>
      </x:c>
      <x:c r="K203" t="str">
        <x:v>2025-10-05T01:02:39+0300</x:v>
      </x:c>
      <x:c r="L203"/>
      <x:c r="M203" t="str">
        <x:v>2025-10-06T20:58:54+0300</x:v>
      </x:c>
    </x:row>
    <x:row r="204">
      <x:c r="A204" t="str">
        <x:v>act_170008509278498</x:v>
      </x:c>
      <x:c r="B204" t="str">
        <x:v>Doruk Hospital</x:v>
      </x:c>
      <x:c r="C204" t="str">
        <x:v>120232532366790080</x:v>
      </x:c>
      <x:c r="D204" t="str">
        <x:v>Arapça FTR Kuveyt Profilden Ziyaret</x:v>
      </x:c>
      <x:c r="E204" t="str">
        <x:v>LINK_CLICKS</x:v>
      </x:c>
      <x:c r="F204" t="str">
        <x:v>PAUSED</x:v>
      </x:c>
      <x:c r="G204" t="str">
        <x:v>PAUSED</x:v>
      </x:c>
      <x:c r="H204" t="str">
        <x:v>AUCTION</x:v>
      </x:c>
      <x:c r="I204" s="28" t="n">
        <x:v>1000</x:v>
      </x:c>
      <x:c r="J204" s="28" t="n">
        <x:v>0</x:v>
      </x:c>
      <x:c r="K204" t="str">
        <x:v>2025-10-05T01:05:10+0300</x:v>
      </x:c>
      <x:c r="L204"/>
      <x:c r="M204" t="str">
        <x:v>2025-10-06T20:58:54+0300</x:v>
      </x:c>
    </x:row>
    <x:row r="205">
      <x:c r="A205" t="str">
        <x:v>act_170008509278498</x:v>
      </x:c>
      <x:c r="B205" t="str">
        <x:v>Doruk Hospital</x:v>
      </x:c>
      <x:c r="C205" t="str">
        <x:v>120232532383720080</x:v>
      </x:c>
      <x:c r="D205" t="str">
        <x:v>Arapça FTR Kuveyt Profilden Ziyaret</x:v>
      </x:c>
      <x:c r="E205" t="str">
        <x:v>LINK_CLICKS</x:v>
      </x:c>
      <x:c r="F205" t="str">
        <x:v>PAUSED</x:v>
      </x:c>
      <x:c r="G205" t="str">
        <x:v>PAUSED</x:v>
      </x:c>
      <x:c r="H205" t="str">
        <x:v>AUCTION</x:v>
      </x:c>
      <x:c r="I205" s="28" t="n">
        <x:v>1000</x:v>
      </x:c>
      <x:c r="J205" s="28" t="n">
        <x:v>0</x:v>
      </x:c>
      <x:c r="K205" t="str">
        <x:v>2025-10-05T01:06:37+0300</x:v>
      </x:c>
      <x:c r="L205"/>
      <x:c r="M205" t="str">
        <x:v>2025-10-06T20:58:54+0300</x:v>
      </x:c>
    </x:row>
    <x:row r="206">
      <x:c r="A206" t="str">
        <x:v>act_170008509278498</x:v>
      </x:c>
      <x:c r="B206" t="str">
        <x:v>Doruk Hospital</x:v>
      </x:c>
      <x:c r="C206" t="str">
        <x:v>120232532454150080</x:v>
      </x:c>
      <x:c r="D206" t="str">
        <x:v>Arapça Onkoloji Bahreyn Profilden Ziyaret</x:v>
      </x:c>
      <x:c r="E206" t="str">
        <x:v>LINK_CLICKS</x:v>
      </x:c>
      <x:c r="F206" t="str">
        <x:v>PAUSED</x:v>
      </x:c>
      <x:c r="G206" t="str">
        <x:v>PAUSED</x:v>
      </x:c>
      <x:c r="H206" t="str">
        <x:v>AUCTION</x:v>
      </x:c>
      <x:c r="I206" s="28" t="n">
        <x:v>1500</x:v>
      </x:c>
      <x:c r="J206" s="28" t="n">
        <x:v>0</x:v>
      </x:c>
      <x:c r="K206" t="str">
        <x:v>2025-10-05T01:13:04+0300</x:v>
      </x:c>
      <x:c r="L206"/>
      <x:c r="M206" t="str">
        <x:v>2025-10-06T21:41:43+0300</x:v>
      </x:c>
    </x:row>
    <x:row r="207">
      <x:c r="A207" t="str">
        <x:v>act_170008509278498</x:v>
      </x:c>
      <x:c r="B207" t="str">
        <x:v>Doruk Hospital</x:v>
      </x:c>
      <x:c r="C207" t="str">
        <x:v>120232532502940080</x:v>
      </x:c>
      <x:c r="D207" t="str">
        <x:v>Arapça Onkoloji Bahreyn Profilden Ziyaret</x:v>
      </x:c>
      <x:c r="E207" t="str">
        <x:v>LINK_CLICKS</x:v>
      </x:c>
      <x:c r="F207" t="str">
        <x:v>PAUSED</x:v>
      </x:c>
      <x:c r="G207" t="str">
        <x:v>PAUSED</x:v>
      </x:c>
      <x:c r="H207" t="str">
        <x:v>AUCTION</x:v>
      </x:c>
      <x:c r="I207" s="28" t="n">
        <x:v>1500</x:v>
      </x:c>
      <x:c r="J207" s="28" t="n">
        <x:v>0</x:v>
      </x:c>
      <x:c r="K207" t="str">
        <x:v>2025-10-05T01:17:46+0300</x:v>
      </x:c>
      <x:c r="L207"/>
      <x:c r="M207" t="str">
        <x:v>2025-10-06T21:41:43+0300</x:v>
      </x:c>
    </x:row>
    <x:row r="208">
      <x:c r="A208" t="str">
        <x:v>act_170008509278498</x:v>
      </x:c>
      <x:c r="B208" t="str">
        <x:v>Doruk Hospital</x:v>
      </x:c>
      <x:c r="C208" t="str">
        <x:v>120232532521890080</x:v>
      </x:c>
      <x:c r="D208" t="str">
        <x:v>Arapça FTR Bahreyn Profilden Ziyaret</x:v>
      </x:c>
      <x:c r="E208" t="str">
        <x:v>LINK_CLICKS</x:v>
      </x:c>
      <x:c r="F208" t="str">
        <x:v>PAUSED</x:v>
      </x:c>
      <x:c r="G208" t="str">
        <x:v>PAUSED</x:v>
      </x:c>
      <x:c r="H208" t="str">
        <x:v>AUCTION</x:v>
      </x:c>
      <x:c r="I208" s="28" t="n">
        <x:v>1000</x:v>
      </x:c>
      <x:c r="J208" s="28" t="n">
        <x:v>0</x:v>
      </x:c>
      <x:c r="K208" t="str">
        <x:v>2025-10-05T01:18:40+0300</x:v>
      </x:c>
      <x:c r="L208"/>
      <x:c r="M208" t="str">
        <x:v>2025-10-06T21:41:43+0300</x:v>
      </x:c>
    </x:row>
    <x:row r="209">
      <x:c r="A209" t="str">
        <x:v>act_170008509278498</x:v>
      </x:c>
      <x:c r="B209" t="str">
        <x:v>Doruk Hospital</x:v>
      </x:c>
      <x:c r="C209" t="str">
        <x:v>120232532530810080</x:v>
      </x:c>
      <x:c r="D209" t="str">
        <x:v>Arapça FTR Bahreyn Profilden Ziyaret</x:v>
      </x:c>
      <x:c r="E209" t="str">
        <x:v>LINK_CLICKS</x:v>
      </x:c>
      <x:c r="F209" t="str">
        <x:v>PAUSED</x:v>
      </x:c>
      <x:c r="G209" t="str">
        <x:v>PAUSED</x:v>
      </x:c>
      <x:c r="H209" t="str">
        <x:v>AUCTION</x:v>
      </x:c>
      <x:c r="I209" s="28" t="n">
        <x:v>500</x:v>
      </x:c>
      <x:c r="J209" s="28" t="n">
        <x:v>0</x:v>
      </x:c>
      <x:c r="K209" t="str">
        <x:v>2025-10-05T01:19:38+0300</x:v>
      </x:c>
      <x:c r="L209"/>
      <x:c r="M209" t="str">
        <x:v>2025-10-06T21:41:43+0300</x:v>
      </x:c>
    </x:row>
    <x:row r="210">
      <x:c r="A210" t="str">
        <x:v>act_170008509278498</x:v>
      </x:c>
      <x:c r="B210" t="str">
        <x:v>Doruk Hospital</x:v>
      </x:c>
      <x:c r="C210" t="str">
        <x:v>120232532545470080</x:v>
      </x:c>
      <x:c r="D210" t="str">
        <x:v>Arapça FTR Bahreyn Profilden Ziyaret</x:v>
      </x:c>
      <x:c r="E210" t="str">
        <x:v>LINK_CLICKS</x:v>
      </x:c>
      <x:c r="F210" t="str">
        <x:v>PAUSED</x:v>
      </x:c>
      <x:c r="G210" t="str">
        <x:v>PAUSED</x:v>
      </x:c>
      <x:c r="H210" t="str">
        <x:v>AUCTION</x:v>
      </x:c>
      <x:c r="I210" s="28" t="n">
        <x:v>500</x:v>
      </x:c>
      <x:c r="J210" s="28" t="n">
        <x:v>0</x:v>
      </x:c>
      <x:c r="K210" t="str">
        <x:v>2025-10-05T01:20:40+0300</x:v>
      </x:c>
      <x:c r="L210"/>
      <x:c r="M210" t="str">
        <x:v>2025-10-06T21:41:43+0300</x:v>
      </x:c>
    </x:row>
    <x:row r="211">
      <x:c r="A211" t="str">
        <x:v>act_170008509278498</x:v>
      </x:c>
      <x:c r="B211" t="str">
        <x:v>Doruk Hospital</x:v>
      </x:c>
      <x:c r="C211" t="str">
        <x:v>120232532564110080</x:v>
      </x:c>
      <x:c r="D211" t="str">
        <x:v>Arapça FTR Bahreyn Profilden Ziyaret</x:v>
      </x:c>
      <x:c r="E211" t="str">
        <x:v>LINK_CLICKS</x:v>
      </x:c>
      <x:c r="F211" t="str">
        <x:v>PAUSED</x:v>
      </x:c>
      <x:c r="G211" t="str">
        <x:v>PAUSED</x:v>
      </x:c>
      <x:c r="H211" t="str">
        <x:v>AUCTION</x:v>
      </x:c>
      <x:c r="I211" s="28" t="n">
        <x:v>500</x:v>
      </x:c>
      <x:c r="J211" s="28" t="n">
        <x:v>0</x:v>
      </x:c>
      <x:c r="K211" t="str">
        <x:v>2025-10-05T01:21:50+0300</x:v>
      </x:c>
      <x:c r="L211"/>
      <x:c r="M211" t="str">
        <x:v>2025-10-06T21:41:43+0300</x:v>
      </x:c>
    </x:row>
    <x:row r="212">
      <x:c r="A212" t="str">
        <x:v>act_170008509278498</x:v>
      </x:c>
      <x:c r="B212" t="str">
        <x:v>Doruk Hospital</x:v>
      </x:c>
      <x:c r="C212" t="str">
        <x:v>120232532617100080</x:v>
      </x:c>
      <x:c r="D212" t="str">
        <x:v>Arapça Onkoloji Katar Profilden Ziyaret</x:v>
      </x:c>
      <x:c r="E212" t="str">
        <x:v>LINK_CLICKS</x:v>
      </x:c>
      <x:c r="F212" t="str">
        <x:v>PAUSED</x:v>
      </x:c>
      <x:c r="G212" t="str">
        <x:v>PAUSED</x:v>
      </x:c>
      <x:c r="H212" t="str">
        <x:v>AUCTION</x:v>
      </x:c>
      <x:c r="I212" s="28" t="n">
        <x:v>2600</x:v>
      </x:c>
      <x:c r="J212" s="28" t="n">
        <x:v>0</x:v>
      </x:c>
      <x:c r="K212" t="str">
        <x:v>2025-10-05T01:25:39+0300</x:v>
      </x:c>
      <x:c r="L212"/>
      <x:c r="M212" t="str">
        <x:v>2025-10-06T21:12:06+0300</x:v>
      </x:c>
    </x:row>
    <x:row r="213">
      <x:c r="A213" t="str">
        <x:v>act_170008509278498</x:v>
      </x:c>
      <x:c r="B213" t="str">
        <x:v>Doruk Hospital</x:v>
      </x:c>
      <x:c r="C213" t="str">
        <x:v>120232532662540080</x:v>
      </x:c>
      <x:c r="D213" t="str">
        <x:v>Arapça Onkoloji Katar Profilden Ziyaret</x:v>
      </x:c>
      <x:c r="E213" t="str">
        <x:v>LINK_CLICKS</x:v>
      </x:c>
      <x:c r="F213" t="str">
        <x:v>PAUSED</x:v>
      </x:c>
      <x:c r="G213" t="str">
        <x:v>PAUSED</x:v>
      </x:c>
      <x:c r="H213" t="str">
        <x:v>AUCTION</x:v>
      </x:c>
      <x:c r="I213" s="28" t="n">
        <x:v>2600</x:v>
      </x:c>
      <x:c r="J213" s="28" t="n">
        <x:v>0</x:v>
      </x:c>
      <x:c r="K213" t="str">
        <x:v>2025-10-05T01:28:11+0300</x:v>
      </x:c>
      <x:c r="L213"/>
      <x:c r="M213" t="str">
        <x:v>2025-10-06T21:12:06+0300</x:v>
      </x:c>
    </x:row>
    <x:row r="214">
      <x:c r="A214" t="str">
        <x:v>act_170008509278498</x:v>
      </x:c>
      <x:c r="B214" t="str">
        <x:v>Doruk Hospital</x:v>
      </x:c>
      <x:c r="C214" t="str">
        <x:v>120232532728140080</x:v>
      </x:c>
      <x:c r="D214" t="str">
        <x:v>Arapça FTR Katar Profilden Ziyaret</x:v>
      </x:c>
      <x:c r="E214" t="str">
        <x:v>LINK_CLICKS</x:v>
      </x:c>
      <x:c r="F214" t="str">
        <x:v>PAUSED</x:v>
      </x:c>
      <x:c r="G214" t="str">
        <x:v>PAUSED</x:v>
      </x:c>
      <x:c r="H214" t="str">
        <x:v>AUCTION</x:v>
      </x:c>
      <x:c r="I214" s="28" t="n">
        <x:v>1000</x:v>
      </x:c>
      <x:c r="J214" s="28" t="n">
        <x:v>0</x:v>
      </x:c>
      <x:c r="K214" t="str">
        <x:v>2025-10-05T01:32:17+0300</x:v>
      </x:c>
      <x:c r="L214"/>
      <x:c r="M214" t="str">
        <x:v>2025-10-06T21:12:06+0300</x:v>
      </x:c>
    </x:row>
    <x:row r="215">
      <x:c r="A215" t="str">
        <x:v>act_170008509278498</x:v>
      </x:c>
      <x:c r="B215" t="str">
        <x:v>Doruk Hospital</x:v>
      </x:c>
      <x:c r="C215" t="str">
        <x:v>120232532737380080</x:v>
      </x:c>
      <x:c r="D215" t="str">
        <x:v>Arapça FTR Katar Profilden Ziyaret</x:v>
      </x:c>
      <x:c r="E215" t="str">
        <x:v>LINK_CLICKS</x:v>
      </x:c>
      <x:c r="F215" t="str">
        <x:v>PAUSED</x:v>
      </x:c>
      <x:c r="G215" t="str">
        <x:v>PAUSED</x:v>
      </x:c>
      <x:c r="H215" t="str">
        <x:v>AUCTION</x:v>
      </x:c>
      <x:c r="I215" s="28" t="n">
        <x:v>1000</x:v>
      </x:c>
      <x:c r="J215" s="28" t="n">
        <x:v>0</x:v>
      </x:c>
      <x:c r="K215" t="str">
        <x:v>2025-10-05T01:32:48+0300</x:v>
      </x:c>
      <x:c r="L215"/>
      <x:c r="M215" t="str">
        <x:v>2025-10-06T21:12:06+0300</x:v>
      </x:c>
    </x:row>
    <x:row r="216">
      <x:c r="A216" t="str">
        <x:v>act_170008509278498</x:v>
      </x:c>
      <x:c r="B216" t="str">
        <x:v>Doruk Hospital</x:v>
      </x:c>
      <x:c r="C216" t="str">
        <x:v>120232532747510080</x:v>
      </x:c>
      <x:c r="D216" t="str">
        <x:v>Arapça FTR Katar Profilden Ziyaret</x:v>
      </x:c>
      <x:c r="E216" t="str">
        <x:v>LINK_CLICKS</x:v>
      </x:c>
      <x:c r="F216" t="str">
        <x:v>PAUSED</x:v>
      </x:c>
      <x:c r="G216" t="str">
        <x:v>PAUSED</x:v>
      </x:c>
      <x:c r="H216" t="str">
        <x:v>AUCTION</x:v>
      </x:c>
      <x:c r="I216" s="28" t="n">
        <x:v>1000</x:v>
      </x:c>
      <x:c r="J216" s="28" t="n">
        <x:v>0</x:v>
      </x:c>
      <x:c r="K216" t="str">
        <x:v>2025-10-05T01:33:42+0300</x:v>
      </x:c>
      <x:c r="L216"/>
      <x:c r="M216" t="str">
        <x:v>2025-10-06T21:12:06+0300</x:v>
      </x:c>
    </x:row>
    <x:row r="217">
      <x:c r="A217" t="str">
        <x:v>act_170008509278498</x:v>
      </x:c>
      <x:c r="B217" t="str">
        <x:v>Doruk Hospital</x:v>
      </x:c>
      <x:c r="C217" t="str">
        <x:v>120232532764550080</x:v>
      </x:c>
      <x:c r="D217" t="str">
        <x:v>Arapça FTR Katar Profilden Ziyaret</x:v>
      </x:c>
      <x:c r="E217" t="str">
        <x:v>LINK_CLICKS</x:v>
      </x:c>
      <x:c r="F217" t="str">
        <x:v>PAUSED</x:v>
      </x:c>
      <x:c r="G217" t="str">
        <x:v>PAUSED</x:v>
      </x:c>
      <x:c r="H217" t="str">
        <x:v>AUCTION</x:v>
      </x:c>
      <x:c r="I217" s="28" t="n">
        <x:v>1000</x:v>
      </x:c>
      <x:c r="J217" s="28" t="n">
        <x:v>0</x:v>
      </x:c>
      <x:c r="K217" t="str">
        <x:v>2025-10-05T01:34:50+0300</x:v>
      </x:c>
      <x:c r="L217"/>
      <x:c r="M217" t="str">
        <x:v>2025-10-06T21:12:06+0300</x:v>
      </x:c>
    </x:row>
    <x:row r="218">
      <x:c r="A218" t="str">
        <x:v>act_170008509278498</x:v>
      </x:c>
      <x:c r="B218" t="str">
        <x:v>Doruk Hospital</x:v>
      </x:c>
      <x:c r="C218" t="str">
        <x:v>120232532832940080</x:v>
      </x:c>
      <x:c r="D218" t="str">
        <x:v>Arapça Onkoloji Umman Profilden Ziyaret</x:v>
      </x:c>
      <x:c r="E218" t="str">
        <x:v>LINK_CLICKS</x:v>
      </x:c>
      <x:c r="F218" t="str">
        <x:v>PAUSED</x:v>
      </x:c>
      <x:c r="G218" t="str">
        <x:v>PAUSED</x:v>
      </x:c>
      <x:c r="H218" t="str">
        <x:v>AUCTION</x:v>
      </x:c>
      <x:c r="I218" s="28" t="n">
        <x:v>1500</x:v>
      </x:c>
      <x:c r="J218" s="28" t="n">
        <x:v>0</x:v>
      </x:c>
      <x:c r="K218" t="str">
        <x:v>2025-10-05T01:38:52+0300</x:v>
      </x:c>
      <x:c r="L218"/>
      <x:c r="M218" t="str">
        <x:v>2025-10-06T21:34:05+0300</x:v>
      </x:c>
    </x:row>
    <x:row r="219">
      <x:c r="A219" t="str">
        <x:v>act_170008509278498</x:v>
      </x:c>
      <x:c r="B219" t="str">
        <x:v>Doruk Hospital</x:v>
      </x:c>
      <x:c r="C219" t="str">
        <x:v>120232532850840080</x:v>
      </x:c>
      <x:c r="D219" t="str">
        <x:v>Arapça Onkoloji Umman Profilden Ziyaret</x:v>
      </x:c>
      <x:c r="E219" t="str">
        <x:v>LINK_CLICKS</x:v>
      </x:c>
      <x:c r="F219" t="str">
        <x:v>PAUSED</x:v>
      </x:c>
      <x:c r="G219" t="str">
        <x:v>PAUSED</x:v>
      </x:c>
      <x:c r="H219" t="str">
        <x:v>AUCTION</x:v>
      </x:c>
      <x:c r="I219" s="28" t="n">
        <x:v>1500</x:v>
      </x:c>
      <x:c r="J219" s="28" t="n">
        <x:v>0</x:v>
      </x:c>
      <x:c r="K219" t="str">
        <x:v>2025-10-05T01:39:43+0300</x:v>
      </x:c>
      <x:c r="L219"/>
      <x:c r="M219" t="str">
        <x:v>2025-10-06T21:34:05+0300</x:v>
      </x:c>
    </x:row>
    <x:row r="220">
      <x:c r="A220" t="str">
        <x:v>act_170008509278498</x:v>
      </x:c>
      <x:c r="B220" t="str">
        <x:v>Doruk Hospital</x:v>
      </x:c>
      <x:c r="C220" t="str">
        <x:v>120232532965070080</x:v>
      </x:c>
      <x:c r="D220" t="str">
        <x:v>Arapça FTR Umman Profilden Ziyaret</x:v>
      </x:c>
      <x:c r="E220" t="str">
        <x:v>LINK_CLICKS</x:v>
      </x:c>
      <x:c r="F220" t="str">
        <x:v>PAUSED</x:v>
      </x:c>
      <x:c r="G220" t="str">
        <x:v>PAUSED</x:v>
      </x:c>
      <x:c r="H220" t="str">
        <x:v>AUCTION</x:v>
      </x:c>
      <x:c r="I220" s="28" t="n">
        <x:v>1000</x:v>
      </x:c>
      <x:c r="J220" s="28" t="n">
        <x:v>0</x:v>
      </x:c>
      <x:c r="K220" t="str">
        <x:v>2025-10-05T01:44:11+0300</x:v>
      </x:c>
      <x:c r="L220"/>
      <x:c r="M220" t="str">
        <x:v>2025-10-06T21:34:05+0300</x:v>
      </x:c>
    </x:row>
    <x:row r="221">
      <x:c r="A221" t="str">
        <x:v>act_170008509278498</x:v>
      </x:c>
      <x:c r="B221" t="str">
        <x:v>Doruk Hospital</x:v>
      </x:c>
      <x:c r="C221" t="str">
        <x:v>120232532994020080</x:v>
      </x:c>
      <x:c r="D221" t="str">
        <x:v>Arapça FTR Umman Profilden Ziyaret</x:v>
      </x:c>
      <x:c r="E221" t="str">
        <x:v>LINK_CLICKS</x:v>
      </x:c>
      <x:c r="F221" t="str">
        <x:v>PAUSED</x:v>
      </x:c>
      <x:c r="G221" t="str">
        <x:v>PAUSED</x:v>
      </x:c>
      <x:c r="H221" t="str">
        <x:v>AUCTION</x:v>
      </x:c>
      <x:c r="I221" s="28" t="n">
        <x:v>1000</x:v>
      </x:c>
      <x:c r="J221" s="28" t="n">
        <x:v>0</x:v>
      </x:c>
      <x:c r="K221" t="str">
        <x:v>2025-10-05T01:45:14+0300</x:v>
      </x:c>
      <x:c r="L221"/>
      <x:c r="M221" t="str">
        <x:v>2025-10-06T21:34:05+0300</x:v>
      </x:c>
    </x:row>
    <x:row r="222">
      <x:c r="A222" t="str">
        <x:v>act_170008509278498</x:v>
      </x:c>
      <x:c r="B222" t="str">
        <x:v>Doruk Hospital</x:v>
      </x:c>
      <x:c r="C222" t="str">
        <x:v>120232533000510080</x:v>
      </x:c>
      <x:c r="D222" t="str">
        <x:v>Arapça FTR Umman Profilden Ziyaret</x:v>
      </x:c>
      <x:c r="E222" t="str">
        <x:v>LINK_CLICKS</x:v>
      </x:c>
      <x:c r="F222" t="str">
        <x:v>PAUSED</x:v>
      </x:c>
      <x:c r="G222" t="str">
        <x:v>PAUSED</x:v>
      </x:c>
      <x:c r="H222" t="str">
        <x:v>AUCTION</x:v>
      </x:c>
      <x:c r="I222" s="28" t="n">
        <x:v>1000</x:v>
      </x:c>
      <x:c r="J222" s="28" t="n">
        <x:v>0</x:v>
      </x:c>
      <x:c r="K222" t="str">
        <x:v>2025-10-05T01:46:27+0300</x:v>
      </x:c>
      <x:c r="L222"/>
      <x:c r="M222" t="str">
        <x:v>2025-10-06T21:34:05+0300</x:v>
      </x:c>
    </x:row>
    <x:row r="223">
      <x:c r="A223" t="str">
        <x:v>act_170008509278498</x:v>
      </x:c>
      <x:c r="B223" t="str">
        <x:v>Doruk Hospital</x:v>
      </x:c>
      <x:c r="C223" t="str">
        <x:v>120232614741410080</x:v>
      </x:c>
      <x:c r="D223" t="str">
        <x:v>Rusça FTR Kazakistan Profilden Ziyaret</x:v>
      </x:c>
      <x:c r="E223" t="str">
        <x:v>LINK_CLICKS</x:v>
      </x:c>
      <x:c r="F223" t="str">
        <x:v>PAUSED</x:v>
      </x:c>
      <x:c r="G223" t="str">
        <x:v>PAUSED</x:v>
      </x:c>
      <x:c r="H223" t="str">
        <x:v>AUCTION</x:v>
      </x:c>
      <x:c r="I223" s="28" t="n">
        <x:v>2500</x:v>
      </x:c>
      <x:c r="J223" s="28" t="n">
        <x:v>0</x:v>
      </x:c>
      <x:c r="K223" t="str">
        <x:v>2025-10-06T19:10:02+0300</x:v>
      </x:c>
      <x:c r="L223" t="str">
        <x:v>2025-10-15T19:10:02+0300</x:v>
      </x:c>
      <x:c r="M223" t="str">
        <x:v>2025-10-10T12:14:26+0300</x:v>
      </x:c>
    </x:row>
    <x:row r="224">
      <x:c r="A224" t="str">
        <x:v>act_170008509278498</x:v>
      </x:c>
      <x:c r="B224" t="str">
        <x:v>Doruk Hospital</x:v>
      </x:c>
      <x:c r="C224" t="str">
        <x:v>120232614969360080</x:v>
      </x:c>
      <x:c r="D224" t="str">
        <x:v>Rusça FTR Kazakistan Profilden Ziyaret</x:v>
      </x:c>
      <x:c r="E224" t="str">
        <x:v>LINK_CLICKS</x:v>
      </x:c>
      <x:c r="F224" t="str">
        <x:v>PAUSED</x:v>
      </x:c>
      <x:c r="G224" t="str">
        <x:v>PAUSED</x:v>
      </x:c>
      <x:c r="H224" t="str">
        <x:v>AUCTION</x:v>
      </x:c>
      <x:c r="I224" s="28" t="n">
        <x:v>2500</x:v>
      </x:c>
      <x:c r="J224" s="28" t="n">
        <x:v>0</x:v>
      </x:c>
      <x:c r="K224" t="str">
        <x:v>2025-10-06T19:11:26+0300</x:v>
      </x:c>
      <x:c r="L224" t="str">
        <x:v>2025-10-15T19:11:26+0300</x:v>
      </x:c>
      <x:c r="M224" t="str">
        <x:v>2025-10-10T11:54:06+0300</x:v>
      </x:c>
    </x:row>
    <x:row r="225">
      <x:c r="A225" t="str">
        <x:v>act_170008509278498</x:v>
      </x:c>
      <x:c r="B225" t="str">
        <x:v>Doruk Hospital</x:v>
      </x:c>
      <x:c r="C225" t="str">
        <x:v>120232615388740080</x:v>
      </x:c>
      <x:c r="D225" t="str">
        <x:v>Rusça Onkoloji Kazakistan Profilden Ziyaret</x:v>
      </x:c>
      <x:c r="E225" t="str">
        <x:v>LINK_CLICKS</x:v>
      </x:c>
      <x:c r="F225" t="str">
        <x:v>PAUSED</x:v>
      </x:c>
      <x:c r="G225" t="str">
        <x:v>PAUSED</x:v>
      </x:c>
      <x:c r="H225" t="str">
        <x:v>AUCTION</x:v>
      </x:c>
      <x:c r="I225" s="28" t="n">
        <x:v>3000</x:v>
      </x:c>
      <x:c r="J225" s="28" t="n">
        <x:v>0</x:v>
      </x:c>
      <x:c r="K225" t="str">
        <x:v>2025-10-06T19:14:45+0300</x:v>
      </x:c>
      <x:c r="L225" t="str">
        <x:v>2025-10-13T19:14:45+0300</x:v>
      </x:c>
      <x:c r="M225" t="str">
        <x:v>2025-10-10T12:15:27+0300</x:v>
      </x:c>
    </x:row>
    <x:row r="226">
      <x:c r="A226" t="str">
        <x:v>act_170008509278498</x:v>
      </x:c>
      <x:c r="B226" t="str">
        <x:v>Doruk Hospital</x:v>
      </x:c>
      <x:c r="C226" t="str">
        <x:v>120232615504600080</x:v>
      </x:c>
      <x:c r="D226" t="str">
        <x:v>Rusça Onkoloji Kazakistan Profilden Ziyaret</x:v>
      </x:c>
      <x:c r="E226" t="str">
        <x:v>LINK_CLICKS</x:v>
      </x:c>
      <x:c r="F226" t="str">
        <x:v>PAUSED</x:v>
      </x:c>
      <x:c r="G226" t="str">
        <x:v>PAUSED</x:v>
      </x:c>
      <x:c r="H226" t="str">
        <x:v>AUCTION</x:v>
      </x:c>
      <x:c r="I226" s="28" t="n">
        <x:v>3000</x:v>
      </x:c>
      <x:c r="J226" s="28" t="n">
        <x:v>0</x:v>
      </x:c>
      <x:c r="K226" t="str">
        <x:v>2025-10-06T19:17:05+0300</x:v>
      </x:c>
      <x:c r="L226" t="str">
        <x:v>2025-10-15T19:17:05+0300</x:v>
      </x:c>
      <x:c r="M226" t="str">
        <x:v>2025-10-28T16:47:02+0300</x:v>
      </x:c>
    </x:row>
    <x:row r="227">
      <x:c r="A227" t="str">
        <x:v>act_170008509278498</x:v>
      </x:c>
      <x:c r="B227" t="str">
        <x:v>Doruk Hospital</x:v>
      </x:c>
      <x:c r="C227" t="str">
        <x:v>120232615670770080</x:v>
      </x:c>
      <x:c r="D227" t="str">
        <x:v>Rusça Onkoloji Özbekistan Profilden Ziyaret</x:v>
      </x:c>
      <x:c r="E227" t="str">
        <x:v>LINK_CLICKS</x:v>
      </x:c>
      <x:c r="F227" t="str">
        <x:v>PAUSED</x:v>
      </x:c>
      <x:c r="G227" t="str">
        <x:v>PAUSED</x:v>
      </x:c>
      <x:c r="H227" t="str">
        <x:v>AUCTION</x:v>
      </x:c>
      <x:c r="I227" s="28" t="n">
        <x:v>3500</x:v>
      </x:c>
      <x:c r="J227" s="28" t="n">
        <x:v>0</x:v>
      </x:c>
      <x:c r="K227" t="str">
        <x:v>2025-10-06T19:20:10+0300</x:v>
      </x:c>
      <x:c r="L227" t="str">
        <x:v>2025-10-13T19:20:10+0300</x:v>
      </x:c>
      <x:c r="M227" t="str">
        <x:v>2025-10-08T22:19:51+0300</x:v>
      </x:c>
    </x:row>
    <x:row r="228">
      <x:c r="A228" t="str">
        <x:v>act_170008509278498</x:v>
      </x:c>
      <x:c r="B228" t="str">
        <x:v>Doruk Hospital</x:v>
      </x:c>
      <x:c r="C228" t="str">
        <x:v>120232615715320080</x:v>
      </x:c>
      <x:c r="D228" t="str">
        <x:v>Rusça Onkoloji Özbekistan Profilden Ziyaret</x:v>
      </x:c>
      <x:c r="E228" t="str">
        <x:v>LINK_CLICKS</x:v>
      </x:c>
      <x:c r="F228" t="str">
        <x:v>PAUSED</x:v>
      </x:c>
      <x:c r="G228" t="str">
        <x:v>PAUSED</x:v>
      </x:c>
      <x:c r="H228" t="str">
        <x:v>AUCTION</x:v>
      </x:c>
      <x:c r="I228" s="28" t="n">
        <x:v>2500</x:v>
      </x:c>
      <x:c r="J228" s="28" t="n">
        <x:v>0</x:v>
      </x:c>
      <x:c r="K228" t="str">
        <x:v>2025-10-06T19:21:20+0300</x:v>
      </x:c>
      <x:c r="L228" t="str">
        <x:v>2025-10-15T19:21:20+0300</x:v>
      </x:c>
      <x:c r="M228" t="str">
        <x:v>2025-10-28T16:47:03+0300</x:v>
      </x:c>
    </x:row>
    <x:row r="229">
      <x:c r="A229" t="str">
        <x:v>act_170008509278498</x:v>
      </x:c>
      <x:c r="B229" t="str">
        <x:v>Doruk Hospital</x:v>
      </x:c>
      <x:c r="C229" t="str">
        <x:v>120232615782640080</x:v>
      </x:c>
      <x:c r="D229" t="str">
        <x:v>Rusça FTR Özbekistan Profilden Ziyaret</x:v>
      </x:c>
      <x:c r="E229" t="str">
        <x:v>LINK_CLICKS</x:v>
      </x:c>
      <x:c r="F229" t="str">
        <x:v>PAUSED</x:v>
      </x:c>
      <x:c r="G229" t="str">
        <x:v>PAUSED</x:v>
      </x:c>
      <x:c r="H229" t="str">
        <x:v>AUCTION</x:v>
      </x:c>
      <x:c r="I229" s="28" t="n">
        <x:v>1750</x:v>
      </x:c>
      <x:c r="J229" s="28" t="n">
        <x:v>0</x:v>
      </x:c>
      <x:c r="K229" t="str">
        <x:v>2025-10-06T19:24:44+0300</x:v>
      </x:c>
      <x:c r="L229" t="str">
        <x:v>2025-10-15T19:24:44+0300</x:v>
      </x:c>
      <x:c r="M229" t="str">
        <x:v>2025-10-28T16:47:00+0300</x:v>
      </x:c>
    </x:row>
    <x:row r="230">
      <x:c r="A230" t="str">
        <x:v>act_170008509278498</x:v>
      </x:c>
      <x:c r="B230" t="str">
        <x:v>Doruk Hospital</x:v>
      </x:c>
      <x:c r="C230" t="str">
        <x:v>120232615791480080</x:v>
      </x:c>
      <x:c r="D230" t="str">
        <x:v>Rusça FTR Kırgızistan Profilden Ziyaret</x:v>
      </x:c>
      <x:c r="E230" t="str">
        <x:v>LINK_CLICKS</x:v>
      </x:c>
      <x:c r="F230" t="str">
        <x:v>PAUSED</x:v>
      </x:c>
      <x:c r="G230" t="str">
        <x:v>PAUSED</x:v>
      </x:c>
      <x:c r="H230" t="str">
        <x:v>AUCTION</x:v>
      </x:c>
      <x:c r="I230" s="28" t="n">
        <x:v>1250</x:v>
      </x:c>
      <x:c r="J230" s="28" t="n">
        <x:v>0</x:v>
      </x:c>
      <x:c r="K230" t="str">
        <x:v>2025-10-06T19:25:32+0300</x:v>
      </x:c>
      <x:c r="L230" t="str">
        <x:v>2025-10-15T19:25:32+0300</x:v>
      </x:c>
      <x:c r="M230" t="str">
        <x:v>2025-10-28T16:46:59+0300</x:v>
      </x:c>
    </x:row>
    <x:row r="231">
      <x:c r="A231" t="str">
        <x:v>act_170008509278498</x:v>
      </x:c>
      <x:c r="B231" t="str">
        <x:v>Doruk Hospital</x:v>
      </x:c>
      <x:c r="C231" t="str">
        <x:v>120232615848010080</x:v>
      </x:c>
      <x:c r="D231" t="str">
        <x:v>Rusça FTR Kırgızistan Profilden Ziyaret</x:v>
      </x:c>
      <x:c r="E231" t="str">
        <x:v>LINK_CLICKS</x:v>
      </x:c>
      <x:c r="F231" t="str">
        <x:v>PAUSED</x:v>
      </x:c>
      <x:c r="G231" t="str">
        <x:v>PAUSED</x:v>
      </x:c>
      <x:c r="H231" t="str">
        <x:v>AUCTION</x:v>
      </x:c>
      <x:c r="I231" s="28" t="n">
        <x:v>1250</x:v>
      </x:c>
      <x:c r="J231" s="28" t="n">
        <x:v>0</x:v>
      </x:c>
      <x:c r="K231" t="str">
        <x:v>2025-10-06T19:28:38+0300</x:v>
      </x:c>
      <x:c r="L231" t="str">
        <x:v>2025-10-15T19:28:38+0300</x:v>
      </x:c>
      <x:c r="M231" t="str">
        <x:v>2025-10-10T12:12:57+0300</x:v>
      </x:c>
    </x:row>
    <x:row r="232">
      <x:c r="A232" t="str">
        <x:v>act_170008509278498</x:v>
      </x:c>
      <x:c r="B232" t="str">
        <x:v>Doruk Hospital</x:v>
      </x:c>
      <x:c r="C232" t="str">
        <x:v>120232615865700080</x:v>
      </x:c>
      <x:c r="D232" t="str">
        <x:v>Rusça FTR Özbekistan Profilden Ziyaret</x:v>
      </x:c>
      <x:c r="E232" t="str">
        <x:v>LINK_CLICKS</x:v>
      </x:c>
      <x:c r="F232" t="str">
        <x:v>PAUSED</x:v>
      </x:c>
      <x:c r="G232" t="str">
        <x:v>PAUSED</x:v>
      </x:c>
      <x:c r="H232" t="str">
        <x:v>AUCTION</x:v>
      </x:c>
      <x:c r="I232" s="28" t="n">
        <x:v>2500</x:v>
      </x:c>
      <x:c r="J232" s="28" t="n">
        <x:v>0</x:v>
      </x:c>
      <x:c r="K232" t="str">
        <x:v>2025-10-06T19:29:37+0300</x:v>
      </x:c>
      <x:c r="L232" t="str">
        <x:v>2025-10-13T19:29:37+0300</x:v>
      </x:c>
      <x:c r="M232" t="str">
        <x:v>2025-10-08T10:09:50+0300</x:v>
      </x:c>
    </x:row>
    <x:row r="233">
      <x:c r="A233" t="str">
        <x:v>act_170008509278498</x:v>
      </x:c>
      <x:c r="B233" t="str">
        <x:v>Doruk Hospital</x:v>
      </x:c>
      <x:c r="C233" t="str">
        <x:v>120232619533610080</x:v>
      </x:c>
      <x:c r="D233" t="str">
        <x:v>Arapça Onkoloji Kuveyt Profilden ziyaret</x:v>
      </x:c>
      <x:c r="E233" t="str">
        <x:v>LINK_CLICKS</x:v>
      </x:c>
      <x:c r="F233" t="str">
        <x:v>ACTIVE</x:v>
      </x:c>
      <x:c r="G233" t="str">
        <x:v>ACTIVE</x:v>
      </x:c>
      <x:c r="H233" t="str">
        <x:v>AUCTION</x:v>
      </x:c>
      <x:c r="I233" s="28" t="n">
        <x:v>4000</x:v>
      </x:c>
      <x:c r="J233" s="28" t="n">
        <x:v>0</x:v>
      </x:c>
      <x:c r="K233" t="str">
        <x:v>2025-10-06T21:06:49+0300</x:v>
      </x:c>
      <x:c r="L233" t="str">
        <x:v>2025-10-13T21:06:49+0300</x:v>
      </x:c>
      <x:c r="M233" t="str">
        <x:v>2025-10-06T21:15:23+0300</x:v>
      </x:c>
    </x:row>
    <x:row r="234">
      <x:c r="A234" t="str">
        <x:v>act_170008509278498</x:v>
      </x:c>
      <x:c r="B234" t="str">
        <x:v>Doruk Hospital</x:v>
      </x:c>
      <x:c r="C234" t="str">
        <x:v>120232619568870080</x:v>
      </x:c>
      <x:c r="D234" t="str">
        <x:v>Arapça Onkoloji Kuveyt Profilden ziyaret</x:v>
      </x:c>
      <x:c r="E234" t="str">
        <x:v>LINK_CLICKS</x:v>
      </x:c>
      <x:c r="F234" t="str">
        <x:v>PAUSED</x:v>
      </x:c>
      <x:c r="G234" t="str">
        <x:v>PAUSED</x:v>
      </x:c>
      <x:c r="H234" t="str">
        <x:v>AUCTION</x:v>
      </x:c>
      <x:c r="I234" s="28" t="n">
        <x:v>4000</x:v>
      </x:c>
      <x:c r="J234" s="28" t="n">
        <x:v>0</x:v>
      </x:c>
      <x:c r="K234" t="str">
        <x:v>2025-10-06T21:08:11+0300</x:v>
      </x:c>
      <x:c r="L234" t="str">
        <x:v>2025-10-13T21:08:11+0300</x:v>
      </x:c>
      <x:c r="M234" t="str">
        <x:v>2026-02-17T08:45:46+0300</x:v>
      </x:c>
    </x:row>
    <x:row r="235">
      <x:c r="A235" t="str">
        <x:v>act_170008509278498</x:v>
      </x:c>
      <x:c r="B235" t="str">
        <x:v>Doruk Hospital</x:v>
      </x:c>
      <x:c r="C235" t="str">
        <x:v>120232619630130080</x:v>
      </x:c>
      <x:c r="D235" t="str">
        <x:v>Arapça FTR Kuveyt Profilden Ziyaret</x:v>
      </x:c>
      <x:c r="E235" t="str">
        <x:v>LINK_CLICKS</x:v>
      </x:c>
      <x:c r="F235" t="str">
        <x:v>ACTIVE</x:v>
      </x:c>
      <x:c r="G235" t="str">
        <x:v>ACTIVE</x:v>
      </x:c>
      <x:c r="H235" t="str">
        <x:v>AUCTION</x:v>
      </x:c>
      <x:c r="I235" s="28" t="n">
        <x:v>4000</x:v>
      </x:c>
      <x:c r="J235" s="28" t="n">
        <x:v>0</x:v>
      </x:c>
      <x:c r="K235" t="str">
        <x:v>2025-10-06T21:10:37+0300</x:v>
      </x:c>
      <x:c r="L235" t="str">
        <x:v>2025-10-13T21:10:37+0300</x:v>
      </x:c>
      <x:c r="M235" t="str">
        <x:v>2025-10-06T21:14:44+0300</x:v>
      </x:c>
    </x:row>
    <x:row r="236">
      <x:c r="A236" t="str">
        <x:v>act_170008509278498</x:v>
      </x:c>
      <x:c r="B236" t="str">
        <x:v>Doruk Hospital</x:v>
      </x:c>
      <x:c r="C236" t="str">
        <x:v>120232619655550080</x:v>
      </x:c>
      <x:c r="D236" t="str">
        <x:v>Arapça FTR Kuveyt Profilden Ziyaret</x:v>
      </x:c>
      <x:c r="E236" t="str">
        <x:v>LINK_CLICKS</x:v>
      </x:c>
      <x:c r="F236" t="str">
        <x:v>PAUSED</x:v>
      </x:c>
      <x:c r="G236" t="str">
        <x:v>PAUSED</x:v>
      </x:c>
      <x:c r="H236" t="str">
        <x:v>AUCTION</x:v>
      </x:c>
      <x:c r="I236" s="28" t="n">
        <x:v>4000</x:v>
      </x:c>
      <x:c r="J236" s="28" t="n">
        <x:v>0</x:v>
      </x:c>
      <x:c r="K236" t="str">
        <x:v>2025-10-06T21:11:49+0300</x:v>
      </x:c>
      <x:c r="L236" t="str">
        <x:v>2025-10-13T21:11:49+0300</x:v>
      </x:c>
      <x:c r="M236" t="str">
        <x:v>2026-02-17T08:45:52+0300</x:v>
      </x:c>
    </x:row>
    <x:row r="237">
      <x:c r="A237" t="str">
        <x:v>act_170008509278498</x:v>
      </x:c>
      <x:c r="B237" t="str">
        <x:v>Doruk Hospital</x:v>
      </x:c>
      <x:c r="C237" t="str">
        <x:v>120232619814300080</x:v>
      </x:c>
      <x:c r="D237" t="str">
        <x:v>Arapça Onkoloji Katar Profil Ziyaret</x:v>
      </x:c>
      <x:c r="E237" t="str">
        <x:v>LINK_CLICKS</x:v>
      </x:c>
      <x:c r="F237" t="str">
        <x:v>ACTIVE</x:v>
      </x:c>
      <x:c r="G237" t="str">
        <x:v>ACTIVE</x:v>
      </x:c>
      <x:c r="H237" t="str">
        <x:v>AUCTION</x:v>
      </x:c>
      <x:c r="I237" s="28" t="n">
        <x:v>3000</x:v>
      </x:c>
      <x:c r="J237" s="28" t="n">
        <x:v>0</x:v>
      </x:c>
      <x:c r="K237" t="str">
        <x:v>2025-10-06T21:18:18+0300</x:v>
      </x:c>
      <x:c r="L237" t="str">
        <x:v>2025-10-13T21:18:18+0300</x:v>
      </x:c>
      <x:c r="M237" t="str">
        <x:v>2025-10-06T21:24:59+0300</x:v>
      </x:c>
    </x:row>
    <x:row r="238">
      <x:c r="A238" t="str">
        <x:v>act_170008509278498</x:v>
      </x:c>
      <x:c r="B238" t="str">
        <x:v>Doruk Hospital</x:v>
      </x:c>
      <x:c r="C238" t="str">
        <x:v>120232619861830080</x:v>
      </x:c>
      <x:c r="D238" t="str">
        <x:v>Arapça Onkoloji Katar Profil Ziyaret</x:v>
      </x:c>
      <x:c r="E238" t="str">
        <x:v>LINK_CLICKS</x:v>
      </x:c>
      <x:c r="F238" t="str">
        <x:v>ACTIVE</x:v>
      </x:c>
      <x:c r="G238" t="str">
        <x:v>ACTIVE</x:v>
      </x:c>
      <x:c r="H238" t="str">
        <x:v>AUCTION</x:v>
      </x:c>
      <x:c r="I238" s="28" t="n">
        <x:v>3000</x:v>
      </x:c>
      <x:c r="J238" s="28" t="n">
        <x:v>0</x:v>
      </x:c>
      <x:c r="K238" t="str">
        <x:v>2025-10-06T21:20:41+0300</x:v>
      </x:c>
      <x:c r="L238" t="str">
        <x:v>2025-10-13T21:20:41+0300</x:v>
      </x:c>
      <x:c r="M238" t="str">
        <x:v>2025-10-06T21:24:59+0300</x:v>
      </x:c>
    </x:row>
    <x:row r="239">
      <x:c r="A239" t="str">
        <x:v>act_170008509278498</x:v>
      </x:c>
      <x:c r="B239" t="str">
        <x:v>Doruk Hospital</x:v>
      </x:c>
      <x:c r="C239" t="str">
        <x:v>120232619958590080</x:v>
      </x:c>
      <x:c r="D239" t="str">
        <x:v>Arapça FTR Katar Profil Ziyaret</x:v>
      </x:c>
      <x:c r="E239" t="str">
        <x:v>LINK_CLICKS</x:v>
      </x:c>
      <x:c r="F239" t="str">
        <x:v>PAUSED</x:v>
      </x:c>
      <x:c r="G239" t="str">
        <x:v>PAUSED</x:v>
      </x:c>
      <x:c r="H239" t="str">
        <x:v>AUCTION</x:v>
      </x:c>
      <x:c r="I239" s="28" t="n">
        <x:v>2000</x:v>
      </x:c>
      <x:c r="J239" s="28" t="n">
        <x:v>0</x:v>
      </x:c>
      <x:c r="K239" t="str">
        <x:v>2025-10-06T21:22:32+0300</x:v>
      </x:c>
      <x:c r="L239" t="str">
        <x:v>2025-10-13T21:22:32+0300</x:v>
      </x:c>
      <x:c r="M239" t="str">
        <x:v>2026-02-17T08:45:46+0300</x:v>
      </x:c>
    </x:row>
    <x:row r="240">
      <x:c r="A240" t="str">
        <x:v>act_170008509278498</x:v>
      </x:c>
      <x:c r="B240" t="str">
        <x:v>Doruk Hospital</x:v>
      </x:c>
      <x:c r="C240" t="str">
        <x:v>120232620002920080</x:v>
      </x:c>
      <x:c r="D240" t="str">
        <x:v>Arapça FTR Katar Profil Ziyaret</x:v>
      </x:c>
      <x:c r="E240" t="str">
        <x:v>LINK_CLICKS</x:v>
      </x:c>
      <x:c r="F240" t="str">
        <x:v>ACTIVE</x:v>
      </x:c>
      <x:c r="G240" t="str">
        <x:v>ACTIVE</x:v>
      </x:c>
      <x:c r="H240" t="str">
        <x:v>AUCTION</x:v>
      </x:c>
      <x:c r="I240" s="28" t="n">
        <x:v>2000</x:v>
      </x:c>
      <x:c r="J240" s="28" t="n">
        <x:v>0</x:v>
      </x:c>
      <x:c r="K240" t="str">
        <x:v>2025-10-06T21:24:21+0300</x:v>
      </x:c>
      <x:c r="L240" t="str">
        <x:v>2025-10-13T21:24:21+0300</x:v>
      </x:c>
      <x:c r="M240" t="str">
        <x:v>2025-10-06T21:39:11+0300</x:v>
      </x:c>
    </x:row>
    <x:row r="241">
      <x:c r="A241" t="str">
        <x:v>act_170008509278498</x:v>
      </x:c>
      <x:c r="B241" t="str">
        <x:v>Doruk Hospital</x:v>
      </x:c>
      <x:c r="C241" t="str">
        <x:v>120232620482430080</x:v>
      </x:c>
      <x:c r="D241" t="str">
        <x:v>Arapça Onkoloji Umman Profil Ziyaret</x:v>
      </x:c>
      <x:c r="E241" t="str">
        <x:v>LINK_CLICKS</x:v>
      </x:c>
      <x:c r="F241" t="str">
        <x:v>ACTIVE</x:v>
      </x:c>
      <x:c r="G241" t="str">
        <x:v>ACTIVE</x:v>
      </x:c>
      <x:c r="H241" t="str">
        <x:v>AUCTION</x:v>
      </x:c>
      <x:c r="I241" s="28" t="n">
        <x:v>2500</x:v>
      </x:c>
      <x:c r="J241" s="28" t="n">
        <x:v>0</x:v>
      </x:c>
      <x:c r="K241" t="str">
        <x:v>2025-10-06T21:30:39+0300</x:v>
      </x:c>
      <x:c r="L241" t="str">
        <x:v>2025-10-13T21:30:39+0300</x:v>
      </x:c>
      <x:c r="M241" t="str">
        <x:v>2025-10-06T21:36:21+0300</x:v>
      </x:c>
    </x:row>
    <x:row r="242">
      <x:c r="A242" t="str">
        <x:v>act_170008509278498</x:v>
      </x:c>
      <x:c r="B242" t="str">
        <x:v>Doruk Hospital</x:v>
      </x:c>
      <x:c r="C242" t="str">
        <x:v>120232620570630080</x:v>
      </x:c>
      <x:c r="D242" t="str">
        <x:v>Arapça Onkoloji Umman Profil Ziyaret</x:v>
      </x:c>
      <x:c r="E242" t="str">
        <x:v>LINK_CLICKS</x:v>
      </x:c>
      <x:c r="F242" t="str">
        <x:v>PAUSED</x:v>
      </x:c>
      <x:c r="G242" t="str">
        <x:v>PAUSED</x:v>
      </x:c>
      <x:c r="H242" t="str">
        <x:v>AUCTION</x:v>
      </x:c>
      <x:c r="I242" s="28" t="n">
        <x:v>2500</x:v>
      </x:c>
      <x:c r="J242" s="28" t="n">
        <x:v>0</x:v>
      </x:c>
      <x:c r="K242" t="str">
        <x:v>2025-10-06T21:32:13+0300</x:v>
      </x:c>
      <x:c r="L242" t="str">
        <x:v>2025-10-13T21:32:13+0300</x:v>
      </x:c>
      <x:c r="M242" t="str">
        <x:v>2026-02-17T08:45:45+0300</x:v>
      </x:c>
    </x:row>
    <x:row r="243">
      <x:c r="A243" t="str">
        <x:v>act_170008509278498</x:v>
      </x:c>
      <x:c r="B243" t="str">
        <x:v>Doruk Hospital</x:v>
      </x:c>
      <x:c r="C243" t="str">
        <x:v>120232620603370080</x:v>
      </x:c>
      <x:c r="D243" t="str">
        <x:v>Arapça FTR Umman Profil Ziyaret</x:v>
      </x:c>
      <x:c r="E243" t="str">
        <x:v>LINK_CLICKS</x:v>
      </x:c>
      <x:c r="F243" t="str">
        <x:v>ACTIVE</x:v>
      </x:c>
      <x:c r="G243" t="str">
        <x:v>ACTIVE</x:v>
      </x:c>
      <x:c r="H243" t="str">
        <x:v>AUCTION</x:v>
      </x:c>
      <x:c r="I243" s="28" t="n">
        <x:v>2000</x:v>
      </x:c>
      <x:c r="J243" s="28" t="n">
        <x:v>0</x:v>
      </x:c>
      <x:c r="K243" t="str">
        <x:v>2025-10-06T21:32:58+0300</x:v>
      </x:c>
      <x:c r="L243" t="str">
        <x:v>2025-10-13T21:32:58+0300</x:v>
      </x:c>
      <x:c r="M243" t="str">
        <x:v>2025-10-06T21:37:13+0300</x:v>
      </x:c>
    </x:row>
    <x:row r="244">
      <x:c r="A244" t="str">
        <x:v>act_170008509278498</x:v>
      </x:c>
      <x:c r="B244" t="str">
        <x:v>Doruk Hospital</x:v>
      </x:c>
      <x:c r="C244" t="str">
        <x:v>120232620671760080</x:v>
      </x:c>
      <x:c r="D244" t="str">
        <x:v>Arapça FTR Umman Profil Ziyaret</x:v>
      </x:c>
      <x:c r="E244" t="str">
        <x:v>LINK_CLICKS</x:v>
      </x:c>
      <x:c r="F244" t="str">
        <x:v>ACTIVE</x:v>
      </x:c>
      <x:c r="G244" t="str">
        <x:v>ACTIVE</x:v>
      </x:c>
      <x:c r="H244" t="str">
        <x:v>AUCTION</x:v>
      </x:c>
      <x:c r="I244" s="28" t="n">
        <x:v>2000</x:v>
      </x:c>
      <x:c r="J244" s="28" t="n">
        <x:v>0</x:v>
      </x:c>
      <x:c r="K244" t="str">
        <x:v>2025-10-06T21:34:20+0300</x:v>
      </x:c>
      <x:c r="L244" t="str">
        <x:v>2025-10-13T21:34:20+0300</x:v>
      </x:c>
      <x:c r="M244" t="str">
        <x:v>2025-10-06T21:37:13+0300</x:v>
      </x:c>
    </x:row>
    <x:row r="245">
      <x:c r="A245" t="str">
        <x:v>act_170008509278498</x:v>
      </x:c>
      <x:c r="B245" t="str">
        <x:v>Doruk Hospital</x:v>
      </x:c>
      <x:c r="C245" t="str">
        <x:v>120232621128380080</x:v>
      </x:c>
      <x:c r="D245" t="str">
        <x:v>Arapça Onkoloji Bahreyn Profil Ziyaret</x:v>
      </x:c>
      <x:c r="E245" t="str">
        <x:v>LINK_CLICKS</x:v>
      </x:c>
      <x:c r="F245" t="str">
        <x:v>ACTIVE</x:v>
      </x:c>
      <x:c r="G245" t="str">
        <x:v>ACTIVE</x:v>
      </x:c>
      <x:c r="H245" t="str">
        <x:v>AUCTION</x:v>
      </x:c>
      <x:c r="I245" s="28" t="n">
        <x:v>2000</x:v>
      </x:c>
      <x:c r="J245" s="28" t="n">
        <x:v>0</x:v>
      </x:c>
      <x:c r="K245" t="str">
        <x:v>2025-10-06T21:43:23+0300</x:v>
      </x:c>
      <x:c r="L245" t="str">
        <x:v>2025-10-13T21:43:23+0300</x:v>
      </x:c>
      <x:c r="M245" t="str">
        <x:v>2025-10-06T21:48:12+0300</x:v>
      </x:c>
    </x:row>
    <x:row r="246">
      <x:c r="A246" t="str">
        <x:v>act_170008509278498</x:v>
      </x:c>
      <x:c r="B246" t="str">
        <x:v>Doruk Hospital</x:v>
      </x:c>
      <x:c r="C246" t="str">
        <x:v>120232621194630080</x:v>
      </x:c>
      <x:c r="D246" t="str">
        <x:v>Arapça Onkoloji Bahreyn Profil Ziyaret</x:v>
      </x:c>
      <x:c r="E246" t="str">
        <x:v>LINK_CLICKS</x:v>
      </x:c>
      <x:c r="F246" t="str">
        <x:v>ACTIVE</x:v>
      </x:c>
      <x:c r="G246" t="str">
        <x:v>ACTIVE</x:v>
      </x:c>
      <x:c r="H246" t="str">
        <x:v>AUCTION</x:v>
      </x:c>
      <x:c r="I246" s="28" t="n">
        <x:v>2000</x:v>
      </x:c>
      <x:c r="J246" s="28" t="n">
        <x:v>0</x:v>
      </x:c>
      <x:c r="K246" t="str">
        <x:v>2025-10-06T21:44:48+0300</x:v>
      </x:c>
      <x:c r="L246" t="str">
        <x:v>2025-10-13T21:44:48+0300</x:v>
      </x:c>
      <x:c r="M246" t="str">
        <x:v>2025-10-06T21:48:12+0300</x:v>
      </x:c>
    </x:row>
    <x:row r="247">
      <x:c r="A247" t="str">
        <x:v>act_170008509278498</x:v>
      </x:c>
      <x:c r="B247" t="str">
        <x:v>Doruk Hospital</x:v>
      </x:c>
      <x:c r="C247" t="str">
        <x:v>120232621257490080</x:v>
      </x:c>
      <x:c r="D247" t="str">
        <x:v>Arapça FTR Bahreyn Profil Ziyaret</x:v>
      </x:c>
      <x:c r="E247" t="str">
        <x:v>LINK_CLICKS</x:v>
      </x:c>
      <x:c r="F247" t="str">
        <x:v>ACTIVE</x:v>
      </x:c>
      <x:c r="G247" t="str">
        <x:v>ACTIVE</x:v>
      </x:c>
      <x:c r="H247" t="str">
        <x:v>AUCTION</x:v>
      </x:c>
      <x:c r="I247" s="28" t="n">
        <x:v>1500</x:v>
      </x:c>
      <x:c r="J247" s="28" t="n">
        <x:v>0</x:v>
      </x:c>
      <x:c r="K247" t="str">
        <x:v>2025-10-06T21:45:50+0300</x:v>
      </x:c>
      <x:c r="L247" t="str">
        <x:v>2025-10-13T21:45:50+0300</x:v>
      </x:c>
      <x:c r="M247" t="str">
        <x:v>2025-10-06T21:48:35+0300</x:v>
      </x:c>
    </x:row>
    <x:row r="248">
      <x:c r="A248" t="str">
        <x:v>act_170008509278498</x:v>
      </x:c>
      <x:c r="B248" t="str">
        <x:v>Doruk Hospital</x:v>
      </x:c>
      <x:c r="C248" t="str">
        <x:v>120232621317260080</x:v>
      </x:c>
      <x:c r="D248" t="str">
        <x:v>Arapça FTR Bahreyn Profil Ziyaret</x:v>
      </x:c>
      <x:c r="E248" t="str">
        <x:v>LINK_CLICKS</x:v>
      </x:c>
      <x:c r="F248" t="str">
        <x:v>PAUSED</x:v>
      </x:c>
      <x:c r="G248" t="str">
        <x:v>PAUSED</x:v>
      </x:c>
      <x:c r="H248" t="str">
        <x:v>AUCTION</x:v>
      </x:c>
      <x:c r="I248" s="28" t="n">
        <x:v>1500</x:v>
      </x:c>
      <x:c r="J248" s="28" t="n">
        <x:v>0</x:v>
      </x:c>
      <x:c r="K248" t="str">
        <x:v>2025-10-06T21:47:06+0300</x:v>
      </x:c>
      <x:c r="L248" t="str">
        <x:v>2025-10-13T21:47:06+0300</x:v>
      </x:c>
      <x:c r="M248" t="str">
        <x:v>2026-02-17T08:45:47+0300</x:v>
      </x:c>
    </x:row>
    <x:row r="249">
      <x:c r="A249" t="str">
        <x:v>act_170008509278498</x:v>
      </x:c>
      <x:c r="B249" t="str">
        <x:v>Doruk Hospital</x:v>
      </x:c>
      <x:c r="C249" t="str">
        <x:v>120232621529250080</x:v>
      </x:c>
      <x:c r="D249" t="str">
        <x:v>Arapça Onkoloji BAE Profilden Ziyaret</x:v>
      </x:c>
      <x:c r="E249" t="str">
        <x:v>LINK_CLICKS</x:v>
      </x:c>
      <x:c r="F249" t="str">
        <x:v>ACTIVE</x:v>
      </x:c>
      <x:c r="G249" t="str">
        <x:v>ACTIVE</x:v>
      </x:c>
      <x:c r="H249" t="str">
        <x:v>AUCTION</x:v>
      </x:c>
      <x:c r="I249" s="28" t="n">
        <x:v>2500</x:v>
      </x:c>
      <x:c r="J249" s="28" t="n">
        <x:v>0</x:v>
      </x:c>
      <x:c r="K249" t="str">
        <x:v>2025-10-06T21:52:47+0300</x:v>
      </x:c>
      <x:c r="L249" t="str">
        <x:v>2025-10-13T21:52:47+0300</x:v>
      </x:c>
      <x:c r="M249" t="str">
        <x:v>2025-10-06T21:55:38+0300</x:v>
      </x:c>
    </x:row>
    <x:row r="250">
      <x:c r="A250" t="str">
        <x:v>act_170008509278498</x:v>
      </x:c>
      <x:c r="B250" t="str">
        <x:v>Doruk Hospital</x:v>
      </x:c>
      <x:c r="C250" t="str">
        <x:v>120232621561570080</x:v>
      </x:c>
      <x:c r="D250" t="str">
        <x:v>Arapça Onkoloji BAE Profilden Ziyaret</x:v>
      </x:c>
      <x:c r="E250" t="str">
        <x:v>LINK_CLICKS</x:v>
      </x:c>
      <x:c r="F250" t="str">
        <x:v>PAUSED</x:v>
      </x:c>
      <x:c r="G250" t="str">
        <x:v>PAUSED</x:v>
      </x:c>
      <x:c r="H250" t="str">
        <x:v>AUCTION</x:v>
      </x:c>
      <x:c r="I250" s="28" t="n">
        <x:v>2500</x:v>
      </x:c>
      <x:c r="J250" s="28" t="n">
        <x:v>0</x:v>
      </x:c>
      <x:c r="K250" t="str">
        <x:v>2025-10-06T21:54:03+0300</x:v>
      </x:c>
      <x:c r="L250" t="str">
        <x:v>2025-10-13T21:54:03+0300</x:v>
      </x:c>
      <x:c r="M250" t="str">
        <x:v>2026-02-17T08:45:43+0300</x:v>
      </x:c>
    </x:row>
    <x:row r="251">
      <x:c r="A251" t="str">
        <x:v>act_170008509278498</x:v>
      </x:c>
      <x:c r="B251" t="str">
        <x:v>Doruk Hospital</x:v>
      </x:c>
      <x:c r="C251" t="str">
        <x:v>120232621577000080</x:v>
      </x:c>
      <x:c r="D251" t="str">
        <x:v>Arapça FTR BAE profilden ziyaret</x:v>
      </x:c>
      <x:c r="E251" t="str">
        <x:v>LINK_CLICKS</x:v>
      </x:c>
      <x:c r="F251" t="str">
        <x:v>PAUSED</x:v>
      </x:c>
      <x:c r="G251" t="str">
        <x:v>PAUSED</x:v>
      </x:c>
      <x:c r="H251" t="str">
        <x:v>AUCTION</x:v>
      </x:c>
      <x:c r="I251" s="28" t="n">
        <x:v>2000</x:v>
      </x:c>
      <x:c r="J251" s="28" t="n">
        <x:v>0</x:v>
      </x:c>
      <x:c r="K251" t="str">
        <x:v>2025-10-06T21:54:53+0300</x:v>
      </x:c>
      <x:c r="L251" t="str">
        <x:v>2025-10-13T21:54:53+0300</x:v>
      </x:c>
      <x:c r="M251" t="str">
        <x:v>2026-02-17T08:45:50+0300</x:v>
      </x:c>
    </x:row>
    <x:row r="252">
      <x:c r="A252" t="str">
        <x:v>act_170008509278498</x:v>
      </x:c>
      <x:c r="B252" t="str">
        <x:v>Doruk Hospital</x:v>
      </x:c>
      <x:c r="C252" t="str">
        <x:v>120232621586440080</x:v>
      </x:c>
      <x:c r="D252" t="str">
        <x:v>Arapça FTR BAE profilden ziyaret</x:v>
      </x:c>
      <x:c r="E252" t="str">
        <x:v>LINK_CLICKS</x:v>
      </x:c>
      <x:c r="F252" t="str">
        <x:v>PAUSED</x:v>
      </x:c>
      <x:c r="G252" t="str">
        <x:v>PAUSED</x:v>
      </x:c>
      <x:c r="H252" t="str">
        <x:v>AUCTION</x:v>
      </x:c>
      <x:c r="I252" s="28" t="n">
        <x:v>2000</x:v>
      </x:c>
      <x:c r="J252" s="28" t="n">
        <x:v>0</x:v>
      </x:c>
      <x:c r="K252" t="str">
        <x:v>2025-10-06T21:55:42+0300</x:v>
      </x:c>
      <x:c r="L252" t="str">
        <x:v>2025-10-13T21:55:42+0300</x:v>
      </x:c>
      <x:c r="M252" t="str">
        <x:v>2026-02-14T14:34:23+0300</x:v>
      </x:c>
    </x:row>
    <x:row r="253">
      <x:c r="A253" t="str">
        <x:v>act_170008509278498</x:v>
      </x:c>
      <x:c r="B253" t="str">
        <x:v>Doruk Hospital</x:v>
      </x:c>
      <x:c r="C253" t="str">
        <x:v>120232694676960080</x:v>
      </x:c>
      <x:c r="D253" t="str">
        <x:v>Rusça FTR Özbekistan Profilden Ziyaret</x:v>
      </x:c>
      <x:c r="E253" t="str">
        <x:v>LINK_CLICKS</x:v>
      </x:c>
      <x:c r="F253" t="str">
        <x:v>PAUSED</x:v>
      </x:c>
      <x:c r="G253" t="str">
        <x:v>PAUSED</x:v>
      </x:c>
      <x:c r="H253" t="str">
        <x:v>AUCTION</x:v>
      </x:c>
      <x:c r="I253" s="28" t="n">
        <x:v>1750</x:v>
      </x:c>
      <x:c r="J253" s="28" t="n">
        <x:v>0</x:v>
      </x:c>
      <x:c r="K253" t="str">
        <x:v>2025-10-08T10:14:35+0300</x:v>
      </x:c>
      <x:c r="L253" t="str">
        <x:v>2025-10-15T10:14:35+0300</x:v>
      </x:c>
      <x:c r="M253" t="str">
        <x:v>2025-10-10T12:11:56+0300</x:v>
      </x:c>
    </x:row>
    <x:row r="254">
      <x:c r="A254" t="str">
        <x:v>act_170008509278498</x:v>
      </x:c>
      <x:c r="B254" t="str">
        <x:v>Doruk Hospital</x:v>
      </x:c>
      <x:c r="C254" t="str">
        <x:v>120232695526430080</x:v>
      </x:c>
      <x:c r="D254" t="str">
        <x:v>Rusça Onkoloji Özbekistan Profilden Ziyaret</x:v>
      </x:c>
      <x:c r="E254" t="str">
        <x:v>LINK_CLICKS</x:v>
      </x:c>
      <x:c r="F254" t="str">
        <x:v>PAUSED</x:v>
      </x:c>
      <x:c r="G254" t="str">
        <x:v>PAUSED</x:v>
      </x:c>
      <x:c r="H254" t="str">
        <x:v>AUCTION</x:v>
      </x:c>
      <x:c r="I254" s="28" t="n">
        <x:v>2500</x:v>
      </x:c>
      <x:c r="J254" s="28" t="n">
        <x:v>0</x:v>
      </x:c>
      <x:c r="K254" t="str">
        <x:v>2025-10-08T10:40:37+0300</x:v>
      </x:c>
      <x:c r="L254" t="str">
        <x:v>2025-10-15T10:40:37+0300</x:v>
      </x:c>
      <x:c r="M254" t="str">
        <x:v>2025-10-16T21:17:25+0300</x:v>
      </x:c>
    </x:row>
    <x:row r="255">
      <x:c r="A255" t="str">
        <x:v>act_170008509278498</x:v>
      </x:c>
      <x:c r="B255" t="str">
        <x:v>Doruk Hospital</x:v>
      </x:c>
      <x:c r="C255" t="str">
        <x:v>120232695681450080</x:v>
      </x:c>
      <x:c r="D255" t="str">
        <x:v>Rusça Onkoloji Kırgızistan Profilden Ziyaret</x:v>
      </x:c>
      <x:c r="E255" t="str">
        <x:v>LINK_CLICKS</x:v>
      </x:c>
      <x:c r="F255" t="str">
        <x:v>PAUSED</x:v>
      </x:c>
      <x:c r="G255" t="str">
        <x:v>PAUSED</x:v>
      </x:c>
      <x:c r="H255" t="str">
        <x:v>AUCTION</x:v>
      </x:c>
      <x:c r="I255" s="28" t="n">
        <x:v>1500</x:v>
      </x:c>
      <x:c r="J255" s="28" t="n">
        <x:v>0</x:v>
      </x:c>
      <x:c r="K255" t="str">
        <x:v>2025-10-08T10:44:48+0300</x:v>
      </x:c>
      <x:c r="L255" t="str">
        <x:v>2025-10-15T10:44:48+0300</x:v>
      </x:c>
      <x:c r="M255" t="str">
        <x:v>2025-10-16T21:17:26+0300</x:v>
      </x:c>
    </x:row>
    <x:row r="256">
      <x:c r="A256" t="str">
        <x:v>act_170008509278498</x:v>
      </x:c>
      <x:c r="B256" t="str">
        <x:v>Doruk Hospital</x:v>
      </x:c>
      <x:c r="C256" t="str">
        <x:v>120232696259960080</x:v>
      </x:c>
      <x:c r="D256" t="str">
        <x:v>Rusça Onkoloji Kırgızistan Profilden Ziyaret</x:v>
      </x:c>
      <x:c r="E256" t="str">
        <x:v>LINK_CLICKS</x:v>
      </x:c>
      <x:c r="F256" t="str">
        <x:v>PAUSED</x:v>
      </x:c>
      <x:c r="G256" t="str">
        <x:v>PAUSED</x:v>
      </x:c>
      <x:c r="H256" t="str">
        <x:v>AUCTION</x:v>
      </x:c>
      <x:c r="I256" s="28" t="n">
        <x:v>1500</x:v>
      </x:c>
      <x:c r="J256" s="28" t="n">
        <x:v>0</x:v>
      </x:c>
      <x:c r="K256" t="str">
        <x:v>2025-10-08T10:56:38+0300</x:v>
      </x:c>
      <x:c r="L256" t="str">
        <x:v>2025-10-15T10:56:38+0300</x:v>
      </x:c>
      <x:c r="M256" t="str">
        <x:v>2025-10-16T21:17:26+0300</x:v>
      </x:c>
    </x:row>
    <x:row r="257">
      <x:c r="A257" t="str">
        <x:v>act_170008509278498</x:v>
      </x:c>
      <x:c r="B257" t="str">
        <x:v>Doruk Hospital</x:v>
      </x:c>
      <x:c r="C257" t="str">
        <x:v>120232719606380080</x:v>
      </x:c>
      <x:c r="D257" t="str">
        <x:v>Onkoloji - Onkoloji Genel - Türki Cumhuriyetler - Tümü - RU - Lechenie v Turtsii - Lead</x:v>
      </x:c>
      <x:c r="E257" t="str">
        <x:v>OUTCOME_LEADS</x:v>
      </x:c>
      <x:c r="F257" t="str">
        <x:v>PAUSED</x:v>
      </x:c>
      <x:c r="G257" t="str">
        <x:v>PAUSED</x:v>
      </x:c>
      <x:c r="H257" t="str">
        <x:v>AUCTION</x:v>
      </x:c>
      <x:c r="I257" s="28" t="n">
        <x:v>0</x:v>
      </x:c>
      <x:c r="J257" s="28" t="n">
        <x:v>0</x:v>
      </x:c>
      <x:c r="K257" t="str">
        <x:v>2025-10-08T17:38:30+0300</x:v>
      </x:c>
      <x:c r="L257"/>
      <x:c r="M257" t="str">
        <x:v>2026-01-27T10:38:50+0300</x:v>
      </x:c>
    </x:row>
    <x:row r="258">
      <x:c r="A258" t="str">
        <x:v>act_170008509278498</x:v>
      </x:c>
      <x:c r="B258" t="str">
        <x:v>Doruk Hospital</x:v>
      </x:c>
      <x:c r="C258" t="str">
        <x:v>120232769281030080</x:v>
      </x:c>
      <x:c r="D258" t="str">
        <x:v>Onkoloji – Onkoloji Genel - Arap Bölgesi – Tümü – AR – Doruk İlaj Turkia – lead</x:v>
      </x:c>
      <x:c r="E258" t="str">
        <x:v>OUTCOME_LEADS</x:v>
      </x:c>
      <x:c r="F258" t="str">
        <x:v>PAUSED</x:v>
      </x:c>
      <x:c r="G258" t="str">
        <x:v>PAUSED</x:v>
      </x:c>
      <x:c r="H258" t="str">
        <x:v>AUCTION</x:v>
      </x:c>
      <x:c r="I258" s="28" t="n">
        <x:v>0</x:v>
      </x:c>
      <x:c r="J258" s="28" t="n">
        <x:v>0</x:v>
      </x:c>
      <x:c r="K258" t="str">
        <x:v>2025-10-09T21:30:08+0300</x:v>
      </x:c>
      <x:c r="L258"/>
      <x:c r="M258" t="str">
        <x:v>2026-01-27T10:39:23+0300</x:v>
      </x:c>
    </x:row>
    <x:row r="259">
      <x:c r="A259" t="str">
        <x:v>act_170008509278498</x:v>
      </x:c>
      <x:c r="B259" t="str">
        <x:v>Doruk Hospital</x:v>
      </x:c>
      <x:c r="C259" t="str">
        <x:v>120232792846800080</x:v>
      </x:c>
      <x:c r="D259" t="str">
        <x:v>Rusça FTR Özbekistan Profilden Ziyaret</x:v>
      </x:c>
      <x:c r="E259" t="str">
        <x:v>LINK_CLICKS</x:v>
      </x:c>
      <x:c r="F259" t="str">
        <x:v>PAUSED</x:v>
      </x:c>
      <x:c r="G259" t="str">
        <x:v>PAUSED</x:v>
      </x:c>
      <x:c r="H259" t="str">
        <x:v>AUCTION</x:v>
      </x:c>
      <x:c r="I259" s="28" t="n">
        <x:v>1750</x:v>
      </x:c>
      <x:c r="J259" s="28" t="n">
        <x:v>0</x:v>
      </x:c>
      <x:c r="K259" t="str">
        <x:v>2025-10-09T21:56:05+0300</x:v>
      </x:c>
      <x:c r="L259" t="str">
        <x:v>2025-10-16T21:56:05+0300</x:v>
      </x:c>
      <x:c r="M259" t="str">
        <x:v>2025-10-16T12:43:00+0300</x:v>
      </x:c>
    </x:row>
    <x:row r="260">
      <x:c r="A260" t="str">
        <x:v>act_170008509278498</x:v>
      </x:c>
      <x:c r="B260" t="str">
        <x:v>Doruk Hospital</x:v>
      </x:c>
      <x:c r="C260" t="str">
        <x:v>120232792899780080</x:v>
      </x:c>
      <x:c r="D260" t="str">
        <x:v>Rusça FTR Kırgızistan Profilden Ziyaret</x:v>
      </x:c>
      <x:c r="E260" t="str">
        <x:v>LINK_CLICKS</x:v>
      </x:c>
      <x:c r="F260" t="str">
        <x:v>PAUSED</x:v>
      </x:c>
      <x:c r="G260" t="str">
        <x:v>PAUSED</x:v>
      </x:c>
      <x:c r="H260" t="str">
        <x:v>AUCTION</x:v>
      </x:c>
      <x:c r="I260" s="28" t="n">
        <x:v>1250</x:v>
      </x:c>
      <x:c r="J260" s="28" t="n">
        <x:v>0</x:v>
      </x:c>
      <x:c r="K260" t="str">
        <x:v>2025-10-09T21:58:07+0300</x:v>
      </x:c>
      <x:c r="L260" t="str">
        <x:v>2025-10-16T21:58:07+0300</x:v>
      </x:c>
      <x:c r="M260" t="str">
        <x:v>2025-10-16T12:42:49+0300</x:v>
      </x:c>
    </x:row>
    <x:row r="261">
      <x:c r="A261" t="str">
        <x:v>act_170008509278498</x:v>
      </x:c>
      <x:c r="B261" t="str">
        <x:v>Doruk Hospital</x:v>
      </x:c>
      <x:c r="C261" t="str">
        <x:v>120232792947200080</x:v>
      </x:c>
      <x:c r="D261" t="str">
        <x:v>Rusça FTR Kırgızistan Profilden Ziyaret</x:v>
      </x:c>
      <x:c r="E261" t="str">
        <x:v>LINK_CLICKS</x:v>
      </x:c>
      <x:c r="F261" t="str">
        <x:v>PAUSED</x:v>
      </x:c>
      <x:c r="G261" t="str">
        <x:v>PAUSED</x:v>
      </x:c>
      <x:c r="H261" t="str">
        <x:v>AUCTION</x:v>
      </x:c>
      <x:c r="I261" s="28" t="n">
        <x:v>1250</x:v>
      </x:c>
      <x:c r="J261" s="28" t="n">
        <x:v>0</x:v>
      </x:c>
      <x:c r="K261" t="str">
        <x:v>2025-10-09T21:59:49+0300</x:v>
      </x:c>
      <x:c r="L261" t="str">
        <x:v>2025-10-16T21:59:49+0300</x:v>
      </x:c>
      <x:c r="M261" t="str">
        <x:v>2025-10-16T12:42:32+0300</x:v>
      </x:c>
    </x:row>
    <x:row r="262">
      <x:c r="A262" t="str">
        <x:v>act_170008509278498</x:v>
      </x:c>
      <x:c r="B262" t="str">
        <x:v>Doruk Hospital</x:v>
      </x:c>
      <x:c r="C262" t="str">
        <x:v>120232793080070080</x:v>
      </x:c>
      <x:c r="D262" t="str">
        <x:v>Rusça FTR Kazakistan Profilden Ziyaret</x:v>
      </x:c>
      <x:c r="E262" t="str">
        <x:v>LINK_CLICKS</x:v>
      </x:c>
      <x:c r="F262" t="str">
        <x:v>PAUSED</x:v>
      </x:c>
      <x:c r="G262" t="str">
        <x:v>PAUSED</x:v>
      </x:c>
      <x:c r="H262" t="str">
        <x:v>AUCTION</x:v>
      </x:c>
      <x:c r="I262" s="28" t="n">
        <x:v>2500</x:v>
      </x:c>
      <x:c r="J262" s="28" t="n">
        <x:v>0</x:v>
      </x:c>
      <x:c r="K262" t="str">
        <x:v>2025-10-09T22:06:41+0300</x:v>
      </x:c>
      <x:c r="L262" t="str">
        <x:v>2025-10-16T22:06:41+0300</x:v>
      </x:c>
      <x:c r="M262" t="str">
        <x:v>2025-10-16T12:42:06+0300</x:v>
      </x:c>
    </x:row>
    <x:row r="263">
      <x:c r="A263" t="str">
        <x:v>act_170008509278498</x:v>
      </x:c>
      <x:c r="B263" t="str">
        <x:v>Doruk Hospital</x:v>
      </x:c>
      <x:c r="C263" t="str">
        <x:v>120232793195460080</x:v>
      </x:c>
      <x:c r="D263" t="str">
        <x:v>Rusça FTR Kazakistan Profilden Ziyaret</x:v>
      </x:c>
      <x:c r="E263" t="str">
        <x:v>LINK_CLICKS</x:v>
      </x:c>
      <x:c r="F263" t="str">
        <x:v>PAUSED</x:v>
      </x:c>
      <x:c r="G263" t="str">
        <x:v>PAUSED</x:v>
      </x:c>
      <x:c r="H263" t="str">
        <x:v>AUCTION</x:v>
      </x:c>
      <x:c r="I263" s="28" t="n">
        <x:v>2500</x:v>
      </x:c>
      <x:c r="J263" s="28" t="n">
        <x:v>0</x:v>
      </x:c>
      <x:c r="K263" t="str">
        <x:v>2025-10-09T22:09:59+0300</x:v>
      </x:c>
      <x:c r="L263" t="str">
        <x:v>2025-10-16T22:09:59+0300</x:v>
      </x:c>
      <x:c r="M263" t="str">
        <x:v>2025-10-16T12:41:49+0300</x:v>
      </x:c>
    </x:row>
    <x:row r="264">
      <x:c r="A264" t="str">
        <x:v>act_170008509278498</x:v>
      </x:c>
      <x:c r="B264" t="str">
        <x:v>Doruk Hospital</x:v>
      </x:c>
      <x:c r="C264" t="str">
        <x:v>120232793566570080</x:v>
      </x:c>
      <x:c r="D264" t="str">
        <x:v>Rusça Onkoloji Özbekistan Profilden Ziyaret</x:v>
      </x:c>
      <x:c r="E264" t="str">
        <x:v>LINK_CLICKS</x:v>
      </x:c>
      <x:c r="F264" t="str">
        <x:v>PAUSED</x:v>
      </x:c>
      <x:c r="G264" t="str">
        <x:v>PAUSED</x:v>
      </x:c>
      <x:c r="H264" t="str">
        <x:v>AUCTION</x:v>
      </x:c>
      <x:c r="I264" s="28" t="n">
        <x:v>2500</x:v>
      </x:c>
      <x:c r="J264" s="28" t="n">
        <x:v>0</x:v>
      </x:c>
      <x:c r="K264" t="str">
        <x:v>2025-10-09T22:13:48+0300</x:v>
      </x:c>
      <x:c r="L264" t="str">
        <x:v>2025-10-16T22:13:48+0300</x:v>
      </x:c>
      <x:c r="M264" t="str">
        <x:v>2025-10-16T12:41:35+0300</x:v>
      </x:c>
    </x:row>
    <x:row r="265">
      <x:c r="A265" t="str">
        <x:v>act_170008509278498</x:v>
      </x:c>
      <x:c r="B265" t="str">
        <x:v>Doruk Hospital</x:v>
      </x:c>
      <x:c r="C265" t="str">
        <x:v>120232793613960080</x:v>
      </x:c>
      <x:c r="D265" t="str">
        <x:v>Rusça Onkoloji Kazakistan Profilden Ziyaret</x:v>
      </x:c>
      <x:c r="E265" t="str">
        <x:v>LINK_CLICKS</x:v>
      </x:c>
      <x:c r="F265" t="str">
        <x:v>PAUSED</x:v>
      </x:c>
      <x:c r="G265" t="str">
        <x:v>PAUSED</x:v>
      </x:c>
      <x:c r="H265" t="str">
        <x:v>AUCTION</x:v>
      </x:c>
      <x:c r="I265" s="28" t="n">
        <x:v>2500</x:v>
      </x:c>
      <x:c r="J265" s="28" t="n">
        <x:v>0</x:v>
      </x:c>
      <x:c r="K265" t="str">
        <x:v>2025-10-09T22:15:44+0300</x:v>
      </x:c>
      <x:c r="L265" t="str">
        <x:v>2025-10-16T22:15:44+0300</x:v>
      </x:c>
      <x:c r="M265" t="str">
        <x:v>2025-10-16T12:41:03+0300</x:v>
      </x:c>
    </x:row>
    <x:row r="266">
      <x:c r="A266" t="str">
        <x:v>act_170008509278498</x:v>
      </x:c>
      <x:c r="B266" t="str">
        <x:v>Doruk Hospital</x:v>
      </x:c>
      <x:c r="C266" t="str">
        <x:v>120232793708420080</x:v>
      </x:c>
      <x:c r="D266" t="str">
        <x:v>Rusça Onkoloji Kazakistan Profilden Ziyaret</x:v>
      </x:c>
      <x:c r="E266" t="str">
        <x:v>LINK_CLICKS</x:v>
      </x:c>
      <x:c r="F266" t="str">
        <x:v>PAUSED</x:v>
      </x:c>
      <x:c r="G266" t="str">
        <x:v>PAUSED</x:v>
      </x:c>
      <x:c r="H266" t="str">
        <x:v>AUCTION</x:v>
      </x:c>
      <x:c r="I266" s="28" t="n">
        <x:v>3000</x:v>
      </x:c>
      <x:c r="J266" s="28" t="n">
        <x:v>0</x:v>
      </x:c>
      <x:c r="K266" t="str">
        <x:v>2025-10-09T22:19:55+0300</x:v>
      </x:c>
      <x:c r="L266" t="str">
        <x:v>2025-10-16T22:19:55+0300</x:v>
      </x:c>
      <x:c r="M266" t="str">
        <x:v>2025-10-16T12:40:51+0300</x:v>
      </x:c>
    </x:row>
    <x:row r="267">
      <x:c r="A267" t="str">
        <x:v>act_170008509278498</x:v>
      </x:c>
      <x:c r="B267" t="str">
        <x:v>Doruk Hospital</x:v>
      </x:c>
      <x:c r="C267" t="str">
        <x:v>120233187287230080</x:v>
      </x:c>
      <x:c r="D267" t="str">
        <x:v>Rusça Onkoloji Özbekistan Profilden Ziyaret</x:v>
      </x:c>
      <x:c r="E267" t="str">
        <x:v>LINK_CLICKS</x:v>
      </x:c>
      <x:c r="F267" t="str">
        <x:v>PAUSED</x:v>
      </x:c>
      <x:c r="G267" t="str">
        <x:v>PAUSED</x:v>
      </x:c>
      <x:c r="H267" t="str">
        <x:v>AUCTION</x:v>
      </x:c>
      <x:c r="I267" s="28" t="n">
        <x:v>2500</x:v>
      </x:c>
      <x:c r="J267" s="28" t="n">
        <x:v>0</x:v>
      </x:c>
      <x:c r="K267" t="str">
        <x:v>2025-10-16T21:25:09+0300</x:v>
      </x:c>
      <x:c r="L267" t="str">
        <x:v>2025-11-01T21:25:09+0300</x:v>
      </x:c>
      <x:c r="M267" t="str">
        <x:v>2025-10-27T14:45:22+0300</x:v>
      </x:c>
    </x:row>
    <x:row r="268">
      <x:c r="A268" t="str">
        <x:v>act_170008509278498</x:v>
      </x:c>
      <x:c r="B268" t="str">
        <x:v>Doruk Hospital</x:v>
      </x:c>
      <x:c r="C268" t="str">
        <x:v>120233187707790080</x:v>
      </x:c>
      <x:c r="D268" t="str">
        <x:v>Rusça Onkoloji Kazakistan Profilden Ziyaret</x:v>
      </x:c>
      <x:c r="E268" t="str">
        <x:v>LINK_CLICKS</x:v>
      </x:c>
      <x:c r="F268" t="str">
        <x:v>PAUSED</x:v>
      </x:c>
      <x:c r="G268" t="str">
        <x:v>PAUSED</x:v>
      </x:c>
      <x:c r="H268" t="str">
        <x:v>AUCTION</x:v>
      </x:c>
      <x:c r="I268" s="28" t="n">
        <x:v>3750</x:v>
      </x:c>
      <x:c r="J268" s="28" t="n">
        <x:v>0</x:v>
      </x:c>
      <x:c r="K268" t="str">
        <x:v>2025-10-16T21:27:44+0300</x:v>
      </x:c>
      <x:c r="L268" t="str">
        <x:v>2025-11-01T21:27:44+0300</x:v>
      </x:c>
      <x:c r="M268" t="str">
        <x:v>2025-10-27T14:45:22+0300</x:v>
      </x:c>
    </x:row>
    <x:row r="269">
      <x:c r="A269" t="str">
        <x:v>act_170008509278498</x:v>
      </x:c>
      <x:c r="B269" t="str">
        <x:v>Doruk Hospital</x:v>
      </x:c>
      <x:c r="C269" t="str">
        <x:v>120233188120190080</x:v>
      </x:c>
      <x:c r="D269" t="str">
        <x:v>Rusça Onkoloji Kırgızistan Profilden Ziyaret</x:v>
      </x:c>
      <x:c r="E269" t="str">
        <x:v>LINK_CLICKS</x:v>
      </x:c>
      <x:c r="F269" t="str">
        <x:v>PAUSED</x:v>
      </x:c>
      <x:c r="G269" t="str">
        <x:v>PAUSED</x:v>
      </x:c>
      <x:c r="H269" t="str">
        <x:v>AUCTION</x:v>
      </x:c>
      <x:c r="I269" s="28" t="n">
        <x:v>1500</x:v>
      </x:c>
      <x:c r="J269" s="28" t="n">
        <x:v>0</x:v>
      </x:c>
      <x:c r="K269" t="str">
        <x:v>2025-10-16T21:32:18+0300</x:v>
      </x:c>
      <x:c r="L269" t="str">
        <x:v>2025-11-01T21:32:18+0300</x:v>
      </x:c>
      <x:c r="M269" t="str">
        <x:v>2025-10-16T22:40:06+0300</x:v>
      </x:c>
    </x:row>
    <x:row r="270">
      <x:c r="A270" t="str">
        <x:v>act_170008509278498</x:v>
      </x:c>
      <x:c r="B270" t="str">
        <x:v>Doruk Hospital</x:v>
      </x:c>
      <x:c r="C270" t="str">
        <x:v>120233188289120080</x:v>
      </x:c>
      <x:c r="D270" t="str">
        <x:v>Rusça Onkoloji Özbekistan Profilden Ziyaret</x:v>
      </x:c>
      <x:c r="E270" t="str">
        <x:v>LINK_CLICKS</x:v>
      </x:c>
      <x:c r="F270" t="str">
        <x:v>PAUSED</x:v>
      </x:c>
      <x:c r="G270" t="str">
        <x:v>PAUSED</x:v>
      </x:c>
      <x:c r="H270" t="str">
        <x:v>AUCTION</x:v>
      </x:c>
      <x:c r="I270" s="28" t="n">
        <x:v>2000</x:v>
      </x:c>
      <x:c r="J270" s="28" t="n">
        <x:v>0</x:v>
      </x:c>
      <x:c r="K270" t="str">
        <x:v>2025-10-16T21:34:25+0300</x:v>
      </x:c>
      <x:c r="L270" t="str">
        <x:v>2025-11-01T21:34:25+0300</x:v>
      </x:c>
      <x:c r="M270" t="str">
        <x:v>2025-10-27T14:45:22+0300</x:v>
      </x:c>
    </x:row>
    <x:row r="271">
      <x:c r="A271" t="str">
        <x:v>act_170008509278498</x:v>
      </x:c>
      <x:c r="B271" t="str">
        <x:v>Doruk Hospital</x:v>
      </x:c>
      <x:c r="C271" t="str">
        <x:v>120233188302630080</x:v>
      </x:c>
      <x:c r="D271" t="str">
        <x:v>Rusça Onkoloji Kırgızistan Profilden Ziyaret</x:v>
      </x:c>
      <x:c r="E271" t="str">
        <x:v>LINK_CLICKS</x:v>
      </x:c>
      <x:c r="F271" t="str">
        <x:v>PAUSED</x:v>
      </x:c>
      <x:c r="G271" t="str">
        <x:v>PAUSED</x:v>
      </x:c>
      <x:c r="H271" t="str">
        <x:v>AUCTION</x:v>
      </x:c>
      <x:c r="I271" s="28" t="n">
        <x:v>1500</x:v>
      </x:c>
      <x:c r="J271" s="28" t="n">
        <x:v>0</x:v>
      </x:c>
      <x:c r="K271" t="str">
        <x:v>2025-10-16T21:35:00+0300</x:v>
      </x:c>
      <x:c r="L271" t="str">
        <x:v>2025-11-01T21:35:00+0300</x:v>
      </x:c>
      <x:c r="M271" t="str">
        <x:v>2025-10-27T14:45:22+0300</x:v>
      </x:c>
    </x:row>
    <x:row r="272">
      <x:c r="A272" t="str">
        <x:v>act_170008509278498</x:v>
      </x:c>
      <x:c r="B272" t="str">
        <x:v>Doruk Hospital</x:v>
      </x:c>
      <x:c r="C272" t="str">
        <x:v>120233188344100080</x:v>
      </x:c>
      <x:c r="D272" t="str">
        <x:v>Rusça Onkoloji Kazakistan Profilden Ziyaret</x:v>
      </x:c>
      <x:c r="E272" t="str">
        <x:v>LINK_CLICKS</x:v>
      </x:c>
      <x:c r="F272" t="str">
        <x:v>PAUSED</x:v>
      </x:c>
      <x:c r="G272" t="str">
        <x:v>PAUSED</x:v>
      </x:c>
      <x:c r="H272" t="str">
        <x:v>AUCTION</x:v>
      </x:c>
      <x:c r="I272" s="28" t="n">
        <x:v>3000</x:v>
      </x:c>
      <x:c r="J272" s="28" t="n">
        <x:v>0</x:v>
      </x:c>
      <x:c r="K272" t="str">
        <x:v>2025-10-16T21:35:52+0300</x:v>
      </x:c>
      <x:c r="L272" t="str">
        <x:v>2025-11-01T21:35:52+0300</x:v>
      </x:c>
      <x:c r="M272" t="str">
        <x:v>2025-10-27T14:45:22+0300</x:v>
      </x:c>
    </x:row>
    <x:row r="273">
      <x:c r="A273" t="str">
        <x:v>act_170008509278498</x:v>
      </x:c>
      <x:c r="B273" t="str">
        <x:v>Doruk Hospital</x:v>
      </x:c>
      <x:c r="C273" t="str">
        <x:v>120233189043570080</x:v>
      </x:c>
      <x:c r="D273" t="str">
        <x:v>Rusça FTR Kazakistan Profilden Ziyaret</x:v>
      </x:c>
      <x:c r="E273" t="str">
        <x:v>LINK_CLICKS</x:v>
      </x:c>
      <x:c r="F273" t="str">
        <x:v>PAUSED</x:v>
      </x:c>
      <x:c r="G273" t="str">
        <x:v>PAUSED</x:v>
      </x:c>
      <x:c r="H273" t="str">
        <x:v>AUCTION</x:v>
      </x:c>
      <x:c r="I273" s="28" t="n">
        <x:v>3000</x:v>
      </x:c>
      <x:c r="J273" s="28" t="n">
        <x:v>0</x:v>
      </x:c>
      <x:c r="K273" t="str">
        <x:v>2025-10-16T22:00:56+0300</x:v>
      </x:c>
      <x:c r="L273" t="str">
        <x:v>2025-11-01T22:00:56+0300</x:v>
      </x:c>
      <x:c r="M273" t="str">
        <x:v>2025-10-27T14:45:22+0300</x:v>
      </x:c>
    </x:row>
    <x:row r="274">
      <x:c r="A274" t="str">
        <x:v>act_170008509278498</x:v>
      </x:c>
      <x:c r="B274" t="str">
        <x:v>Doruk Hospital</x:v>
      </x:c>
      <x:c r="C274" t="str">
        <x:v>120233189054440080</x:v>
      </x:c>
      <x:c r="D274" t="str">
        <x:v>Rusça FTR Kırgızistan Profilden Ziyaret</x:v>
      </x:c>
      <x:c r="E274" t="str">
        <x:v>LINK_CLICKS</x:v>
      </x:c>
      <x:c r="F274" t="str">
        <x:v>PAUSED</x:v>
      </x:c>
      <x:c r="G274" t="str">
        <x:v>PAUSED</x:v>
      </x:c>
      <x:c r="H274" t="str">
        <x:v>AUCTION</x:v>
      </x:c>
      <x:c r="I274" s="28" t="n">
        <x:v>1750</x:v>
      </x:c>
      <x:c r="J274" s="28" t="n">
        <x:v>0</x:v>
      </x:c>
      <x:c r="K274" t="str">
        <x:v>2025-10-16T22:01:35+0300</x:v>
      </x:c>
      <x:c r="L274" t="str">
        <x:v>2025-11-01T22:01:35+0300</x:v>
      </x:c>
      <x:c r="M274" t="str">
        <x:v>2025-10-27T14:45:22+0300</x:v>
      </x:c>
    </x:row>
    <x:row r="275">
      <x:c r="A275" t="str">
        <x:v>act_170008509278498</x:v>
      </x:c>
      <x:c r="B275" t="str">
        <x:v>Doruk Hospital</x:v>
      </x:c>
      <x:c r="C275" t="str">
        <x:v>120233189065110080</x:v>
      </x:c>
      <x:c r="D275" t="str">
        <x:v>Rusça FTR Özbekistan Profilden Ziyaret</x:v>
      </x:c>
      <x:c r="E275" t="str">
        <x:v>LINK_CLICKS</x:v>
      </x:c>
      <x:c r="F275" t="str">
        <x:v>PAUSED</x:v>
      </x:c>
      <x:c r="G275" t="str">
        <x:v>PAUSED</x:v>
      </x:c>
      <x:c r="H275" t="str">
        <x:v>AUCTION</x:v>
      </x:c>
      <x:c r="I275" s="28" t="n">
        <x:v>1750</x:v>
      </x:c>
      <x:c r="J275" s="28" t="n">
        <x:v>0</x:v>
      </x:c>
      <x:c r="K275" t="str">
        <x:v>2025-10-16T22:01:45+0300</x:v>
      </x:c>
      <x:c r="L275" t="str">
        <x:v>2025-11-01T22:01:45+0300</x:v>
      </x:c>
      <x:c r="M275" t="str">
        <x:v>2025-10-27T14:45:22+0300</x:v>
      </x:c>
    </x:row>
    <x:row r="276">
      <x:c r="A276" t="str">
        <x:v>act_170008509278498</x:v>
      </x:c>
      <x:c r="B276" t="str">
        <x:v>Doruk Hospital</x:v>
      </x:c>
      <x:c r="C276" t="str">
        <x:v>120233189411870080</x:v>
      </x:c>
      <x:c r="D276" t="str">
        <x:v>Rusça FTR Kırgızistan Profilden Ziyaret</x:v>
      </x:c>
      <x:c r="E276" t="str">
        <x:v>LINK_CLICKS</x:v>
      </x:c>
      <x:c r="F276" t="str">
        <x:v>PAUSED</x:v>
      </x:c>
      <x:c r="G276" t="str">
        <x:v>PAUSED</x:v>
      </x:c>
      <x:c r="H276" t="str">
        <x:v>AUCTION</x:v>
      </x:c>
      <x:c r="I276" s="28" t="n">
        <x:v>1750</x:v>
      </x:c>
      <x:c r="J276" s="28" t="n">
        <x:v>0</x:v>
      </x:c>
      <x:c r="K276" t="str">
        <x:v>2025-10-16T22:07:06+0300</x:v>
      </x:c>
      <x:c r="L276" t="str">
        <x:v>2025-11-01T22:07:06+0300</x:v>
      </x:c>
      <x:c r="M276" t="str">
        <x:v>2025-10-27T14:45:22+0300</x:v>
      </x:c>
    </x:row>
    <x:row r="277">
      <x:c r="A277" t="str">
        <x:v>act_170008509278498</x:v>
      </x:c>
      <x:c r="B277" t="str">
        <x:v>Doruk Hospital</x:v>
      </x:c>
      <x:c r="C277" t="str">
        <x:v>120233189440810080</x:v>
      </x:c>
      <x:c r="D277" t="str">
        <x:v>Rusça FTR Kazakistan Profilden Ziyaret</x:v>
      </x:c>
      <x:c r="E277" t="str">
        <x:v>LINK_CLICKS</x:v>
      </x:c>
      <x:c r="F277" t="str">
        <x:v>PAUSED</x:v>
      </x:c>
      <x:c r="G277" t="str">
        <x:v>PAUSED</x:v>
      </x:c>
      <x:c r="H277" t="str">
        <x:v>AUCTION</x:v>
      </x:c>
      <x:c r="I277" s="28" t="n">
        <x:v>3000</x:v>
      </x:c>
      <x:c r="J277" s="28" t="n">
        <x:v>0</x:v>
      </x:c>
      <x:c r="K277" t="str">
        <x:v>2025-10-16T22:06:57+0300</x:v>
      </x:c>
      <x:c r="L277" t="str">
        <x:v>2025-11-01T22:06:57+0300</x:v>
      </x:c>
      <x:c r="M277" t="str">
        <x:v>2025-10-27T14:45:22+0300</x:v>
      </x:c>
    </x:row>
    <x:row r="278">
      <x:c r="A278" t="str">
        <x:v>act_170008509278498</x:v>
      </x:c>
      <x:c r="B278" t="str">
        <x:v>Doruk Hospital</x:v>
      </x:c>
      <x:c r="C278" t="str">
        <x:v>120233189466320080</x:v>
      </x:c>
      <x:c r="D278" t="str">
        <x:v>Instagram gönderisi: Современная реабилитация в...</x:v>
      </x:c>
      <x:c r="E278" t="str">
        <x:v>LINK_CLICKS</x:v>
      </x:c>
      <x:c r="F278" t="str">
        <x:v>PAUSED</x:v>
      </x:c>
      <x:c r="G278" t="str">
        <x:v>PAUSED</x:v>
      </x:c>
      <x:c r="H278" t="str">
        <x:v>AUCTION</x:v>
      </x:c>
      <x:c r="I278" s="28" t="n">
        <x:v>1000</x:v>
      </x:c>
      <x:c r="J278" s="28" t="n">
        <x:v>0</x:v>
      </x:c>
      <x:c r="K278" t="str">
        <x:v>2025-10-16T22:07:13+0300</x:v>
      </x:c>
      <x:c r="L278" t="str">
        <x:v>2025-11-01T22:07:13+0300</x:v>
      </x:c>
      <x:c r="M278" t="str">
        <x:v>2025-10-16T22:33:50+0300</x:v>
      </x:c>
    </x:row>
    <x:row r="279">
      <x:c r="A279" t="str">
        <x:v>act_170008509278498</x:v>
      </x:c>
      <x:c r="B279" t="str">
        <x:v>Doruk Hospital</x:v>
      </x:c>
      <x:c r="C279" t="str">
        <x:v>120233191183730080</x:v>
      </x:c>
      <x:c r="D279" t="str">
        <x:v>Rusça Onkoloji Kırgızistan Profilden Ziyaret</x:v>
      </x:c>
      <x:c r="E279" t="str">
        <x:v>LINK_CLICKS</x:v>
      </x:c>
      <x:c r="F279" t="str">
        <x:v>PAUSED</x:v>
      </x:c>
      <x:c r="G279" t="str">
        <x:v>PAUSED</x:v>
      </x:c>
      <x:c r="H279" t="str">
        <x:v>AUCTION</x:v>
      </x:c>
      <x:c r="I279" s="28" t="n">
        <x:v>1000</x:v>
      </x:c>
      <x:c r="J279" s="28" t="n">
        <x:v>0</x:v>
      </x:c>
      <x:c r="K279" t="str">
        <x:v>2025-10-16T22:43:06+0300</x:v>
      </x:c>
      <x:c r="L279" t="str">
        <x:v>2025-11-01T22:43:06+0300</x:v>
      </x:c>
      <x:c r="M279" t="str">
        <x:v>2025-10-27T14:45:22+0300</x:v>
      </x:c>
    </x:row>
    <x:row r="280">
      <x:c r="A280" t="str">
        <x:v>act_170008509278498</x:v>
      </x:c>
      <x:c r="B280" t="str">
        <x:v>Doruk Hospital</x:v>
      </x:c>
      <x:c r="C280" t="str">
        <x:v>120233191785610080</x:v>
      </x:c>
      <x:c r="D280" t="str">
        <x:v>Rusça FTR Özbekistan Profilden Ziyaret</x:v>
      </x:c>
      <x:c r="E280" t="str">
        <x:v>LINK_CLICKS</x:v>
      </x:c>
      <x:c r="F280" t="str">
        <x:v>PAUSED</x:v>
      </x:c>
      <x:c r="G280" t="str">
        <x:v>PAUSED</x:v>
      </x:c>
      <x:c r="H280" t="str">
        <x:v>AUCTION</x:v>
      </x:c>
      <x:c r="I280" s="28" t="n">
        <x:v>1750</x:v>
      </x:c>
      <x:c r="J280" s="28" t="n">
        <x:v>0</x:v>
      </x:c>
      <x:c r="K280" t="str">
        <x:v>2025-10-16T22:51:31+0300</x:v>
      </x:c>
      <x:c r="L280" t="str">
        <x:v>2025-11-01T22:51:31+0300</x:v>
      </x:c>
      <x:c r="M280" t="str">
        <x:v>2025-10-27T14:45:22+0300</x:v>
      </x:c>
    </x:row>
    <x:row r="281">
      <x:c r="A281" t="str">
        <x:v>act_170008509278498</x:v>
      </x:c>
      <x:c r="B281" t="str">
        <x:v>Doruk Hospital</x:v>
      </x:c>
      <x:c r="C281" t="str">
        <x:v>120233192109980080</x:v>
      </x:c>
      <x:c r="D281" t="str">
        <x:v>Arapça Onkoloji Kuveyt profilden ziyaret</x:v>
      </x:c>
      <x:c r="E281" t="str">
        <x:v>LINK_CLICKS</x:v>
      </x:c>
      <x:c r="F281" t="str">
        <x:v>PAUSED</x:v>
      </x:c>
      <x:c r="G281" t="str">
        <x:v>PAUSED</x:v>
      </x:c>
      <x:c r="H281" t="str">
        <x:v>AUCTION</x:v>
      </x:c>
      <x:c r="I281" s="28" t="n">
        <x:v>3250</x:v>
      </x:c>
      <x:c r="J281" s="28" t="n">
        <x:v>0</x:v>
      </x:c>
      <x:c r="K281" t="str">
        <x:v>2025-10-16T22:56:56+0300</x:v>
      </x:c>
      <x:c r="L281" t="str">
        <x:v>2025-11-01T22:56:56+0300</x:v>
      </x:c>
      <x:c r="M281" t="str">
        <x:v>2025-10-27T14:45:22+0300</x:v>
      </x:c>
    </x:row>
    <x:row r="282">
      <x:c r="A282" t="str">
        <x:v>act_170008509278498</x:v>
      </x:c>
      <x:c r="B282" t="str">
        <x:v>Doruk Hospital</x:v>
      </x:c>
      <x:c r="C282" t="str">
        <x:v>120233192152240080</x:v>
      </x:c>
      <x:c r="D282" t="str">
        <x:v>Arapça Onkoloji Bahreyn profilden ziyaret</x:v>
      </x:c>
      <x:c r="E282" t="str">
        <x:v>LINK_CLICKS</x:v>
      </x:c>
      <x:c r="F282" t="str">
        <x:v>PAUSED</x:v>
      </x:c>
      <x:c r="G282" t="str">
        <x:v>PAUSED</x:v>
      </x:c>
      <x:c r="H282" t="str">
        <x:v>AUCTION</x:v>
      </x:c>
      <x:c r="I282" s="28" t="n">
        <x:v>1500</x:v>
      </x:c>
      <x:c r="J282" s="28" t="n">
        <x:v>0</x:v>
      </x:c>
      <x:c r="K282" t="str">
        <x:v>2025-10-16T22:57:44+0300</x:v>
      </x:c>
      <x:c r="L282" t="str">
        <x:v>2025-10-23T22:57:44+0300</x:v>
      </x:c>
      <x:c r="M282" t="str">
        <x:v>2026-01-30T17:28:28+0300</x:v>
      </x:c>
    </x:row>
    <x:row r="283">
      <x:c r="A283" t="str">
        <x:v>act_170008509278498</x:v>
      </x:c>
      <x:c r="B283" t="str">
        <x:v>Doruk Hospital</x:v>
      </x:c>
      <x:c r="C283" t="str">
        <x:v>120233192182710080</x:v>
      </x:c>
      <x:c r="D283" t="str">
        <x:v>Arapça Onkoloji Umman profilden ziyaret</x:v>
      </x:c>
      <x:c r="E283" t="str">
        <x:v>LINK_CLICKS</x:v>
      </x:c>
      <x:c r="F283" t="str">
        <x:v>PAUSED</x:v>
      </x:c>
      <x:c r="G283" t="str">
        <x:v>PAUSED</x:v>
      </x:c>
      <x:c r="H283" t="str">
        <x:v>AUCTION</x:v>
      </x:c>
      <x:c r="I283" s="28" t="n">
        <x:v>2000</x:v>
      </x:c>
      <x:c r="J283" s="28" t="n">
        <x:v>0</x:v>
      </x:c>
      <x:c r="K283" t="str">
        <x:v>2025-10-16T22:58:24+0300</x:v>
      </x:c>
      <x:c r="L283" t="str">
        <x:v>2025-10-23T22:58:24+0300</x:v>
      </x:c>
      <x:c r="M283" t="str">
        <x:v>2026-01-30T17:28:27+0300</x:v>
      </x:c>
    </x:row>
    <x:row r="284">
      <x:c r="A284" t="str">
        <x:v>act_170008509278498</x:v>
      </x:c>
      <x:c r="B284" t="str">
        <x:v>Doruk Hospital</x:v>
      </x:c>
      <x:c r="C284" t="str">
        <x:v>120233192202400080</x:v>
      </x:c>
      <x:c r="D284" t="str">
        <x:v>Arapça Onkoloji BAE profilden ziyaret</x:v>
      </x:c>
      <x:c r="E284" t="str">
        <x:v>LINK_CLICKS</x:v>
      </x:c>
      <x:c r="F284" t="str">
        <x:v>PAUSED</x:v>
      </x:c>
      <x:c r="G284" t="str">
        <x:v>PAUSED</x:v>
      </x:c>
      <x:c r="H284" t="str">
        <x:v>AUCTION</x:v>
      </x:c>
      <x:c r="I284" s="28" t="n">
        <x:v>2000</x:v>
      </x:c>
      <x:c r="J284" s="28" t="n">
        <x:v>0</x:v>
      </x:c>
      <x:c r="K284" t="str">
        <x:v>2025-10-16T22:58:46+0300</x:v>
      </x:c>
      <x:c r="L284" t="str">
        <x:v>2025-10-23T22:58:46+0300</x:v>
      </x:c>
      <x:c r="M284" t="str">
        <x:v>2025-10-30T19:58:51+0300</x:v>
      </x:c>
    </x:row>
    <x:row r="285">
      <x:c r="A285" t="str">
        <x:v>act_170008509278498</x:v>
      </x:c>
      <x:c r="B285" t="str">
        <x:v>Doruk Hospital</x:v>
      </x:c>
      <x:c r="C285" t="str">
        <x:v>120233192380280080</x:v>
      </x:c>
      <x:c r="D285" t="str">
        <x:v>Arapça Onkoloji BAE profilden ziyaret</x:v>
      </x:c>
      <x:c r="E285" t="str">
        <x:v>LINK_CLICKS</x:v>
      </x:c>
      <x:c r="F285" t="str">
        <x:v>PAUSED</x:v>
      </x:c>
      <x:c r="G285" t="str">
        <x:v>PAUSED</x:v>
      </x:c>
      <x:c r="H285" t="str">
        <x:v>AUCTION</x:v>
      </x:c>
      <x:c r="I285" s="28" t="n">
        <x:v>2000</x:v>
      </x:c>
      <x:c r="J285" s="28" t="n">
        <x:v>0</x:v>
      </x:c>
      <x:c r="K285" t="str">
        <x:v>2025-10-16T23:02:03+0300</x:v>
      </x:c>
      <x:c r="L285" t="str">
        <x:v>2025-11-01T23:02:03+0300</x:v>
      </x:c>
      <x:c r="M285" t="str">
        <x:v>2025-10-27T14:45:22+0300</x:v>
      </x:c>
    </x:row>
    <x:row r="286">
      <x:c r="A286" t="str">
        <x:v>act_170008509278498</x:v>
      </x:c>
      <x:c r="B286" t="str">
        <x:v>Doruk Hospital</x:v>
      </x:c>
      <x:c r="C286" t="str">
        <x:v>120233192484110080</x:v>
      </x:c>
      <x:c r="D286" t="str">
        <x:v>Arapça FTR BAE profilden ziyaret</x:v>
      </x:c>
      <x:c r="E286" t="str">
        <x:v>LINK_CLICKS</x:v>
      </x:c>
      <x:c r="F286" t="str">
        <x:v>PAUSED</x:v>
      </x:c>
      <x:c r="G286" t="str">
        <x:v>PAUSED</x:v>
      </x:c>
      <x:c r="H286" t="str">
        <x:v>AUCTION</x:v>
      </x:c>
      <x:c r="I286" s="28" t="n">
        <x:v>1500</x:v>
      </x:c>
      <x:c r="J286" s="28" t="n">
        <x:v>0</x:v>
      </x:c>
      <x:c r="K286" t="str">
        <x:v>2025-10-16T23:06:24+0300</x:v>
      </x:c>
      <x:c r="L286" t="str">
        <x:v>2025-11-01T23:06:24+0300</x:v>
      </x:c>
      <x:c r="M286" t="str">
        <x:v>2025-10-27T14:45:22+0300</x:v>
      </x:c>
    </x:row>
    <x:row r="287">
      <x:c r="A287" t="str">
        <x:v>act_170008509278498</x:v>
      </x:c>
      <x:c r="B287" t="str">
        <x:v>Doruk Hospital</x:v>
      </x:c>
      <x:c r="C287" t="str">
        <x:v>120233409488810080</x:v>
      </x:c>
      <x:c r="D287" t="str">
        <x:v>Instagram gönderisi: В Медицинской группе Дорук...</x:v>
      </x:c>
      <x:c r="E287" t="str">
        <x:v>LINK_CLICKS</x:v>
      </x:c>
      <x:c r="F287" t="str">
        <x:v>PAUSED</x:v>
      </x:c>
      <x:c r="G287" t="str">
        <x:v>PAUSED</x:v>
      </x:c>
      <x:c r="H287" t="str">
        <x:v>AUCTION</x:v>
      </x:c>
      <x:c r="I287" s="28" t="n">
        <x:v>3750</x:v>
      </x:c>
      <x:c r="J287" s="28" t="n">
        <x:v>0</x:v>
      </x:c>
      <x:c r="K287" t="str">
        <x:v>2025-10-21T00:23:47+0300</x:v>
      </x:c>
      <x:c r="L287" t="str">
        <x:v>2025-11-01T00:23:47+0300</x:v>
      </x:c>
      <x:c r="M287" t="str">
        <x:v>2025-10-27T14:45:22+0300</x:v>
      </x:c>
    </x:row>
    <x:row r="288">
      <x:c r="A288" t="str">
        <x:v>act_170008509278498</x:v>
      </x:c>
      <x:c r="B288" t="str">
        <x:v>Doruk Hospital</x:v>
      </x:c>
      <x:c r="C288" t="str">
        <x:v>120233867101000080</x:v>
      </x:c>
      <x:c r="D288" t="str">
        <x:v>Arapça Onko Etkileşim Kampanyası</x:v>
      </x:c>
      <x:c r="E288" t="str">
        <x:v>OUTCOME_ENGAGEMENT</x:v>
      </x:c>
      <x:c r="F288" t="str">
        <x:v>PAUSED</x:v>
      </x:c>
      <x:c r="G288" t="str">
        <x:v>PAUSED</x:v>
      </x:c>
      <x:c r="H288" t="str">
        <x:v>AUCTION</x:v>
      </x:c>
      <x:c r="I288" s="28" t="n">
        <x:v>0</x:v>
      </x:c>
      <x:c r="J288" s="28" t="n">
        <x:v>0</x:v>
      </x:c>
      <x:c r="K288" t="str">
        <x:v>2025-10-27T22:57:06+0300</x:v>
      </x:c>
      <x:c r="L288"/>
      <x:c r="M288" t="str">
        <x:v>2025-12-26T13:56:46+0300</x:v>
      </x:c>
    </x:row>
    <x:row r="289">
      <x:c r="A289" t="str">
        <x:v>act_170008509278498</x:v>
      </x:c>
      <x:c r="B289" t="str">
        <x:v>Doruk Hospital</x:v>
      </x:c>
      <x:c r="C289" t="str">
        <x:v>120233869003450080</x:v>
      </x:c>
      <x:c r="D289" t="str">
        <x:v>Arapça FTR Etkileşim Kampanyası</x:v>
      </x:c>
      <x:c r="E289" t="str">
        <x:v>OUTCOME_ENGAGEMENT</x:v>
      </x:c>
      <x:c r="F289" t="str">
        <x:v>PAUSED</x:v>
      </x:c>
      <x:c r="G289" t="str">
        <x:v>PAUSED</x:v>
      </x:c>
      <x:c r="H289" t="str">
        <x:v>AUCTION</x:v>
      </x:c>
      <x:c r="I289" s="28" t="n">
        <x:v>0</x:v>
      </x:c>
      <x:c r="J289" s="28" t="n">
        <x:v>0</x:v>
      </x:c>
      <x:c r="K289" t="str">
        <x:v>2025-10-27T23:36:59+0300</x:v>
      </x:c>
      <x:c r="L289"/>
      <x:c r="M289" t="str">
        <x:v>2026-02-10T18:48:43+0300</x:v>
      </x:c>
    </x:row>
    <x:row r="290">
      <x:c r="A290" t="str">
        <x:v>act_170008509278498</x:v>
      </x:c>
      <x:c r="B290" t="str">
        <x:v>Doruk Hospital</x:v>
      </x:c>
      <x:c r="C290" t="str">
        <x:v>120233870327320080</x:v>
      </x:c>
      <x:c r="D290" t="str">
        <x:v>Rusça Onko Etkileşim Kampanyası - Kopya</x:v>
      </x:c>
      <x:c r="E290" t="str">
        <x:v>OUTCOME_ENGAGEMENT</x:v>
      </x:c>
      <x:c r="F290" t="str">
        <x:v>PAUSED</x:v>
      </x:c>
      <x:c r="G290" t="str">
        <x:v>PAUSED</x:v>
      </x:c>
      <x:c r="H290" t="str">
        <x:v>AUCTION</x:v>
      </x:c>
      <x:c r="I290" s="28" t="n">
        <x:v>0</x:v>
      </x:c>
      <x:c r="J290" s="28" t="n">
        <x:v>0</x:v>
      </x:c>
      <x:c r="K290" t="str">
        <x:v>2025-10-27T23:55:37+0300</x:v>
      </x:c>
      <x:c r="L290"/>
      <x:c r="M290" t="str">
        <x:v>2025-12-26T13:56:40+0300</x:v>
      </x:c>
    </x:row>
    <x:row r="291">
      <x:c r="A291" t="str">
        <x:v>act_170008509278498</x:v>
      </x:c>
      <x:c r="B291" t="str">
        <x:v>Doruk Hospital</x:v>
      </x:c>
      <x:c r="C291" t="str">
        <x:v>120233870938630080</x:v>
      </x:c>
      <x:c r="D291" t="str">
        <x:v>Rusça FTR Etkileşim Kampanyası - Kopya - Kopya</x:v>
      </x:c>
      <x:c r="E291" t="str">
        <x:v>OUTCOME_ENGAGEMENT</x:v>
      </x:c>
      <x:c r="F291" t="str">
        <x:v>PAUSED</x:v>
      </x:c>
      <x:c r="G291" t="str">
        <x:v>PAUSED</x:v>
      </x:c>
      <x:c r="H291" t="str">
        <x:v>AUCTION</x:v>
      </x:c>
      <x:c r="I291" s="28" t="n">
        <x:v>0</x:v>
      </x:c>
      <x:c r="J291" s="28" t="n">
        <x:v>0</x:v>
      </x:c>
      <x:c r="K291" t="str">
        <x:v>2025-10-28T00:10:34+0300</x:v>
      </x:c>
      <x:c r="L291"/>
      <x:c r="M291" t="str">
        <x:v>2025-12-26T13:56:36+0300</x:v>
      </x:c>
    </x:row>
    <x:row r="292">
      <x:c r="A292" t="str">
        <x:v>act_170008509278498</x:v>
      </x:c>
      <x:c r="B292" t="str">
        <x:v>Doruk Hospital</x:v>
      </x:c>
      <x:c r="C292" t="str">
        <x:v>120234224306900080</x:v>
      </x:c>
      <x:c r="D292" t="str">
        <x:v>[03.11.2025] Almaty OPD Sayfasının Tanıtımı</x:v>
      </x:c>
      <x:c r="E292" t="str">
        <x:v>LEAD_GENERATION</x:v>
      </x:c>
      <x:c r="F292" t="str">
        <x:v>PAUSED</x:v>
      </x:c>
      <x:c r="G292" t="str">
        <x:v>PAUSED</x:v>
      </x:c>
      <x:c r="H292" t="str">
        <x:v>AUCTION</x:v>
      </x:c>
      <x:c r="I292" s="28" t="n">
        <x:v>1000</x:v>
      </x:c>
      <x:c r="J292" s="28" t="n">
        <x:v>0</x:v>
      </x:c>
      <x:c r="K292" t="str">
        <x:v>2025-11-03T17:55:19+0300</x:v>
      </x:c>
      <x:c r="L292" t="str">
        <x:v>2025-11-10T17:55:19+0300</x:v>
      </x:c>
      <x:c r="M292" t="str">
        <x:v>2025-11-04T10:10:24+0300</x:v>
      </x:c>
    </x:row>
    <x:row r="293">
      <x:c r="A293" t="str">
        <x:v>act_170008509278498</x:v>
      </x:c>
      <x:c r="B293" t="str">
        <x:v>Doruk Hospital</x:v>
      </x:c>
      <x:c r="C293" t="str">
        <x:v>120234256111940080</x:v>
      </x:c>
      <x:c r="D293" t="str">
        <x:v>OPD - OPD - Kazakistan - Almaty - RU - Lechenie v turtsii - lead</x:v>
      </x:c>
      <x:c r="E293" t="str">
        <x:v>OUTCOME_LEADS</x:v>
      </x:c>
      <x:c r="F293" t="str">
        <x:v>PAUSED</x:v>
      </x:c>
      <x:c r="G293" t="str">
        <x:v>PAUSED</x:v>
      </x:c>
      <x:c r="H293" t="str">
        <x:v>AUCTION</x:v>
      </x:c>
      <x:c r="I293" s="28" t="n">
        <x:v>0</x:v>
      </x:c>
      <x:c r="J293" s="28" t="n">
        <x:v>0</x:v>
      </x:c>
      <x:c r="K293" t="str">
        <x:v>2025-11-04T10:27:26+0300</x:v>
      </x:c>
      <x:c r="L293"/>
      <x:c r="M293" t="str">
        <x:v>2025-11-27T10:56:53+0300</x:v>
      </x:c>
    </x:row>
    <x:row r="294">
      <x:c r="A294" t="str">
        <x:v>act_170008509278498</x:v>
      </x:c>
      <x:c r="B294" t="str">
        <x:v>Doruk Hospital</x:v>
      </x:c>
      <x:c r="C294" t="str">
        <x:v>120236230340950080</x:v>
      </x:c>
      <x:c r="D294" t="str">
        <x:v>Trafik - Fizik Tedavi - Intensive FTR - Arap Bölgesi - Tümü - AR - Doruk İlaj Turkia</x:v>
      </x:c>
      <x:c r="E294" t="str">
        <x:v>OUTCOME_TRAFFIC</x:v>
      </x:c>
      <x:c r="F294" t="str">
        <x:v>PAUSED</x:v>
      </x:c>
      <x:c r="G294" t="str">
        <x:v>PAUSED</x:v>
      </x:c>
      <x:c r="H294" t="str">
        <x:v>AUCTION</x:v>
      </x:c>
      <x:c r="I294" s="28" t="n">
        <x:v>0</x:v>
      </x:c>
      <x:c r="J294" s="28" t="n">
        <x:v>0</x:v>
      </x:c>
      <x:c r="K294" t="str">
        <x:v>2025-12-10T13:47:57+0300</x:v>
      </x:c>
      <x:c r="L294"/>
      <x:c r="M294" t="str">
        <x:v>2026-02-16T08:53:39+0300</x:v>
      </x:c>
    </x:row>
    <x:row r="295">
      <x:c r="A295" t="str">
        <x:v>act_170008509278498</x:v>
      </x:c>
      <x:c r="B295" t="str">
        <x:v>Doruk Hospital</x:v>
      </x:c>
      <x:c r="C295" t="str">
        <x:v>120236243597620080</x:v>
      </x:c>
      <x:c r="D295" t="str">
        <x:v>Rusça FTR Trafik Kampanyası</x:v>
      </x:c>
      <x:c r="E295" t="str">
        <x:v>OUTCOME_TRAFFIC</x:v>
      </x:c>
      <x:c r="F295" t="str">
        <x:v>PAUSED</x:v>
      </x:c>
      <x:c r="G295" t="str">
        <x:v>PAUSED</x:v>
      </x:c>
      <x:c r="H295" t="str">
        <x:v>AUCTION</x:v>
      </x:c>
      <x:c r="I295" s="28" t="n">
        <x:v>0</x:v>
      </x:c>
      <x:c r="J295" s="28" t="n">
        <x:v>0</x:v>
      </x:c>
      <x:c r="K295" t="str">
        <x:v>2025-12-10T17:14:12+0300</x:v>
      </x:c>
      <x:c r="L295"/>
      <x:c r="M295" t="str">
        <x:v>2026-01-30T19:18:44+0300</x:v>
      </x:c>
    </x:row>
    <x:row r="296">
      <x:c r="A296" t="str">
        <x:v>act_170008509278498</x:v>
      </x:c>
      <x:c r="B296" t="str">
        <x:v>Doruk Hospital</x:v>
      </x:c>
      <x:c r="C296" t="str">
        <x:v>120236310093510080</x:v>
      </x:c>
      <x:c r="D296" t="str">
        <x:v>Rusça ONKO Trafik Kampanyası</x:v>
      </x:c>
      <x:c r="E296" t="str">
        <x:v>OUTCOME_TRAFFIC</x:v>
      </x:c>
      <x:c r="F296" t="str">
        <x:v>PAUSED</x:v>
      </x:c>
      <x:c r="G296" t="str">
        <x:v>PAUSED</x:v>
      </x:c>
      <x:c r="H296" t="str">
        <x:v>AUCTION</x:v>
      </x:c>
      <x:c r="I296" s="28" t="n">
        <x:v>0</x:v>
      </x:c>
      <x:c r="J296" s="28" t="n">
        <x:v>0</x:v>
      </x:c>
      <x:c r="K296" t="str">
        <x:v>2025-12-11T16:03:19+0300</x:v>
      </x:c>
      <x:c r="L296"/>
      <x:c r="M296" t="str">
        <x:v>2026-01-27T10:38:53+0300</x:v>
      </x:c>
    </x:row>
    <x:row r="297">
      <x:c r="A297" t="str">
        <x:v>act_170008509278498</x:v>
      </x:c>
      <x:c r="B297" t="str">
        <x:v>Doruk Hospital</x:v>
      </x:c>
      <x:c r="C297" t="str">
        <x:v>120236316746540080</x:v>
      </x:c>
      <x:c r="D297" t="str">
        <x:v>Arapça ONKO Trafik Kampanyası</x:v>
      </x:c>
      <x:c r="E297" t="str">
        <x:v>OUTCOME_TRAFFIC</x:v>
      </x:c>
      <x:c r="F297" t="str">
        <x:v>PAUSED</x:v>
      </x:c>
      <x:c r="G297" t="str">
        <x:v>PAUSED</x:v>
      </x:c>
      <x:c r="H297" t="str">
        <x:v>AUCTION</x:v>
      </x:c>
      <x:c r="I297" s="28" t="n">
        <x:v>0</x:v>
      </x:c>
      <x:c r="J297" s="28" t="n">
        <x:v>0</x:v>
      </x:c>
      <x:c r="K297" t="str">
        <x:v>2025-12-11T17:03:34+0300</x:v>
      </x:c>
      <x:c r="L297"/>
      <x:c r="M297" t="str">
        <x:v>2026-01-27T10:38:55+0300</x:v>
      </x:c>
    </x:row>
    <x:row r="298">
      <x:c r="A298" t="str">
        <x:v>act_170008509278498</x:v>
      </x:c>
      <x:c r="B298" t="str">
        <x:v>Doruk Hospital</x:v>
      </x:c>
      <x:c r="C298" t="str">
        <x:v>120238651325780080</x:v>
      </x:c>
      <x:c r="D298" t="str">
        <x:v>Whatsapp - Fizik Tedavi - Intensive FTR - Arap Bölgesi - Tümü - AR - Doruk İlaj Turkia</x:v>
      </x:c>
      <x:c r="E298" t="str">
        <x:v>OUTCOME_LEADS</x:v>
      </x:c>
      <x:c r="F298" t="str">
        <x:v>ACTIVE</x:v>
      </x:c>
      <x:c r="G298" t="str">
        <x:v>ACTIVE</x:v>
      </x:c>
      <x:c r="H298" t="str">
        <x:v>AUCTION</x:v>
      </x:c>
      <x:c r="I298" s="28" t="n">
        <x:v>0</x:v>
      </x:c>
      <x:c r="J298" s="28" t="n">
        <x:v>0</x:v>
      </x:c>
      <x:c r="K298" t="str">
        <x:v>2026-02-09T16:48:22+0300</x:v>
      </x:c>
      <x:c r="L298"/>
      <x:c r="M298" t="str">
        <x:v>2026-05-13T14:07:06+0300</x:v>
      </x:c>
    </x:row>
    <x:row r="299">
      <x:c r="A299" t="str">
        <x:v>act_449281783851362</x:v>
      </x:c>
      <x:c r="B299" t="str">
        <x:v>Doruk Hastaneleri - SİNA ÖZEL Sağlık Hizmetleri A.ş</x:v>
      </x:c>
      <x:c r="C299" t="str">
        <x:v>120238726810780399</x:v>
      </x:c>
      <x:c r="D299" t="str">
        <x:v>İkinci Görüş - lead</x:v>
      </x:c>
      <x:c r="E299" t="str">
        <x:v>OUTCOME_LEADS</x:v>
      </x:c>
      <x:c r="F299" t="str">
        <x:v>PAUSED</x:v>
      </x:c>
      <x:c r="G299" t="str">
        <x:v>PAUSED</x:v>
      </x:c>
      <x:c r="H299" t="str">
        <x:v>AUCTION</x:v>
      </x:c>
      <x:c r="I299" s="28" t="n">
        <x:v>0</x:v>
      </x:c>
      <x:c r="J299" s="28" t="n">
        <x:v>0</x:v>
      </x:c>
      <x:c r="K299" t="str">
        <x:v>2025-10-14T16:33:29+0300</x:v>
      </x:c>
      <x:c r="L299"/>
      <x:c r="M299" t="str">
        <x:v>2026-01-29T19:40:50+0300</x:v>
      </x:c>
    </x:row>
    <x:row r="300">
      <x:c r="A300" t="str">
        <x:v>act_170008509278498</x:v>
      </x:c>
      <x:c r="B300" t="str">
        <x:v>Doruk Hospital</x:v>
      </x:c>
      <x:c r="C300" t="str">
        <x:v>120238877946300080</x:v>
      </x:c>
      <x:c r="D300" t="str">
        <x:v>Beyin Cerrahisi Etkileşim deneme</x:v>
      </x:c>
      <x:c r="E300" t="str">
        <x:v>OUTCOME_ENGAGEMENT</x:v>
      </x:c>
      <x:c r="F300" t="str">
        <x:v>PAUSED</x:v>
      </x:c>
      <x:c r="G300" t="str">
        <x:v>PAUSED</x:v>
      </x:c>
      <x:c r="H300" t="str">
        <x:v>AUCTION</x:v>
      </x:c>
      <x:c r="I300" s="28" t="n">
        <x:v>0</x:v>
      </x:c>
      <x:c r="J300" s="28" t="n">
        <x:v>0</x:v>
      </x:c>
      <x:c r="K300" t="str">
        <x:v>2026-02-17T09:20:19+0300</x:v>
      </x:c>
      <x:c r="L300"/>
      <x:c r="M300" t="str">
        <x:v>2026-02-19T22:37:40+0300</x:v>
      </x:c>
    </x:row>
    <x:row r="301">
      <x:c r="A301" t="str">
        <x:v>act_170008509278498</x:v>
      </x:c>
      <x:c r="B301" t="str">
        <x:v>Doruk Hospital</x:v>
      </x:c>
      <x:c r="C301" t="str">
        <x:v>120238893238250080</x:v>
      </x:c>
      <x:c r="D301" t="str">
        <x:v>Instagram gönderisi: ‎يرجى التواصل معنا لتقييم...</x:v>
      </x:c>
      <x:c r="E301" t="str">
        <x:v>LINK_CLICKS</x:v>
      </x:c>
      <x:c r="F301" t="str">
        <x:v>PAUSED</x:v>
      </x:c>
      <x:c r="G301" t="str">
        <x:v>PAUSED</x:v>
      </x:c>
      <x:c r="H301" t="str">
        <x:v>AUCTION</x:v>
      </x:c>
      <x:c r="I301" s="28" t="n">
        <x:v>1000</x:v>
      </x:c>
      <x:c r="J301" s="28" t="n">
        <x:v>0</x:v>
      </x:c>
      <x:c r="K301" t="str">
        <x:v>2026-02-17T16:36:41+0300</x:v>
      </x:c>
      <x:c r="L301"/>
      <x:c r="M301" t="str">
        <x:v>2026-02-23T12:43:22+0300</x:v>
      </x:c>
    </x:row>
    <x:row r="302">
      <x:c r="A302" t="str">
        <x:v>act_170008509278498</x:v>
      </x:c>
      <x:c r="B302" t="str">
        <x:v>Doruk Hospital</x:v>
      </x:c>
      <x:c r="C302" t="str">
        <x:v>120238893241650080</x:v>
      </x:c>
      <x:c r="D302" t="str">
        <x:v>Instagram gönderisi: ‎بعد إجراء مقابلة تفصيلية مع...</x:v>
      </x:c>
      <x:c r="E302" t="str">
        <x:v>LINK_CLICKS</x:v>
      </x:c>
      <x:c r="F302" t="str">
        <x:v>PAUSED</x:v>
      </x:c>
      <x:c r="G302" t="str">
        <x:v>PAUSED</x:v>
      </x:c>
      <x:c r="H302" t="str">
        <x:v>AUCTION</x:v>
      </x:c>
      <x:c r="I302" s="28" t="n">
        <x:v>1000</x:v>
      </x:c>
      <x:c r="J302" s="28" t="n">
        <x:v>0</x:v>
      </x:c>
      <x:c r="K302" t="str">
        <x:v>2026-02-17T16:37:01+0300</x:v>
      </x:c>
      <x:c r="L302"/>
      <x:c r="M302" t="str">
        <x:v>2026-02-23T12:43:21+0300</x:v>
      </x:c>
    </x:row>
    <x:row r="303">
      <x:c r="A303" t="str">
        <x:v>act_170008509278498</x:v>
      </x:c>
      <x:c r="B303" t="str">
        <x:v>Doruk Hospital</x:v>
      </x:c>
      <x:c r="C303" t="str">
        <x:v>120238957563520080</x:v>
      </x:c>
      <x:c r="D303" t="str">
        <x:v>Cerrahi Onkoloji - Beyin Tm - Türki Cumhuriyetler - Tümü - RU - Lechenie v Turtsii - lead</x:v>
      </x:c>
      <x:c r="E303" t="str">
        <x:v>OUTCOME_LEADS</x:v>
      </x:c>
      <x:c r="F303" t="str">
        <x:v>PAUSED</x:v>
      </x:c>
      <x:c r="G303" t="str">
        <x:v>PAUSED</x:v>
      </x:c>
      <x:c r="H303" t="str">
        <x:v>AUCTION</x:v>
      </x:c>
      <x:c r="I303" s="28" t="n">
        <x:v>0</x:v>
      </x:c>
      <x:c r="J303" s="28" t="n">
        <x:v>0</x:v>
      </x:c>
      <x:c r="K303" t="str">
        <x:v>2026-02-19T10:22:05+0300</x:v>
      </x:c>
      <x:c r="L303"/>
      <x:c r="M303" t="str">
        <x:v>2026-05-13T18:18:31+0300</x:v>
      </x:c>
    </x:row>
    <x:row r="304">
      <x:c r="A304" t="str">
        <x:v>act_170008509278498</x:v>
      </x:c>
      <x:c r="B304" t="str">
        <x:v>Doruk Hospital</x:v>
      </x:c>
      <x:c r="C304" t="str">
        <x:v>120238963050730080</x:v>
      </x:c>
      <x:c r="D304" t="str">
        <x:v>Cerrahi Onkoloji - Beyin Tm - Arap Bölgesi - Tümü - AR - Doruk İlaj Turkia - lead</x:v>
      </x:c>
      <x:c r="E304" t="str">
        <x:v>OUTCOME_LEADS</x:v>
      </x:c>
      <x:c r="F304" t="str">
        <x:v>PAUSED</x:v>
      </x:c>
      <x:c r="G304" t="str">
        <x:v>PAUSED</x:v>
      </x:c>
      <x:c r="H304" t="str">
        <x:v>AUCTION</x:v>
      </x:c>
      <x:c r="I304" s="28" t="n">
        <x:v>0</x:v>
      </x:c>
      <x:c r="J304" s="28" t="n">
        <x:v>0</x:v>
      </x:c>
      <x:c r="K304" t="str">
        <x:v>2026-02-19T13:08:16+0300</x:v>
      </x:c>
      <x:c r="L304"/>
      <x:c r="M304" t="str">
        <x:v>2026-05-04T15:15:35+0300</x:v>
      </x:c>
    </x:row>
    <x:row r="305">
      <x:c r="A305" t="str">
        <x:v>act_170008509278498</x:v>
      </x:c>
      <x:c r="B305" t="str">
        <x:v>Doruk Hospital</x:v>
      </x:c>
      <x:c r="C305" t="str">
        <x:v>120239171252160080</x:v>
      </x:c>
      <x:c r="D305" t="str">
        <x:v>Acente - İnfluencer - EN - lead</x:v>
      </x:c>
      <x:c r="E305" t="str">
        <x:v>OUTCOME_LEADS</x:v>
      </x:c>
      <x:c r="F305" t="str">
        <x:v>PAUSED</x:v>
      </x:c>
      <x:c r="G305" t="str">
        <x:v>PAUSED</x:v>
      </x:c>
      <x:c r="H305" t="str">
        <x:v>AUCTION</x:v>
      </x:c>
      <x:c r="I305" s="28" t="n">
        <x:v>0</x:v>
      </x:c>
      <x:c r="J305" s="28" t="n">
        <x:v>0</x:v>
      </x:c>
      <x:c r="K305" t="str">
        <x:v>2026-02-23T17:22:16+0300</x:v>
      </x:c>
      <x:c r="L305"/>
      <x:c r="M305" t="str">
        <x:v>2026-02-24T12:26:05+0300</x:v>
      </x:c>
    </x:row>
    <x:row r="306">
      <x:c r="A306" t="str">
        <x:v>act_170008509278498</x:v>
      </x:c>
      <x:c r="B306" t="str">
        <x:v>Doruk Hospital</x:v>
      </x:c>
      <x:c r="C306" t="str">
        <x:v>120239212288200080</x:v>
      </x:c>
      <x:c r="D306" t="str">
        <x:v>Acente - İnfluencer - RU - lead</x:v>
      </x:c>
      <x:c r="E306" t="str">
        <x:v>OUTCOME_LEADS</x:v>
      </x:c>
      <x:c r="F306" t="str">
        <x:v>PAUSED</x:v>
      </x:c>
      <x:c r="G306" t="str">
        <x:v>PAUSED</x:v>
      </x:c>
      <x:c r="H306" t="str">
        <x:v>AUCTION</x:v>
      </x:c>
      <x:c r="I306" s="28" t="n">
        <x:v>0</x:v>
      </x:c>
      <x:c r="J306" s="28" t="n">
        <x:v>0</x:v>
      </x:c>
      <x:c r="K306" t="str">
        <x:v>2026-02-24T12:22:54+0300</x:v>
      </x:c>
      <x:c r="L306"/>
      <x:c r="M306" t="str">
        <x:v>2026-02-24T12:22:54+0300</x:v>
      </x:c>
    </x:row>
    <x:row r="307">
      <x:c r="A307" t="str">
        <x:v>act_170008509278498</x:v>
      </x:c>
      <x:c r="B307" t="str">
        <x:v>Doruk Hospital</x:v>
      </x:c>
      <x:c r="C307" t="str">
        <x:v>120239212766730080</x:v>
      </x:c>
      <x:c r="D307" t="str">
        <x:v>Acente - İnfluencer - AR - lead</x:v>
      </x:c>
      <x:c r="E307" t="str">
        <x:v>OUTCOME_LEADS</x:v>
      </x:c>
      <x:c r="F307" t="str">
        <x:v>PAUSED</x:v>
      </x:c>
      <x:c r="G307" t="str">
        <x:v>PAUSED</x:v>
      </x:c>
      <x:c r="H307" t="str">
        <x:v>AUCTION</x:v>
      </x:c>
      <x:c r="I307" s="28" t="n">
        <x:v>0</x:v>
      </x:c>
      <x:c r="J307" s="28" t="n">
        <x:v>0</x:v>
      </x:c>
      <x:c r="K307" t="str">
        <x:v>2026-02-24T12:26:06+0300</x:v>
      </x:c>
      <x:c r="L307"/>
      <x:c r="M307" t="str">
        <x:v>2026-03-06T10:08:23+0300</x:v>
      </x:c>
    </x:row>
    <x:row r="308">
      <x:c r="A308" t="str">
        <x:v>act_170008509278498</x:v>
      </x:c>
      <x:c r="B308" t="str">
        <x:v>Doruk Hospital</x:v>
      </x:c>
      <x:c r="C308" t="str">
        <x:v>120239445935120080</x:v>
      </x:c>
      <x:c r="D308" t="str">
        <x:v>Instagram gönderisi: Наш специалист по...</x:v>
      </x:c>
      <x:c r="E308" t="str">
        <x:v>LINK_CLICKS</x:v>
      </x:c>
      <x:c r="F308" t="str">
        <x:v>PAUSED</x:v>
      </x:c>
      <x:c r="G308" t="str">
        <x:v>PAUSED</x:v>
      </x:c>
      <x:c r="H308" t="str">
        <x:v>AUCTION</x:v>
      </x:c>
      <x:c r="I308" s="28" t="n">
        <x:v>1500</x:v>
      </x:c>
      <x:c r="J308" s="28" t="n">
        <x:v>0</x:v>
      </x:c>
      <x:c r="K308" t="str">
        <x:v>2026-03-02T16:08:36+0300</x:v>
      </x:c>
      <x:c r="L308"/>
      <x:c r="M308" t="str">
        <x:v>2026-03-12T15:02:06+0300</x:v>
      </x:c>
    </x:row>
    <x:row r="309">
      <x:c r="A309" t="str">
        <x:v>act_170008509278498</x:v>
      </x:c>
      <x:c r="B309" t="str">
        <x:v>Doruk Hospital</x:v>
      </x:c>
      <x:c r="C309" t="str">
        <x:v>120239446630200080</x:v>
      </x:c>
      <x:c r="D309" t="str">
        <x:v>Instagram gönderisi: ‎⁨	أخصائي جراحة الدماغ...</x:v>
      </x:c>
      <x:c r="E309" t="str">
        <x:v>LINK_CLICKS</x:v>
      </x:c>
      <x:c r="F309" t="str">
        <x:v>PAUSED</x:v>
      </x:c>
      <x:c r="G309" t="str">
        <x:v>PAUSED</x:v>
      </x:c>
      <x:c r="H309" t="str">
        <x:v>AUCTION</x:v>
      </x:c>
      <x:c r="I309" s="28" t="n">
        <x:v>1250</x:v>
      </x:c>
      <x:c r="J309" s="28" t="n">
        <x:v>0</x:v>
      </x:c>
      <x:c r="K309" t="str">
        <x:v>2026-03-02T16:32:55+0300</x:v>
      </x:c>
      <x:c r="L309"/>
      <x:c r="M309" t="str">
        <x:v>2026-03-09T14:31:28+0300</x:v>
      </x:c>
    </x:row>
    <x:row r="310">
      <x:c r="A310" t="str">
        <x:v>act_170008509278498</x:v>
      </x:c>
      <x:c r="B310" t="str">
        <x:v>Doruk Hospital</x:v>
      </x:c>
      <x:c r="C310" t="str">
        <x:v>120239446651200080</x:v>
      </x:c>
      <x:c r="D310" t="str">
        <x:v>Instagram gönderisi: ‎خلّينا نحكي بصراحة: العلاج...</x:v>
      </x:c>
      <x:c r="E310" t="str">
        <x:v>LINK_CLICKS</x:v>
      </x:c>
      <x:c r="F310" t="str">
        <x:v>PAUSED</x:v>
      </x:c>
      <x:c r="G310" t="str">
        <x:v>PAUSED</x:v>
      </x:c>
      <x:c r="H310" t="str">
        <x:v>AUCTION</x:v>
      </x:c>
      <x:c r="I310" s="28" t="n">
        <x:v>1250</x:v>
      </x:c>
      <x:c r="J310" s="28" t="n">
        <x:v>0</x:v>
      </x:c>
      <x:c r="K310" t="str">
        <x:v>2026-03-02T16:35:50+0300</x:v>
      </x:c>
      <x:c r="L310"/>
      <x:c r="M310" t="str">
        <x:v>2026-03-12T14:58:13+0300</x:v>
      </x:c>
    </x:row>
    <x:row r="311">
      <x:c r="A311" t="str">
        <x:v>act_170008509278498</x:v>
      </x:c>
      <x:c r="B311" t="str">
        <x:v>Doruk Hospital</x:v>
      </x:c>
      <x:c r="C311" t="str">
        <x:v>120239446660160080</x:v>
      </x:c>
      <x:c r="D311" t="str">
        <x:v>Instagram gönderisi: ‎خلّينا نحكي بصراحة: العلاج...</x:v>
      </x:c>
      <x:c r="E311" t="str">
        <x:v>LINK_CLICKS</x:v>
      </x:c>
      <x:c r="F311" t="str">
        <x:v>PAUSED</x:v>
      </x:c>
      <x:c r="G311" t="str">
        <x:v>PAUSED</x:v>
      </x:c>
      <x:c r="H311" t="str">
        <x:v>AUCTION</x:v>
      </x:c>
      <x:c r="I311" s="28" t="n">
        <x:v>1250</x:v>
      </x:c>
      <x:c r="J311" s="28" t="n">
        <x:v>0</x:v>
      </x:c>
      <x:c r="K311" t="str">
        <x:v>2026-03-02T16:36:52+0300</x:v>
      </x:c>
      <x:c r="L311"/>
      <x:c r="M311" t="str">
        <x:v>2026-03-12T14:57:41+0300</x:v>
      </x:c>
    </x:row>
    <x:row r="312">
      <x:c r="A312" t="str">
        <x:v>act_170008509278498</x:v>
      </x:c>
      <x:c r="B312" t="str">
        <x:v>Doruk Hospital</x:v>
      </x:c>
      <x:c r="C312" t="str">
        <x:v>120239595260030080</x:v>
      </x:c>
      <x:c r="D312" t="str">
        <x:v>Acenta - Acente - İnfluencer - Tümü -  AR - Doruk İlaj Turkia - lead</x:v>
      </x:c>
      <x:c r="E312" t="str">
        <x:v>OUTCOME_LEADS</x:v>
      </x:c>
      <x:c r="F312" t="str">
        <x:v>PAUSED</x:v>
      </x:c>
      <x:c r="G312" t="str">
        <x:v>PAUSED</x:v>
      </x:c>
      <x:c r="H312" t="str">
        <x:v>AUCTION</x:v>
      </x:c>
      <x:c r="I312" s="28" t="n">
        <x:v>0</x:v>
      </x:c>
      <x:c r="J312" s="28" t="n">
        <x:v>0</x:v>
      </x:c>
      <x:c r="K312" t="str">
        <x:v>2026-03-06T10:11:27+0300</x:v>
      </x:c>
      <x:c r="L312"/>
      <x:c r="M312" t="str">
        <x:v>2026-03-14T13:39:25+0300</x:v>
      </x:c>
    </x:row>
    <x:row r="313">
      <x:c r="A313" t="str">
        <x:v>act_170008509278498</x:v>
      </x:c>
      <x:c r="B313" t="str">
        <x:v>Doruk Hospital</x:v>
      </x:c>
      <x:c r="C313" t="str">
        <x:v>120239596286080080</x:v>
      </x:c>
      <x:c r="D313" t="str">
        <x:v>Acenta - Acente - İnfluencer - Tümü - RU - Lechenie v Turtsii - lead</x:v>
      </x:c>
      <x:c r="E313" t="str">
        <x:v>OUTCOME_LEADS</x:v>
      </x:c>
      <x:c r="F313" t="str">
        <x:v>PAUSED</x:v>
      </x:c>
      <x:c r="G313" t="str">
        <x:v>PAUSED</x:v>
      </x:c>
      <x:c r="H313" t="str">
        <x:v>AUCTION</x:v>
      </x:c>
      <x:c r="I313" s="28" t="n">
        <x:v>0</x:v>
      </x:c>
      <x:c r="J313" s="28" t="n">
        <x:v>0</x:v>
      </x:c>
      <x:c r="K313" t="str">
        <x:v>2026-03-06T10:26:31+0300</x:v>
      </x:c>
      <x:c r="L313"/>
      <x:c r="M313" t="str">
        <x:v>2026-03-14T13:39:24+0300</x:v>
      </x:c>
    </x:row>
    <x:row r="314">
      <x:c r="A314" t="str">
        <x:v>act_170008509278498</x:v>
      </x:c>
      <x:c r="B314" t="str">
        <x:v>Doruk Hospital</x:v>
      </x:c>
      <x:c r="C314" t="str">
        <x:v>120239741547190080</x:v>
      </x:c>
      <x:c r="D314" t="str">
        <x:v>Instagram gönderisi: ‎التكرار الخاطئ أثناء العلاج...</x:v>
      </x:c>
      <x:c r="E314" t="str">
        <x:v>LINK_CLICKS</x:v>
      </x:c>
      <x:c r="F314" t="str">
        <x:v>PAUSED</x:v>
      </x:c>
      <x:c r="G314" t="str">
        <x:v>PAUSED</x:v>
      </x:c>
      <x:c r="H314" t="str">
        <x:v>AUCTION</x:v>
      </x:c>
      <x:c r="I314" s="28" t="n">
        <x:v>1250</x:v>
      </x:c>
      <x:c r="J314" s="28" t="n">
        <x:v>0</x:v>
      </x:c>
      <x:c r="K314" t="str">
        <x:v>2026-03-09T14:31:34+0300</x:v>
      </x:c>
      <x:c r="L314"/>
      <x:c r="M314" t="str">
        <x:v>2026-03-14T13:54:18+0300</x:v>
      </x:c>
    </x:row>
    <x:row r="315">
      <x:c r="A315" t="str">
        <x:v>act_170008509278498</x:v>
      </x:c>
      <x:c r="B315" t="str">
        <x:v>Doruk Hospital</x:v>
      </x:c>
      <x:c r="C315" t="str">
        <x:v>120239741765610080</x:v>
      </x:c>
      <x:c r="D315" t="str">
        <x:v>Instagram gönderisi: ‎التكرار الخاطئ أثناء العلاج...</x:v>
      </x:c>
      <x:c r="E315" t="str">
        <x:v>LINK_CLICKS</x:v>
      </x:c>
      <x:c r="F315" t="str">
        <x:v>PAUSED</x:v>
      </x:c>
      <x:c r="G315" t="str">
        <x:v>PAUSED</x:v>
      </x:c>
      <x:c r="H315" t="str">
        <x:v>AUCTION</x:v>
      </x:c>
      <x:c r="I315" s="28" t="n">
        <x:v>1250</x:v>
      </x:c>
      <x:c r="J315" s="28" t="n">
        <x:v>0</x:v>
      </x:c>
      <x:c r="K315" t="str">
        <x:v>2026-03-09T14:33:18+0300</x:v>
      </x:c>
      <x:c r="L315"/>
      <x:c r="M315" t="str">
        <x:v>2026-03-14T13:54:15+0300</x:v>
      </x:c>
    </x:row>
    <x:row r="316">
      <x:c r="A316" t="str">
        <x:v>act_170008509278498</x:v>
      </x:c>
      <x:c r="B316" t="str">
        <x:v>Doruk Hospital</x:v>
      </x:c>
      <x:c r="C316" t="str">
        <x:v>120239871056440080</x:v>
      </x:c>
      <x:c r="D316" t="str">
        <x:v>Instagram gönderisi: ‎🎥 جراحة الديسك القطني...</x:v>
      </x:c>
      <x:c r="E316" t="str">
        <x:v>LINK_CLICKS</x:v>
      </x:c>
      <x:c r="F316" t="str">
        <x:v>PAUSED</x:v>
      </x:c>
      <x:c r="G316" t="str">
        <x:v>PAUSED</x:v>
      </x:c>
      <x:c r="H316" t="str">
        <x:v>AUCTION</x:v>
      </x:c>
      <x:c r="I316" s="28" t="n">
        <x:v>1250</x:v>
      </x:c>
      <x:c r="J316" s="28" t="n">
        <x:v>0</x:v>
      </x:c>
      <x:c r="K316" t="str">
        <x:v>2026-03-12T15:00:24+0300</x:v>
      </x:c>
      <x:c r="L316"/>
      <x:c r="M316" t="str">
        <x:v>2026-03-17T22:01:16+0300</x:v>
      </x:c>
    </x:row>
    <x:row r="317">
      <x:c r="A317" t="str">
        <x:v>act_170008509278498</x:v>
      </x:c>
      <x:c r="B317" t="str">
        <x:v>Doruk Hospital</x:v>
      </x:c>
      <x:c r="C317" t="str">
        <x:v>120239871068750080</x:v>
      </x:c>
      <x:c r="D317" t="str">
        <x:v>Instagram gönderisi: ‎🎥 جراحة الديسك القطني...</x:v>
      </x:c>
      <x:c r="E317" t="str">
        <x:v>LINK_CLICKS</x:v>
      </x:c>
      <x:c r="F317" t="str">
        <x:v>PAUSED</x:v>
      </x:c>
      <x:c r="G317" t="str">
        <x:v>PAUSED</x:v>
      </x:c>
      <x:c r="H317" t="str">
        <x:v>AUCTION</x:v>
      </x:c>
      <x:c r="I317" s="28" t="n">
        <x:v>1250</x:v>
      </x:c>
      <x:c r="J317" s="28" t="n">
        <x:v>0</x:v>
      </x:c>
      <x:c r="K317" t="str">
        <x:v>2026-03-12T15:01:21+0300</x:v>
      </x:c>
      <x:c r="L317"/>
      <x:c r="M317" t="str">
        <x:v>2026-03-17T22:01:32+0300</x:v>
      </x:c>
    </x:row>
    <x:row r="318">
      <x:c r="A318" t="str">
        <x:v>act_170008509278498</x:v>
      </x:c>
      <x:c r="B318" t="str">
        <x:v>Doruk Hospital</x:v>
      </x:c>
      <x:c r="C318" t="str">
        <x:v>120239871106690080</x:v>
      </x:c>
      <x:c r="D318" t="str">
        <x:v>Instagram gönderisi: 🎥 Полностью эндоскопическая...</x:v>
      </x:c>
      <x:c r="E318" t="str">
        <x:v>LINK_CLICKS</x:v>
      </x:c>
      <x:c r="F318" t="str">
        <x:v>PAUSED</x:v>
      </x:c>
      <x:c r="G318" t="str">
        <x:v>PAUSED</x:v>
      </x:c>
      <x:c r="H318" t="str">
        <x:v>AUCTION</x:v>
      </x:c>
      <x:c r="I318" s="28" t="n">
        <x:v>1500</x:v>
      </x:c>
      <x:c r="J318" s="28" t="n">
        <x:v>0</x:v>
      </x:c>
      <x:c r="K318" t="str">
        <x:v>2026-03-12T15:03:53+0300</x:v>
      </x:c>
      <x:c r="L318"/>
      <x:c r="M318" t="str">
        <x:v>2026-03-17T22:14:09+0300</x:v>
      </x:c>
    </x:row>
    <x:row r="319">
      <x:c r="A319" t="str">
        <x:v>act_170008509278498</x:v>
      </x:c>
      <x:c r="B319" t="str">
        <x:v>Doruk Hospital</x:v>
      </x:c>
      <x:c r="C319" t="str">
        <x:v>120239966050040080</x:v>
      </x:c>
      <x:c r="D319" t="str">
        <x:v>Cerrahi Onkoloji - Kanser Cerrahisi - Arap Bölgesi - Tümü - AR - Doruk İlaj Turkia - lead</x:v>
      </x:c>
      <x:c r="E319" t="str">
        <x:v>OUTCOME_LEADS</x:v>
      </x:c>
      <x:c r="F319" t="str">
        <x:v>PAUSED</x:v>
      </x:c>
      <x:c r="G319" t="str">
        <x:v>PAUSED</x:v>
      </x:c>
      <x:c r="H319" t="str">
        <x:v>AUCTION</x:v>
      </x:c>
      <x:c r="I319" s="28" t="n">
        <x:v>0</x:v>
      </x:c>
      <x:c r="J319" s="28" t="n">
        <x:v>0</x:v>
      </x:c>
      <x:c r="K319" t="str">
        <x:v>2026-03-14T14:14:44+0300</x:v>
      </x:c>
      <x:c r="L319"/>
      <x:c r="M319" t="str">
        <x:v>2026-05-04T15:15:34+0300</x:v>
      </x:c>
    </x:row>
    <x:row r="320">
      <x:c r="A320" t="str">
        <x:v>act_170008509278498</x:v>
      </x:c>
      <x:c r="B320" t="str">
        <x:v>Doruk Hospital</x:v>
      </x:c>
      <x:c r="C320" t="str">
        <x:v>120239966244330080</x:v>
      </x:c>
      <x:c r="D320" t="str">
        <x:v>Cerrahi Onkoloji - Kanser Cerrahisi - Türki Cumhuriyetler - Tümü - RU - Lechenie v Turtsii - lead</x:v>
      </x:c>
      <x:c r="E320" t="str">
        <x:v>OUTCOME_LEADS</x:v>
      </x:c>
      <x:c r="F320" t="str">
        <x:v>PAUSED</x:v>
      </x:c>
      <x:c r="G320" t="str">
        <x:v>PAUSED</x:v>
      </x:c>
      <x:c r="H320" t="str">
        <x:v>AUCTION</x:v>
      </x:c>
      <x:c r="I320" s="28" t="n">
        <x:v>0</x:v>
      </x:c>
      <x:c r="J320" s="28" t="n">
        <x:v>0</x:v>
      </x:c>
      <x:c r="K320" t="str">
        <x:v>2026-03-14T14:35:59+0300</x:v>
      </x:c>
      <x:c r="L320"/>
      <x:c r="M320" t="str">
        <x:v>2026-06-02T14:21:45+0300</x:v>
      </x:c>
    </x:row>
    <x:row r="321">
      <x:c r="A321" t="str">
        <x:v>act_170008509278498</x:v>
      </x:c>
      <x:c r="B321" t="str">
        <x:v>Doruk Hospital</x:v>
      </x:c>
      <x:c r="C321" t="str">
        <x:v>120240102503470080</x:v>
      </x:c>
      <x:c r="D321" t="str">
        <x:v>Instagram gönderisi: Аппарат TrueBeam — одна из...</x:v>
      </x:c>
      <x:c r="E321" t="str">
        <x:v>LINK_CLICKS</x:v>
      </x:c>
      <x:c r="F321" t="str">
        <x:v>PAUSED</x:v>
      </x:c>
      <x:c r="G321" t="str">
        <x:v>PAUSED</x:v>
      </x:c>
      <x:c r="H321" t="str">
        <x:v>AUCTION</x:v>
      </x:c>
      <x:c r="I321" s="28" t="n">
        <x:v>2000</x:v>
      </x:c>
      <x:c r="J321" s="28" t="n">
        <x:v>0</x:v>
      </x:c>
      <x:c r="K321" t="str">
        <x:v>2026-03-17T22:17:04+0300</x:v>
      </x:c>
      <x:c r="L321"/>
      <x:c r="M321" t="str">
        <x:v>2026-04-10T13:46:58+0300</x:v>
      </x:c>
    </x:row>
    <x:row r="322">
      <x:c r="A322" t="str">
        <x:v>act_449281783851362</x:v>
      </x:c>
      <x:c r="B322" t="str">
        <x:v>Doruk Hastaneleri - SİNA ÖZEL Sağlık Hizmetleri A.ş</x:v>
      </x:c>
      <x:c r="C322" t="str">
        <x:v>120240338137730399</x:v>
      </x:c>
      <x:c r="D322" t="str">
        <x:v>Da Vinci robotik cerrahi Etkileşim Kampanyası - Bursa</x:v>
      </x:c>
      <x:c r="E322" t="str">
        <x:v>OUTCOME_ENGAGEMENT</x:v>
      </x:c>
      <x:c r="F322" t="str">
        <x:v>PAUSED</x:v>
      </x:c>
      <x:c r="G322" t="str">
        <x:v>PAUSED</x:v>
      </x:c>
      <x:c r="H322" t="str">
        <x:v>AUCTION</x:v>
      </x:c>
      <x:c r="I322" s="28" t="n">
        <x:v>0</x:v>
      </x:c>
      <x:c r="J322" s="28" t="n">
        <x:v>0</x:v>
      </x:c>
      <x:c r="K322" t="str">
        <x:v>2025-11-08T21:35:08+0300</x:v>
      </x:c>
      <x:c r="L322" t="str">
        <x:v>2025-11-10T20:13:52+0300</x:v>
      </x:c>
      <x:c r="M322" t="str">
        <x:v>2026-01-21T13:23:09+0300</x:v>
      </x:c>
    </x:row>
    <x:row r="323">
      <x:c r="A323" t="str">
        <x:v>act_449281783851362</x:v>
      </x:c>
      <x:c r="B323" t="str">
        <x:v>Doruk Hastaneleri - SİNA ÖZEL Sağlık Hizmetleri A.ş</x:v>
      </x:c>
      <x:c r="C323" t="str">
        <x:v>120240459106790399</x:v>
      </x:c>
      <x:c r="D323" t="str">
        <x:v>Da Vinci Etkileşim + WP Bursa</x:v>
      </x:c>
      <x:c r="E323" t="str">
        <x:v>OUTCOME_ENGAGEMENT</x:v>
      </x:c>
      <x:c r="F323" t="str">
        <x:v>PAUSED</x:v>
      </x:c>
      <x:c r="G323" t="str">
        <x:v>PAUSED</x:v>
      </x:c>
      <x:c r="H323" t="str">
        <x:v>AUCTION</x:v>
      </x:c>
      <x:c r="I323" s="28" t="n">
        <x:v>0</x:v>
      </x:c>
      <x:c r="J323" s="28" t="n">
        <x:v>0</x:v>
      </x:c>
      <x:c r="K323" t="str">
        <x:v>2025-11-10T20:37:55+0300</x:v>
      </x:c>
      <x:c r="L323"/>
      <x:c r="M323" t="str">
        <x:v>2025-11-24T11:01:45+0300</x:v>
      </x:c>
    </x:row>
    <x:row r="324">
      <x:c r="A324" t="str">
        <x:v>act_449281783851362</x:v>
      </x:c>
      <x:c r="B324" t="str">
        <x:v>Doruk Hastaneleri - SİNA ÖZEL Sağlık Hizmetleri A.ş</x:v>
      </x:c>
      <x:c r="C324" t="str">
        <x:v>120240496489610399</x:v>
      </x:c>
      <x:c r="D324" t="str">
        <x:v>Da vinci Mesajlasma Kampayasi WP</x:v>
      </x:c>
      <x:c r="E324" t="str">
        <x:v>OUTCOME_LEADS</x:v>
      </x:c>
      <x:c r="F324" t="str">
        <x:v>PAUSED</x:v>
      </x:c>
      <x:c r="G324" t="str">
        <x:v>PAUSED</x:v>
      </x:c>
      <x:c r="H324" t="str">
        <x:v>AUCTION</x:v>
      </x:c>
      <x:c r="I324" s="28" t="n">
        <x:v>0</x:v>
      </x:c>
      <x:c r="J324" s="28" t="n">
        <x:v>0</x:v>
      </x:c>
      <x:c r="K324" t="str">
        <x:v>2025-11-11T12:27:35+0300</x:v>
      </x:c>
      <x:c r="L324"/>
      <x:c r="M324" t="str">
        <x:v>2025-11-13T13:37:08+0300</x:v>
      </x:c>
    </x:row>
    <x:row r="325">
      <x:c r="A325" t="str">
        <x:v>act_449281783851362</x:v>
      </x:c>
      <x:c r="B325" t="str">
        <x:v>Doruk Hastaneleri - SİNA ÖZEL Sağlık Hizmetleri A.ş</x:v>
      </x:c>
      <x:c r="C325" t="str">
        <x:v>120240599102260399</x:v>
      </x:c>
      <x:c r="D325" t="str">
        <x:v>Da Vinci Etkileşim + WP - Çevre iller</x:v>
      </x:c>
      <x:c r="E325" t="str">
        <x:v>OUTCOME_ENGAGEMENT</x:v>
      </x:c>
      <x:c r="F325" t="str">
        <x:v>PAUSED</x:v>
      </x:c>
      <x:c r="G325" t="str">
        <x:v>PAUSED</x:v>
      </x:c>
      <x:c r="H325" t="str">
        <x:v>AUCTION</x:v>
      </x:c>
      <x:c r="I325" s="28" t="n">
        <x:v>0</x:v>
      </x:c>
      <x:c r="J325" s="28" t="n">
        <x:v>0</x:v>
      </x:c>
      <x:c r="K325" t="str">
        <x:v>2025-11-12T14:27:27+0300</x:v>
      </x:c>
      <x:c r="L325"/>
      <x:c r="M325" t="str">
        <x:v>2025-11-24T11:01:49+0300</x:v>
      </x:c>
    </x:row>
    <x:row r="326">
      <x:c r="A326" t="str">
        <x:v>act_449281783851362</x:v>
      </x:c>
      <x:c r="B326" t="str">
        <x:v>Doruk Hastaneleri - SİNA ÖZEL Sağlık Hizmetleri A.ş</x:v>
      </x:c>
      <x:c r="C326" t="str">
        <x:v>120240606213960399</x:v>
      </x:c>
      <x:c r="D326" t="str">
        <x:v>Da Vinci - Form Kampanyası</x:v>
      </x:c>
      <x:c r="E326" t="str">
        <x:v>OUTCOME_LEADS</x:v>
      </x:c>
      <x:c r="F326" t="str">
        <x:v>PAUSED</x:v>
      </x:c>
      <x:c r="G326" t="str">
        <x:v>PAUSED</x:v>
      </x:c>
      <x:c r="H326" t="str">
        <x:v>AUCTION</x:v>
      </x:c>
      <x:c r="I326" s="28" t="n">
        <x:v>0</x:v>
      </x:c>
      <x:c r="J326" s="28" t="n">
        <x:v>0</x:v>
      </x:c>
      <x:c r="K326" t="str">
        <x:v>2025-11-12T16:46:49+0300</x:v>
      </x:c>
      <x:c r="L326"/>
      <x:c r="M326" t="str">
        <x:v>2026-01-21T16:22:57+0300</x:v>
      </x:c>
    </x:row>
    <x:row r="327">
      <x:c r="A327" t="str">
        <x:v>act_170008509278498</x:v>
      </x:c>
      <x:c r="B327" t="str">
        <x:v>Doruk Hospital</x:v>
      </x:c>
      <x:c r="C327" t="str">
        <x:v>120240670215390080</x:v>
      </x:c>
      <x:c r="D327" t="str">
        <x:v>Instagram gönderisi: Многие пациенты спрашивают:...</x:v>
      </x:c>
      <x:c r="E327" t="str">
        <x:v>LINK_CLICKS</x:v>
      </x:c>
      <x:c r="F327" t="str">
        <x:v>PAUSED</x:v>
      </x:c>
      <x:c r="G327" t="str">
        <x:v>PAUSED</x:v>
      </x:c>
      <x:c r="H327" t="str">
        <x:v>AUCTION</x:v>
      </x:c>
      <x:c r="I327" s="28" t="n">
        <x:v>1500</x:v>
      </x:c>
      <x:c r="J327" s="28" t="n">
        <x:v>0</x:v>
      </x:c>
      <x:c r="K327" t="str">
        <x:v>2026-03-30T17:15:27+0300</x:v>
      </x:c>
      <x:c r="L327" t="str">
        <x:v>2026-04-05T17:15:27+0300</x:v>
      </x:c>
      <x:c r="M327" t="str">
        <x:v>2026-04-11T14:39:16+0300</x:v>
      </x:c>
    </x:row>
    <x:row r="328">
      <x:c r="A328" t="str">
        <x:v>act_170008509278498</x:v>
      </x:c>
      <x:c r="B328" t="str">
        <x:v>Doruk Hospital</x:v>
      </x:c>
      <x:c r="C328" t="str">
        <x:v>120241213188040080</x:v>
      </x:c>
      <x:c r="D328" t="str">
        <x:v>Serebral Palsi - Çocuk FTR - Türki Cumhuriyetler - Tümü - RU - Lechenie v Turtsii - lead</x:v>
      </x:c>
      <x:c r="E328" t="str">
        <x:v>OUTCOME_LEADS</x:v>
      </x:c>
      <x:c r="F328" t="str">
        <x:v>PAUSED</x:v>
      </x:c>
      <x:c r="G328" t="str">
        <x:v>PAUSED</x:v>
      </x:c>
      <x:c r="H328" t="str">
        <x:v>AUCTION</x:v>
      </x:c>
      <x:c r="I328" s="28" t="n">
        <x:v>0</x:v>
      </x:c>
      <x:c r="J328" s="28" t="n">
        <x:v>0</x:v>
      </x:c>
      <x:c r="K328" t="str">
        <x:v>2026-04-10T10:08:27+0300</x:v>
      </x:c>
      <x:c r="L328"/>
      <x:c r="M328" t="str">
        <x:v>2026-05-06T11:01:27+0300</x:v>
      </x:c>
    </x:row>
    <x:row r="329">
      <x:c r="A329" t="str">
        <x:v>act_170008509278498</x:v>
      </x:c>
      <x:c r="B329" t="str">
        <x:v>Doruk Hospital</x:v>
      </x:c>
      <x:c r="C329" t="str">
        <x:v>120241222775040080</x:v>
      </x:c>
      <x:c r="D329" t="str">
        <x:v>Instagram gönderisi: Пациентка из Узбекистана...</x:v>
      </x:c>
      <x:c r="E329" t="str">
        <x:v>LINK_CLICKS</x:v>
      </x:c>
      <x:c r="F329" t="str">
        <x:v>PAUSED</x:v>
      </x:c>
      <x:c r="G329" t="str">
        <x:v>PAUSED</x:v>
      </x:c>
      <x:c r="H329" t="str">
        <x:v>AUCTION</x:v>
      </x:c>
      <x:c r="I329" s="28" t="n">
        <x:v>2000</x:v>
      </x:c>
      <x:c r="J329" s="28" t="n">
        <x:v>0</x:v>
      </x:c>
      <x:c r="K329" t="str">
        <x:v>2026-04-10T13:51:44+0300</x:v>
      </x:c>
      <x:c r="L329" t="str">
        <x:v>2026-04-17T13:51:44+0300</x:v>
      </x:c>
      <x:c r="M329" t="str">
        <x:v>2026-04-11T14:39:50+0300</x:v>
      </x:c>
    </x:row>
    <x:row r="330">
      <x:c r="A330" t="str">
        <x:v>act_170008509278498</x:v>
      </x:c>
      <x:c r="B330" t="str">
        <x:v>Doruk Hospital</x:v>
      </x:c>
      <x:c r="C330" t="str">
        <x:v>120241224258650080</x:v>
      </x:c>
      <x:c r="D330" t="str">
        <x:v>Instagram gönderisi: ‎في مستشفى دوروك نواصل دعم...</x:v>
      </x:c>
      <x:c r="E330" t="str">
        <x:v>LINK_CLICKS</x:v>
      </x:c>
      <x:c r="F330" t="str">
        <x:v>PAUSED</x:v>
      </x:c>
      <x:c r="G330" t="str">
        <x:v>PAUSED</x:v>
      </x:c>
      <x:c r="H330" t="str">
        <x:v>AUCTION</x:v>
      </x:c>
      <x:c r="I330" s="28" t="n">
        <x:v>2500</x:v>
      </x:c>
      <x:c r="J330" s="28" t="n">
        <x:v>0</x:v>
      </x:c>
      <x:c r="K330" t="str">
        <x:v>2026-04-10T13:58:50+0300</x:v>
      </x:c>
      <x:c r="L330" t="str">
        <x:v>2026-04-17T13:58:50+0300</x:v>
      </x:c>
      <x:c r="M330" t="str">
        <x:v>2026-04-11T14:39:49+0300</x:v>
      </x:c>
    </x:row>
    <x:row r="331">
      <x:c r="A331" t="str">
        <x:v>act_170008509278498</x:v>
      </x:c>
      <x:c r="B331" t="str">
        <x:v>Doruk Hospital</x:v>
      </x:c>
      <x:c r="C331" t="str">
        <x:v>120241230268710080</x:v>
      </x:c>
      <x:c r="D331" t="str">
        <x:v>Serebral Palsi - Çocuk FTR - Arap Bölgesi - Tümü - AR - Doruk İlaj Turkia - lead</x:v>
      </x:c>
      <x:c r="E331" t="str">
        <x:v>OUTCOME_LEADS</x:v>
      </x:c>
      <x:c r="F331" t="str">
        <x:v>PAUSED</x:v>
      </x:c>
      <x:c r="G331" t="str">
        <x:v>PAUSED</x:v>
      </x:c>
      <x:c r="H331" t="str">
        <x:v>AUCTION</x:v>
      </x:c>
      <x:c r="I331" s="28" t="n">
        <x:v>0</x:v>
      </x:c>
      <x:c r="J331" s="28" t="n">
        <x:v>0</x:v>
      </x:c>
      <x:c r="K331" t="str">
        <x:v>2026-04-10T17:17:20+0300</x:v>
      </x:c>
      <x:c r="L331"/>
      <x:c r="M331" t="str">
        <x:v>2026-05-04T15:15:56+0300</x:v>
      </x:c>
    </x:row>
    <x:row r="332">
      <x:c r="A332" t="str">
        <x:v>act_449281783851362</x:v>
      </x:c>
      <x:c r="B332" t="str">
        <x:v>Doruk Hastaneleri - SİNA ÖZEL Sağlık Hizmetleri A.ş</x:v>
      </x:c>
      <x:c r="C332" t="str">
        <x:v>120241272322200399</x:v>
      </x:c>
      <x:c r="D332" t="str">
        <x:v>Da Vinci - Etkişelim Kampanyası</x:v>
      </x:c>
      <x:c r="E332" t="str">
        <x:v>OUTCOME_ENGAGEMENT</x:v>
      </x:c>
      <x:c r="F332" t="str">
        <x:v>PAUSED</x:v>
      </x:c>
      <x:c r="G332" t="str">
        <x:v>PAUSED</x:v>
      </x:c>
      <x:c r="H332" t="str">
        <x:v>AUCTION</x:v>
      </x:c>
      <x:c r="I332" s="28" t="n">
        <x:v>0</x:v>
      </x:c>
      <x:c r="J332" s="28" t="n">
        <x:v>0</x:v>
      </x:c>
      <x:c r="K332" t="str">
        <x:v>2025-11-22T13:58:52+0300</x:v>
      </x:c>
      <x:c r="L332"/>
      <x:c r="M332" t="str">
        <x:v>2026-01-21T14:58:15+0300</x:v>
      </x:c>
    </x:row>
    <x:row r="333">
      <x:c r="A333" t="str">
        <x:v>act_170008509278498</x:v>
      </x:c>
      <x:c r="B333" t="str">
        <x:v>Doruk Hospital</x:v>
      </x:c>
      <x:c r="C333" t="str">
        <x:v>120241336170010080</x:v>
      </x:c>
      <x:c r="D333" t="str">
        <x:v>Whatsapp - Serebral Palsi - Çocuk FTR - Arap Bölgesi - Tümü - AR - Doruk İlaj Turkia</x:v>
      </x:c>
      <x:c r="E333" t="str">
        <x:v>OUTCOME_LEADS</x:v>
      </x:c>
      <x:c r="F333" t="str">
        <x:v>PAUSED</x:v>
      </x:c>
      <x:c r="G333" t="str">
        <x:v>PAUSED</x:v>
      </x:c>
      <x:c r="H333" t="str">
        <x:v>AUCTION</x:v>
      </x:c>
      <x:c r="I333" s="28" t="n">
        <x:v>0</x:v>
      </x:c>
      <x:c r="J333" s="28" t="n">
        <x:v>0</x:v>
      </x:c>
      <x:c r="K333" t="str">
        <x:v>2026-04-13T11:25:28+0300</x:v>
      </x:c>
      <x:c r="L333"/>
      <x:c r="M333" t="str">
        <x:v>2026-05-06T11:01:25+0300</x:v>
      </x:c>
    </x:row>
    <x:row r="334">
      <x:c r="A334" t="str">
        <x:v>act_449281783851362</x:v>
      </x:c>
      <x:c r="B334" t="str">
        <x:v>Doruk Hastaneleri - SİNA ÖZEL Sağlık Hizmetleri A.ş</x:v>
      </x:c>
      <x:c r="C334" t="str">
        <x:v>120242415465180399</x:v>
      </x:c>
      <x:c r="D334" t="str">
        <x:v>Gebe-Doğum Form Kampanyası</x:v>
      </x:c>
      <x:c r="E334" t="str">
        <x:v>OUTCOME_LEADS</x:v>
      </x:c>
      <x:c r="F334" t="str">
        <x:v>ACTIVE</x:v>
      </x:c>
      <x:c r="G334" t="str">
        <x:v>ACTIVE</x:v>
      </x:c>
      <x:c r="H334" t="str">
        <x:v>AUCTION</x:v>
      </x:c>
      <x:c r="I334" s="28" t="n">
        <x:v>0</x:v>
      </x:c>
      <x:c r="J334" s="28" t="n">
        <x:v>0</x:v>
      </x:c>
      <x:c r="K334" t="str">
        <x:v>2025-12-08T15:56:41+0300</x:v>
      </x:c>
      <x:c r="L334"/>
      <x:c r="M334" t="str">
        <x:v>2026-01-26T19:00:55+0300</x:v>
      </x:c>
    </x:row>
    <x:row r="335">
      <x:c r="A335" t="str">
        <x:v>act_170008509278498</x:v>
      </x:c>
      <x:c r="B335" t="str">
        <x:v>Doruk Hospital</x:v>
      </x:c>
      <x:c r="C335" t="str">
        <x:v>120242709189560080</x:v>
      </x:c>
      <x:c r="D335" t="str">
        <x:v>Instagram gönderisi: ‎جهاز TrueBeam هو أحد أحدث...</x:v>
      </x:c>
      <x:c r="E335" t="str">
        <x:v>LINK_CLICKS</x:v>
      </x:c>
      <x:c r="F335" t="str">
        <x:v>PAUSED</x:v>
      </x:c>
      <x:c r="G335" t="str">
        <x:v>PAUSED</x:v>
      </x:c>
      <x:c r="H335" t="str">
        <x:v>AUCTION</x:v>
      </x:c>
      <x:c r="I335" s="28" t="n">
        <x:v>2000</x:v>
      </x:c>
      <x:c r="J335" s="28" t="n">
        <x:v>0</x:v>
      </x:c>
      <x:c r="K335" t="str">
        <x:v>2026-05-06T12:03:37+0300</x:v>
      </x:c>
      <x:c r="L335" t="str">
        <x:v>2026-05-13T12:03:37+0300</x:v>
      </x:c>
      <x:c r="M335" t="str">
        <x:v>2026-07-08T09:54:06+0300</x:v>
      </x:c>
    </x:row>
    <x:row r="336">
      <x:c r="A336" t="str">
        <x:v>act_170008509278498</x:v>
      </x:c>
      <x:c r="B336" t="str">
        <x:v>Doruk Hospital</x:v>
      </x:c>
      <x:c r="C336" t="str">
        <x:v>120242709199090080</x:v>
      </x:c>
      <x:c r="D336" t="str">
        <x:v>Instagram gönderisi: ‎جهاز TrueBeam هو أحد أحدث...</x:v>
      </x:c>
      <x:c r="E336" t="str">
        <x:v>LINK_CLICKS</x:v>
      </x:c>
      <x:c r="F336" t="str">
        <x:v>PAUSED</x:v>
      </x:c>
      <x:c r="G336" t="str">
        <x:v>PAUSED</x:v>
      </x:c>
      <x:c r="H336" t="str">
        <x:v>AUCTION</x:v>
      </x:c>
      <x:c r="I336" s="28" t="n">
        <x:v>2000</x:v>
      </x:c>
      <x:c r="J336" s="28" t="n">
        <x:v>0</x:v>
      </x:c>
      <x:c r="K336" t="str">
        <x:v>2026-05-06T12:04:33+0300</x:v>
      </x:c>
      <x:c r="L336" t="str">
        <x:v>2026-05-13T12:04:33+0300</x:v>
      </x:c>
      <x:c r="M336" t="str">
        <x:v>2026-07-08T09:54:09+0300</x:v>
      </x:c>
    </x:row>
    <x:row r="337">
      <x:c r="A337" t="str">
        <x:v>act_170008509278498</x:v>
      </x:c>
      <x:c r="B337" t="str">
        <x:v>Doruk Hospital</x:v>
      </x:c>
      <x:c r="C337" t="str">
        <x:v>120242709752170080</x:v>
      </x:c>
      <x:c r="D337" t="str">
        <x:v>Instagram gönderisi: Аппарат TrueBeam — одна из...</x:v>
      </x:c>
      <x:c r="E337" t="str">
        <x:v>LINK_CLICKS</x:v>
      </x:c>
      <x:c r="F337" t="str">
        <x:v>ACTIVE</x:v>
      </x:c>
      <x:c r="G337" t="str">
        <x:v>ACTIVE</x:v>
      </x:c>
      <x:c r="H337" t="str">
        <x:v>AUCTION</x:v>
      </x:c>
      <x:c r="I337" s="28" t="n">
        <x:v>4000</x:v>
      </x:c>
      <x:c r="J337" s="28" t="n">
        <x:v>0</x:v>
      </x:c>
      <x:c r="K337" t="str">
        <x:v>2026-05-06T12:20:44+0300</x:v>
      </x:c>
      <x:c r="L337"/>
      <x:c r="M337" t="str">
        <x:v>2026-05-06T12:20:16+0300</x:v>
      </x:c>
    </x:row>
    <x:row r="338">
      <x:c r="A338" t="str">
        <x:v>act_170008509278498</x:v>
      </x:c>
      <x:c r="B338" t="str">
        <x:v>Doruk Hospital</x:v>
      </x:c>
      <x:c r="C338" t="str">
        <x:v>120242709804850080</x:v>
      </x:c>
      <x:c r="D338" t="str">
        <x:v>Instagram gönderisi: Руслана, приехавшая из...</x:v>
      </x:c>
      <x:c r="E338" t="str">
        <x:v>LINK_CLICKS</x:v>
      </x:c>
      <x:c r="F338" t="str">
        <x:v>PAUSED</x:v>
      </x:c>
      <x:c r="G338" t="str">
        <x:v>PAUSED</x:v>
      </x:c>
      <x:c r="H338" t="str">
        <x:v>AUCTION</x:v>
      </x:c>
      <x:c r="I338" s="28" t="n">
        <x:v>3000</x:v>
      </x:c>
      <x:c r="J338" s="28" t="n">
        <x:v>0</x:v>
      </x:c>
      <x:c r="K338" t="str">
        <x:v>2026-05-06T12:23:05+0300</x:v>
      </x:c>
      <x:c r="L338" t="str">
        <x:v>2026-05-12T12:23:05+0300</x:v>
      </x:c>
      <x:c r="M338" t="str">
        <x:v>2026-07-08T09:54:11+0300</x:v>
      </x:c>
    </x:row>
    <x:row r="339">
      <x:c r="A339" t="str">
        <x:v>act_170008509278498</x:v>
      </x:c>
      <x:c r="B339" t="str">
        <x:v>Doruk Hospital</x:v>
      </x:c>
      <x:c r="C339" t="str">
        <x:v>120242709823390080</x:v>
      </x:c>
      <x:c r="D339" t="str">
        <x:v>Instagram gönderisi: Современная реабилитация в...</x:v>
      </x:c>
      <x:c r="E339" t="str">
        <x:v>LINK_CLICKS</x:v>
      </x:c>
      <x:c r="F339" t="str">
        <x:v>PAUSED</x:v>
      </x:c>
      <x:c r="G339" t="str">
        <x:v>PAUSED</x:v>
      </x:c>
      <x:c r="H339" t="str">
        <x:v>AUCTION</x:v>
      </x:c>
      <x:c r="I339" s="28" t="n">
        <x:v>2000</x:v>
      </x:c>
      <x:c r="J339" s="28" t="n">
        <x:v>0</x:v>
      </x:c>
      <x:c r="K339" t="str">
        <x:v>2026-05-06T12:23:27+0300</x:v>
      </x:c>
      <x:c r="L339" t="str">
        <x:v>2026-05-22T12:23:27+0300</x:v>
      </x:c>
      <x:c r="M339" t="str">
        <x:v>2026-07-08T09:54:12+0300</x:v>
      </x:c>
    </x:row>
    <x:row r="340">
      <x:c r="A340" t="str">
        <x:v>act_449281783851362</x:v>
      </x:c>
      <x:c r="B340" t="str">
        <x:v>Doruk Hastaneleri - SİNA ÖZEL Sağlık Hizmetleri A.ş</x:v>
      </x:c>
      <x:c r="C340" t="str">
        <x:v>120244050701710399</x:v>
      </x:c>
      <x:c r="D340" t="str">
        <x:v>Uzman Hekim Başvuru</x:v>
      </x:c>
      <x:c r="E340" t="str">
        <x:v>OUTCOME_LEADS</x:v>
      </x:c>
      <x:c r="F340" t="str">
        <x:v>ACTIVE</x:v>
      </x:c>
      <x:c r="G340" t="str">
        <x:v>ACTIVE</x:v>
      </x:c>
      <x:c r="H340" t="str">
        <x:v>AUCTION</x:v>
      </x:c>
      <x:c r="I340" s="28" t="n">
        <x:v>1000</x:v>
      </x:c>
      <x:c r="J340" s="28" t="n">
        <x:v>0</x:v>
      </x:c>
      <x:c r="K340" t="str">
        <x:v>2026-01-07T14:21:02+0300</x:v>
      </x:c>
      <x:c r="L340"/>
      <x:c r="M340" t="str">
        <x:v>2026-01-13T15:26:15+0300</x:v>
      </x:c>
    </x:row>
    <x:row r="341">
      <x:c r="A341" t="str">
        <x:v>act_449281783851362</x:v>
      </x:c>
      <x:c r="B341" t="str">
        <x:v>Doruk Hastaneleri - SİNA ÖZEL Sağlık Hizmetleri A.ş</x:v>
      </x:c>
      <x:c r="C341" t="str">
        <x:v>120244664957740399</x:v>
      </x:c>
      <x:c r="D341" t="str">
        <x:v>Da Vinci Bilinirlik Kampanyası</x:v>
      </x:c>
      <x:c r="E341" t="str">
        <x:v>OUTCOME_AWARENESS</x:v>
      </x:c>
      <x:c r="F341" t="str">
        <x:v>PAUSED</x:v>
      </x:c>
      <x:c r="G341" t="str">
        <x:v>PAUSED</x:v>
      </x:c>
      <x:c r="H341" t="str">
        <x:v>AUCTION</x:v>
      </x:c>
      <x:c r="I341" s="28" t="n">
        <x:v>0</x:v>
      </x:c>
      <x:c r="J341" s="28" t="n">
        <x:v>0</x:v>
      </x:c>
      <x:c r="K341" t="str">
        <x:v>2026-01-21T14:01:42+0300</x:v>
      </x:c>
      <x:c r="L341"/>
      <x:c r="M341" t="str">
        <x:v>2026-06-05T11:03:34+0300</x:v>
      </x:c>
    </x:row>
    <x:row r="342">
      <x:c r="A342" t="str">
        <x:v>act_449281783851362</x:v>
      </x:c>
      <x:c r="B342" t="str">
        <x:v>Doruk Hastaneleri - SİNA ÖZEL Sağlık Hizmetleri A.ş</x:v>
      </x:c>
      <x:c r="C342" t="str">
        <x:v>120245277486220399</x:v>
      </x:c>
      <x:c r="D342" t="str">
        <x:v>Da Vinci Bilinirlik Kampanyası - Bursa Çevresi</x:v>
      </x:c>
      <x:c r="E342" t="str">
        <x:v>OUTCOME_AWARENESS</x:v>
      </x:c>
      <x:c r="F342" t="str">
        <x:v>PAUSED</x:v>
      </x:c>
      <x:c r="G342" t="str">
        <x:v>PAUSED</x:v>
      </x:c>
      <x:c r="H342" t="str">
        <x:v>AUCTION</x:v>
      </x:c>
      <x:c r="I342" s="28" t="n">
        <x:v>0</x:v>
      </x:c>
      <x:c r="J342" s="28" t="n">
        <x:v>0</x:v>
      </x:c>
      <x:c r="K342" t="str">
        <x:v>2026-02-04T17:08:13+0300</x:v>
      </x:c>
      <x:c r="L342"/>
      <x:c r="M342" t="str">
        <x:v>2026-02-20T18:07:52+0300</x:v>
      </x:c>
    </x:row>
    <x:row r="343">
      <x:c r="A343" t="str">
        <x:v>act_449281783851362</x:v>
      </x:c>
      <x:c r="B343" t="str">
        <x:v>Doruk Hastaneleri - SİNA ÖZEL Sağlık Hizmetleri A.ş</x:v>
      </x:c>
      <x:c r="C343" t="str">
        <x:v>120246281431420399</x:v>
      </x:c>
      <x:c r="D343" t="str">
        <x:v>Sağlık Turizmi Acente Türkiye</x:v>
      </x:c>
      <x:c r="E343" t="str">
        <x:v>OUTCOME_LEADS</x:v>
      </x:c>
      <x:c r="F343" t="str">
        <x:v>PAUSED</x:v>
      </x:c>
      <x:c r="G343" t="str">
        <x:v>PAUSED</x:v>
      </x:c>
      <x:c r="H343" t="str">
        <x:v>AUCTION</x:v>
      </x:c>
      <x:c r="I343" s="28" t="n">
        <x:v>0</x:v>
      </x:c>
      <x:c r="J343" s="28" t="n">
        <x:v>0</x:v>
      </x:c>
      <x:c r="K343" t="str">
        <x:v>2026-02-26T13:41:09+0300</x:v>
      </x:c>
      <x:c r="L343"/>
      <x:c r="M343" t="str">
        <x:v>2026-06-05T11:01:55+0300</x:v>
      </x:c>
    </x:row>
    <x:row r="344">
      <x:c r="A344" t="str">
        <x:v>act_449281783851362</x:v>
      </x:c>
      <x:c r="B344" t="str">
        <x:v>Doruk Hastaneleri - SİNA ÖZEL Sağlık Hizmetleri A.ş</x:v>
      </x:c>
      <x:c r="C344" t="str">
        <x:v>120246476228800399</x:v>
      </x:c>
      <x:c r="D344" t="str">
        <x:v>FTR Yatılı - lead</x:v>
      </x:c>
      <x:c r="E344" t="str">
        <x:v>OUTCOME_LEADS</x:v>
      </x:c>
      <x:c r="F344" t="str">
        <x:v>ACTIVE</x:v>
      </x:c>
      <x:c r="G344" t="str">
        <x:v>ACTIVE</x:v>
      </x:c>
      <x:c r="H344" t="str">
        <x:v>AUCTION</x:v>
      </x:c>
      <x:c r="I344" s="28" t="n">
        <x:v>0</x:v>
      </x:c>
      <x:c r="J344" s="28" t="n">
        <x:v>0</x:v>
      </x:c>
      <x:c r="K344" t="str">
        <x:v>2026-03-02T10:45:10+0300</x:v>
      </x:c>
      <x:c r="L344"/>
      <x:c r="M344" t="str">
        <x:v>2026-04-10T10:15:10+0300</x:v>
      </x:c>
    </x:row>
    <x:row r="345">
      <x:c r="A345" t="str">
        <x:v>act_449281783851362</x:v>
      </x:c>
      <x:c r="B345" t="str">
        <x:v>Doruk Hastaneleri - SİNA ÖZEL Sağlık Hizmetleri A.ş</x:v>
      </x:c>
      <x:c r="C345" t="str">
        <x:v>120246633999360399</x:v>
      </x:c>
      <x:c r="D345" t="str">
        <x:v>ÖSS-TSS - trafik</x:v>
      </x:c>
      <x:c r="E345" t="str">
        <x:v>OUTCOME_TRAFFIC</x:v>
      </x:c>
      <x:c r="F345" t="str">
        <x:v>PAUSED</x:v>
      </x:c>
      <x:c r="G345" t="str">
        <x:v>PAUSED</x:v>
      </x:c>
      <x:c r="H345" t="str">
        <x:v>AUCTION</x:v>
      </x:c>
      <x:c r="I345" s="28" t="n">
        <x:v>0</x:v>
      </x:c>
      <x:c r="J345" s="28" t="n">
        <x:v>0</x:v>
      </x:c>
      <x:c r="K345" t="str">
        <x:v>2026-03-05T13:45:20+0300</x:v>
      </x:c>
      <x:c r="L345"/>
      <x:c r="M345" t="str">
        <x:v>2026-03-12T12:42:28+0300</x:v>
      </x:c>
    </x:row>
    <x:row r="346">
      <x:c r="A346" t="str">
        <x:v>act_449281783851362</x:v>
      </x:c>
      <x:c r="B346" t="str">
        <x:v>Doruk Hastaneleri - SİNA ÖZEL Sağlık Hizmetleri A.ş</x:v>
      </x:c>
      <x:c r="C346" t="str">
        <x:v>120246691590090399</x:v>
      </x:c>
      <x:c r="D346" t="str">
        <x:v>Hemşire İş Başvuru - lead</x:v>
      </x:c>
      <x:c r="E346" t="str">
        <x:v>OUTCOME_LEADS</x:v>
      </x:c>
      <x:c r="F346" t="str">
        <x:v>ACTIVE</x:v>
      </x:c>
      <x:c r="G346" t="str">
        <x:v>ACTIVE</x:v>
      </x:c>
      <x:c r="H346" t="str">
        <x:v>AUCTION</x:v>
      </x:c>
      <x:c r="I346" s="28" t="n">
        <x:v>0</x:v>
      </x:c>
      <x:c r="J346" s="28" t="n">
        <x:v>0</x:v>
      </x:c>
      <x:c r="K346" t="str">
        <x:v>2026-03-06T16:50:05+0300</x:v>
      </x:c>
      <x:c r="L346"/>
      <x:c r="M346" t="str">
        <x:v>2026-03-07T13:54:11+0300</x:v>
      </x:c>
    </x:row>
    <x:row r="347">
      <x:c r="A347" t="str">
        <x:v>act_449281783851362</x:v>
      </x:c>
      <x:c r="B347" t="str">
        <x:v>Doruk Hastaneleri - SİNA ÖZEL Sağlık Hizmetleri A.ş</x:v>
      </x:c>
      <x:c r="C347" t="str">
        <x:v>120246924981440399</x:v>
      </x:c>
      <x:c r="D347" t="str">
        <x:v>ÖSS-TSS - marka bilinirliği</x:v>
      </x:c>
      <x:c r="E347" t="str">
        <x:v>OUTCOME_AWARENESS</x:v>
      </x:c>
      <x:c r="F347" t="str">
        <x:v>ACTIVE</x:v>
      </x:c>
      <x:c r="G347" t="str">
        <x:v>ACTIVE</x:v>
      </x:c>
      <x:c r="H347" t="str">
        <x:v>AUCTION</x:v>
      </x:c>
      <x:c r="I347" s="28" t="n">
        <x:v>0</x:v>
      </x:c>
      <x:c r="J347" s="28" t="n">
        <x:v>0</x:v>
      </x:c>
      <x:c r="K347" t="str">
        <x:v>2026-03-13T00:00:00+0300</x:v>
      </x:c>
      <x:c r="L347"/>
      <x:c r="M347" t="str">
        <x:v>2026-03-12T11:10:00+0300</x:v>
      </x:c>
    </x:row>
    <x:row r="348">
      <x:c r="A348" t="str">
        <x:v>act_449281783851362</x:v>
      </x:c>
      <x:c r="B348" t="str">
        <x:v>Doruk Hastaneleri - SİNA ÖZEL Sağlık Hizmetleri A.ş</x:v>
      </x:c>
      <x:c r="C348" t="str">
        <x:v>120247034876600399</x:v>
      </x:c>
      <x:c r="D348" t="str">
        <x:v>Gebe-Doğum Bilinirlik</x:v>
      </x:c>
      <x:c r="E348" t="str">
        <x:v>OUTCOME_AWARENESS</x:v>
      </x:c>
      <x:c r="F348" t="str">
        <x:v>ACTIVE</x:v>
      </x:c>
      <x:c r="G348" t="str">
        <x:v>ACTIVE</x:v>
      </x:c>
      <x:c r="H348" t="str">
        <x:v>AUCTION</x:v>
      </x:c>
      <x:c r="I348" s="28" t="n">
        <x:v>0</x:v>
      </x:c>
      <x:c r="J348" s="28" t="n">
        <x:v>0</x:v>
      </x:c>
      <x:c r="K348" t="str">
        <x:v>2026-03-14T14:05:04+0300</x:v>
      </x:c>
      <x:c r="L348"/>
      <x:c r="M348" t="str">
        <x:v>2026-05-11T10:08:05+0300</x:v>
      </x:c>
    </x:row>
    <x:row r="349">
      <x:c r="A349" t="str">
        <x:v>act_170008509278498</x:v>
      </x:c>
      <x:c r="B349" t="str">
        <x:v>Doruk Hospital</x:v>
      </x:c>
      <x:c r="C349" t="str">
        <x:v>120247571768010080</x:v>
      </x:c>
      <x:c r="D349" t="str">
        <x:v>Meme Estetiği - Jinekomasti - Birleşik Krallık - Tümü - EN - Doruk Jinekomasti</x:v>
      </x:c>
      <x:c r="E349" t="str">
        <x:v>OUTCOME_LEADS</x:v>
      </x:c>
      <x:c r="F349" t="str">
        <x:v>PAUSED</x:v>
      </x:c>
      <x:c r="G349" t="str">
        <x:v>PAUSED</x:v>
      </x:c>
      <x:c r="H349" t="str">
        <x:v>AUCTION</x:v>
      </x:c>
      <x:c r="I349" s="28" t="n">
        <x:v>0</x:v>
      </x:c>
      <x:c r="J349" s="28" t="n">
        <x:v>0</x:v>
      </x:c>
      <x:c r="K349" t="str">
        <x:v>2026-07-28T16:16:36+0300</x:v>
      </x:c>
      <x:c r="L349"/>
      <x:c r="M349" t="str">
        <x:v>2026-08-06T10:48:40+0300</x:v>
      </x:c>
    </x:row>
    <x:row r="350">
      <x:c r="A350" t="str">
        <x:v>act_170008509278498</x:v>
      </x:c>
      <x:c r="B350" t="str">
        <x:v>Doruk Hospital</x:v>
      </x:c>
      <x:c r="C350" t="str">
        <x:v>120247623884690080</x:v>
      </x:c>
      <x:c r="D350" t="str">
        <x:v>Meme Estetiği - Jinekomasti - Arap Bölgesi - Tümü - AR - Doruk Jinekomasti</x:v>
      </x:c>
      <x:c r="E350" t="str">
        <x:v>OUTCOME_LEADS</x:v>
      </x:c>
      <x:c r="F350" t="str">
        <x:v>PAUSED</x:v>
      </x:c>
      <x:c r="G350" t="str">
        <x:v>PAUSED</x:v>
      </x:c>
      <x:c r="H350" t="str">
        <x:v>AUCTION</x:v>
      </x:c>
      <x:c r="I350" s="28" t="n">
        <x:v>0</x:v>
      </x:c>
      <x:c r="J350" s="28" t="n">
        <x:v>0</x:v>
      </x:c>
      <x:c r="K350" t="str">
        <x:v>2026-07-30T10:15:53+0300</x:v>
      </x:c>
      <x:c r="L350"/>
      <x:c r="M350" t="str">
        <x:v>2026-08-06T10:48:39+0300</x:v>
      </x:c>
    </x:row>
    <x:row r="351">
      <x:c r="A351" t="str">
        <x:v>act_449281783851362</x:v>
      </x:c>
      <x:c r="B351" t="str">
        <x:v>Doruk Hastaneleri - SİNA ÖZEL Sağlık Hizmetleri A.ş</x:v>
      </x:c>
      <x:c r="C351" t="str">
        <x:v>120248812698040399</x:v>
      </x:c>
      <x:c r="D351" t="str">
        <x:v>ABO / Medikal Estetik lead / 16.04.2026</x:v>
      </x:c>
      <x:c r="E351" t="str">
        <x:v>OUTCOME_LEADS</x:v>
      </x:c>
      <x:c r="F351" t="str">
        <x:v>ACTIVE</x:v>
      </x:c>
      <x:c r="G351" t="str">
        <x:v>ACTIVE</x:v>
      </x:c>
      <x:c r="H351" t="str">
        <x:v>AUCTION</x:v>
      </x:c>
      <x:c r="I351" s="28" t="n">
        <x:v>0</x:v>
      </x:c>
      <x:c r="J351" s="28" t="n">
        <x:v>0</x:v>
      </x:c>
      <x:c r="K351" t="str">
        <x:v>2026-04-17T10:11:31+0300</x:v>
      </x:c>
      <x:c r="L351"/>
      <x:c r="M351" t="str">
        <x:v>2026-04-17T15:32:14+0300</x:v>
      </x:c>
    </x:row>
    <x:row r="352">
      <x:c r="A352" t="str">
        <x:v>act_449281783851362</x:v>
      </x:c>
      <x:c r="B352" t="str">
        <x:v>Doruk Hastaneleri - SİNA ÖZEL Sağlık Hizmetleri A.ş</x:v>
      </x:c>
      <x:c r="C352" t="str">
        <x:v>120249061996540399</x:v>
      </x:c>
      <x:c r="D352" t="str">
        <x:v>Doktor - Bilinirlik Kampanyası - Nilüfer</x:v>
      </x:c>
      <x:c r="E352" t="str">
        <x:v>OUTCOME_AWARENESS</x:v>
      </x:c>
      <x:c r="F352" t="str">
        <x:v>ACTIVE</x:v>
      </x:c>
      <x:c r="G352" t="str">
        <x:v>ACTIVE</x:v>
      </x:c>
      <x:c r="H352" t="str">
        <x:v>AUCTION</x:v>
      </x:c>
      <x:c r="I352" s="28" t="n">
        <x:v>0</x:v>
      </x:c>
      <x:c r="J352" s="28" t="n">
        <x:v>0</x:v>
      </x:c>
      <x:c r="K352" t="str">
        <x:v>2026-04-21T09:25:08+0300</x:v>
      </x:c>
      <x:c r="L352"/>
      <x:c r="M352" t="str">
        <x:v>2026-06-04T10:16:13+0300</x:v>
      </x:c>
    </x:row>
    <x:row r="353">
      <x:c r="A353" t="str">
        <x:v>act_449281783851362</x:v>
      </x:c>
      <x:c r="B353" t="str">
        <x:v>Doruk Hastaneleri - SİNA ÖZEL Sağlık Hizmetleri A.ş</x:v>
      </x:c>
      <x:c r="C353" t="str">
        <x:v>120249614228610399</x:v>
      </x:c>
      <x:c r="D353" t="str">
        <x:v>Instagram gönderisi: Bir sezon boyunca ortaya...</x:v>
      </x:c>
      <x:c r="E353" t="str">
        <x:v>LINK_CLICKS</x:v>
      </x:c>
      <x:c r="F353" t="str">
        <x:v>ACTIVE</x:v>
      </x:c>
      <x:c r="G353" t="str">
        <x:v>ACTIVE</x:v>
      </x:c>
      <x:c r="H353" t="str">
        <x:v>AUCTION</x:v>
      </x:c>
      <x:c r="I353" s="28" t="n">
        <x:v>0</x:v>
      </x:c>
      <x:c r="J353" s="28" t="n">
        <x:v>0</x:v>
      </x:c>
      <x:c r="K353" t="str">
        <x:v>2026-04-27T15:24:44+0300</x:v>
      </x:c>
      <x:c r="L353"/>
      <x:c r="M353" t="str">
        <x:v>2026-04-27T15:24:33+0300</x:v>
      </x:c>
    </x:row>
    <x:row r="354">
      <x:c r="A354" t="str">
        <x:v>act_449281783851362</x:v>
      </x:c>
      <x:c r="B354" t="str">
        <x:v>Doruk Hastaneleri - SİNA ÖZEL Sağlık Hizmetleri A.ş</x:v>
      </x:c>
      <x:c r="C354" t="str">
        <x:v>120251414264130399</x:v>
      </x:c>
      <x:c r="D354" t="str">
        <x:v>Prostat Checkup - lead</x:v>
      </x:c>
      <x:c r="E354" t="str">
        <x:v>OUTCOME_LEADS</x:v>
      </x:c>
      <x:c r="F354" t="str">
        <x:v>ACTIVE</x:v>
      </x:c>
      <x:c r="G354" t="str">
        <x:v>ACTIVE</x:v>
      </x:c>
      <x:c r="H354" t="str">
        <x:v>AUCTION</x:v>
      </x:c>
      <x:c r="I354" s="28" t="n">
        <x:v>0</x:v>
      </x:c>
      <x:c r="J354" s="28" t="n">
        <x:v>0</x:v>
      </x:c>
      <x:c r="K354" t="str">
        <x:v>2026-05-21T17:27:58+0300</x:v>
      </x:c>
      <x:c r="L354"/>
      <x:c r="M354" t="str">
        <x:v>2026-05-21T17:27:58+0300</x:v>
      </x:c>
    </x:row>
    <x:row r="355">
      <x:c r="A355" t="str">
        <x:v>act_449281783851362</x:v>
      </x:c>
      <x:c r="B355" t="str">
        <x:v>Doruk Hastaneleri - SİNA ÖZEL Sağlık Hizmetleri A.ş</x:v>
      </x:c>
      <x:c r="C355" t="str">
        <x:v>120252323141170399</x:v>
      </x:c>
      <x:c r="D355" t="str">
        <x:v>Instagram gönderisi: Medikal estetik alanındaki...</x:v>
      </x:c>
      <x:c r="E355" t="str">
        <x:v>LINK_CLICKS</x:v>
      </x:c>
      <x:c r="F355" t="str">
        <x:v>ACTIVE</x:v>
      </x:c>
      <x:c r="G355" t="str">
        <x:v>ACTIVE</x:v>
      </x:c>
      <x:c r="H355" t="str">
        <x:v>AUCTION</x:v>
      </x:c>
      <x:c r="I355" s="28" t="n">
        <x:v>500</x:v>
      </x:c>
      <x:c r="J355" s="28" t="n">
        <x:v>0</x:v>
      </x:c>
      <x:c r="K355" t="str">
        <x:v>2026-06-02T11:21:40+0300</x:v>
      </x:c>
      <x:c r="L355"/>
      <x:c r="M355" t="str">
        <x:v>2026-06-02T11:21:12+0300</x:v>
      </x:c>
    </x:row>
    <x:row r="356">
      <x:c r="A356" t="str">
        <x:v>act_449281783851362</x:v>
      </x:c>
      <x:c r="B356" t="str">
        <x:v>Doruk Hastaneleri - SİNA ÖZEL Sağlık Hizmetleri A.ş</x:v>
      </x:c>
      <x:c r="C356" t="str">
        <x:v>120255099624540399</x:v>
      </x:c>
      <x:c r="D356" t="str">
        <x:v>Instagram gönderisi: Doruk Sağlık Grubu olarak,...</x:v>
      </x:c>
      <x:c r="E356" t="str">
        <x:v>LINK_CLICKS</x:v>
      </x:c>
      <x:c r="F356" t="str">
        <x:v>ACTIVE</x:v>
      </x:c>
      <x:c r="G356" t="str">
        <x:v>ACTIVE</x:v>
      </x:c>
      <x:c r="H356" t="str">
        <x:v>AUCTION</x:v>
      </x:c>
      <x:c r="I356" s="28" t="n">
        <x:v>3000</x:v>
      </x:c>
      <x:c r="J356" s="28" t="n">
        <x:v>0</x:v>
      </x:c>
      <x:c r="K356" t="str">
        <x:v>2026-07-01T10:32:51+0300</x:v>
      </x:c>
      <x:c r="L356" t="str">
        <x:v>2026-07-31T10:32:51+0300</x:v>
      </x:c>
      <x:c r="M356" t="str">
        <x:v>2026-07-01T10:32:42+0300</x:v>
      </x:c>
    </x:row>
    <x:row r="357">
      <x:c r="A357" t="str">
        <x:v>act_449281783851362</x:v>
      </x:c>
      <x:c r="B357" t="str">
        <x:v>Doruk Hastaneleri - SİNA ÖZEL Sağlık Hizmetleri A.ş</x:v>
      </x:c>
      <x:c r="C357" t="str">
        <x:v>120255158812950399</x:v>
      </x:c>
      <x:c r="D357" t="str">
        <x:v>Doktor - Bilinirlik Kampanyası - Yıldırım</x:v>
      </x:c>
      <x:c r="E357" t="str">
        <x:v>OUTCOME_AWARENESS</x:v>
      </x:c>
      <x:c r="F357" t="str">
        <x:v>ACTIVE</x:v>
      </x:c>
      <x:c r="G357" t="str">
        <x:v>ACTIVE</x:v>
      </x:c>
      <x:c r="H357" t="str">
        <x:v>AUCTION</x:v>
      </x:c>
      <x:c r="I357" s="28" t="n">
        <x:v>0</x:v>
      </x:c>
      <x:c r="J357" s="28" t="n">
        <x:v>0</x:v>
      </x:c>
      <x:c r="K357" t="str">
        <x:v>2026-07-02T11:35:37+0300</x:v>
      </x:c>
      <x:c r="L357"/>
      <x:c r="M357" t="str">
        <x:v>2026-07-02T11:35:36+0300</x:v>
      </x:c>
    </x:row>
    <x:row r="358">
      <x:c r="A358" t="str">
        <x:v>act_449281783851362</x:v>
      </x:c>
      <x:c r="B358" t="str">
        <x:v>Doruk Hastaneleri - SİNA ÖZEL Sağlık Hizmetleri A.ş</x:v>
      </x:c>
      <x:c r="C358" t="str">
        <x:v>120255738261970399</x:v>
      </x:c>
      <x:c r="D358" t="str">
        <x:v>Instagram gönderisi: Aşılama tedavisi, gebelik...</x:v>
      </x:c>
      <x:c r="E358" t="str">
        <x:v>LINK_CLICKS</x:v>
      </x:c>
      <x:c r="F358" t="str">
        <x:v>ACTIVE</x:v>
      </x:c>
      <x:c r="G358" t="str">
        <x:v>ACTIVE</x:v>
      </x:c>
      <x:c r="H358" t="str">
        <x:v>AUCTION</x:v>
      </x:c>
      <x:c r="I358" s="28" t="n">
        <x:v>1000</x:v>
      </x:c>
      <x:c r="J358" s="28" t="n">
        <x:v>0</x:v>
      </x:c>
      <x:c r="K358" t="str">
        <x:v>2026-07-22T10:33:18+0300</x:v>
      </x:c>
      <x:c r="L358" t="str">
        <x:v>2026-07-29T10:33:18+0300</x:v>
      </x:c>
      <x:c r="M358" t="str">
        <x:v>2026-07-22T10:33:08+0300</x:v>
      </x:c>
    </x:row>
    <x:row r="359">
      <x:c r="A359" t="str">
        <x:v>act_449281783851362</x:v>
      </x:c>
      <x:c r="B359" t="str">
        <x:v>Doruk Hastaneleri - SİNA ÖZEL Sağlık Hizmetleri A.ş</x:v>
      </x:c>
      <x:c r="C359" t="str">
        <x:v>120255738303970399</x:v>
      </x:c>
      <x:c r="D359" t="str">
        <x:v>Instagram gönderisi: 🏅 BURSA'DA BİR İLK
Özel...</x:v>
      </x:c>
      <x:c r="E359" t="str">
        <x:v>LINK_CLICKS</x:v>
      </x:c>
      <x:c r="F359" t="str">
        <x:v>ACTIVE</x:v>
      </x:c>
      <x:c r="G359" t="str">
        <x:v>ACTIVE</x:v>
      </x:c>
      <x:c r="H359" t="str">
        <x:v>AUCTION</x:v>
      </x:c>
      <x:c r="I359" s="28" t="n">
        <x:v>1000</x:v>
      </x:c>
      <x:c r="J359" s="28" t="n">
        <x:v>0</x:v>
      </x:c>
      <x:c r="K359" t="str">
        <x:v>2026-07-22T10:35:11+0300</x:v>
      </x:c>
      <x:c r="L359" t="str">
        <x:v>2026-08-21T10:35:11+0300</x:v>
      </x:c>
      <x:c r="M359" t="str">
        <x:v>2026-07-22T10:35:01+0300</x:v>
      </x:c>
    </x:row>
    <x:row r="360">
      <x:c r="A360" t="str">
        <x:v>act_449281783851362</x:v>
      </x:c>
      <x:c r="B360" t="str">
        <x:v>Doruk Hastaneleri - SİNA ÖZEL Sağlık Hizmetleri A.ş</x:v>
      </x:c>
      <x:c r="C360" t="str">
        <x:v>120255738326270399</x:v>
      </x:c>
      <x:c r="D360" t="str">
        <x:v>Instagram gönderisi: Gebelikte bel ağrısı sık...</x:v>
      </x:c>
      <x:c r="E360" t="str">
        <x:v>LINK_CLICKS</x:v>
      </x:c>
      <x:c r="F360" t="str">
        <x:v>ACTIVE</x:v>
      </x:c>
      <x:c r="G360" t="str">
        <x:v>ACTIVE</x:v>
      </x:c>
      <x:c r="H360" t="str">
        <x:v>AUCTION</x:v>
      </x:c>
      <x:c r="I360" s="28" t="n">
        <x:v>1000</x:v>
      </x:c>
      <x:c r="J360" s="28" t="n">
        <x:v>0</x:v>
      </x:c>
      <x:c r="K360" t="str">
        <x:v>2026-07-22T10:36:08+0300</x:v>
      </x:c>
      <x:c r="L360" t="str">
        <x:v>2026-07-29T10:36:08+0300</x:v>
      </x:c>
      <x:c r="M360" t="str">
        <x:v>2026-07-22T10:35:58+0300</x:v>
      </x:c>
    </x:row>
    <x:row r="361">
      <x:c r="A361" t="str">
        <x:v>act_449281783851362</x:v>
      </x:c>
      <x:c r="B361" t="str">
        <x:v>Doruk Hastaneleri - SİNA ÖZEL Sağlık Hizmetleri A.ş</x:v>
      </x:c>
      <x:c r="C361" t="str">
        <x:v>120255738351260399</x:v>
      </x:c>
      <x:c r="D361" t="str">
        <x:v>Instagram gönderisi: İlişki sonrasında idrar...</x:v>
      </x:c>
      <x:c r="E361" t="str">
        <x:v>LINK_CLICKS</x:v>
      </x:c>
      <x:c r="F361" t="str">
        <x:v>ACTIVE</x:v>
      </x:c>
      <x:c r="G361" t="str">
        <x:v>ACTIVE</x:v>
      </x:c>
      <x:c r="H361" t="str">
        <x:v>AUCTION</x:v>
      </x:c>
      <x:c r="I361" s="28" t="n">
        <x:v>1000</x:v>
      </x:c>
      <x:c r="J361" s="28" t="n">
        <x:v>0</x:v>
      </x:c>
      <x:c r="K361" t="str">
        <x:v>2026-07-22T10:37:07+0300</x:v>
      </x:c>
      <x:c r="L361" t="str">
        <x:v>2026-07-29T10:37:07+0300</x:v>
      </x:c>
      <x:c r="M361" t="str">
        <x:v>2026-07-22T10:37:01+0300</x:v>
      </x:c>
    </x:row>
    <x:row r="362">
      <x:c r="A362" t="str">
        <x:v>act_449281783851362</x:v>
      </x:c>
      <x:c r="B362" t="str">
        <x:v>Doruk Hastaneleri - SİNA ÖZEL Sağlık Hizmetleri A.ş</x:v>
      </x:c>
      <x:c r="C362" t="str">
        <x:v>120255738376560399</x:v>
      </x:c>
      <x:c r="D362" t="str">
        <x:v>Instagram gönderisi: Ablasyon tedavisi, vücutta...</x:v>
      </x:c>
      <x:c r="E362" t="str">
        <x:v>LINK_CLICKS</x:v>
      </x:c>
      <x:c r="F362" t="str">
        <x:v>ACTIVE</x:v>
      </x:c>
      <x:c r="G362" t="str">
        <x:v>ACTIVE</x:v>
      </x:c>
      <x:c r="H362" t="str">
        <x:v>AUCTION</x:v>
      </x:c>
      <x:c r="I362" s="28" t="n">
        <x:v>1000</x:v>
      </x:c>
      <x:c r="J362" s="28" t="n">
        <x:v>0</x:v>
      </x:c>
      <x:c r="K362" t="str">
        <x:v>2026-07-22T10:39:17+0300</x:v>
      </x:c>
      <x:c r="L362" t="str">
        <x:v>2026-07-29T10:39:17+0300</x:v>
      </x:c>
      <x:c r="M362" t="str">
        <x:v>2026-07-22T10:39:08+0300</x:v>
      </x:c>
    </x:row>
    <x:row r="363">
      <x:c r="A363" t="str">
        <x:v>act_449281783851362</x:v>
      </x:c>
      <x:c r="B363" t="str">
        <x:v>Doruk Hastaneleri - SİNA ÖZEL Sağlık Hizmetleri A.ş</x:v>
      </x:c>
      <x:c r="C363" t="str">
        <x:v>120255739080510399</x:v>
      </x:c>
      <x:c r="D363" t="str">
        <x:v>Gönderi: "👃 Rinoplasti Ameliyatı Nedir? Yumuşak Doku Neden..."</x:v>
      </x:c>
      <x:c r="E363" t="str">
        <x:v>OUTCOME_ENGAGEMENT</x:v>
      </x:c>
      <x:c r="F363" t="str">
        <x:v>ACTIVE</x:v>
      </x:c>
      <x:c r="G363" t="str">
        <x:v>ACTIVE</x:v>
      </x:c>
      <x:c r="H363" t="str">
        <x:v>AUCTION</x:v>
      </x:c>
      <x:c r="I363" s="28" t="n">
        <x:v>1000</x:v>
      </x:c>
      <x:c r="J363" s="28" t="n">
        <x:v>0</x:v>
      </x:c>
      <x:c r="K363" t="str">
        <x:v>2026-07-22T11:04:47+0300</x:v>
      </x:c>
      <x:c r="L363"/>
      <x:c r="M363" t="str">
        <x:v>2026-07-22T11:04:19+0300</x:v>
      </x:c>
    </x:row>
    <x:row r="364">
      <x:c r="A364" t="str">
        <x:v>act_449281783851362</x:v>
      </x:c>
      <x:c r="B364" t="str">
        <x:v>Doruk Hastaneleri - SİNA ÖZEL Sağlık Hizmetleri A.ş</x:v>
      </x:c>
      <x:c r="C364" t="str">
        <x:v>120255739163090399</x:v>
      </x:c>
      <x:c r="D364" t="str">
        <x:v>Instagram gönderisi: 👃 Rinoplasti Ameliyatı...</x:v>
      </x:c>
      <x:c r="E364" t="str">
        <x:v>LINK_CLICKS</x:v>
      </x:c>
      <x:c r="F364" t="str">
        <x:v>ACTIVE</x:v>
      </x:c>
      <x:c r="G364" t="str">
        <x:v>ACTIVE</x:v>
      </x:c>
      <x:c r="H364" t="str">
        <x:v>AUCTION</x:v>
      </x:c>
      <x:c r="I364" s="28" t="n">
        <x:v>1000</x:v>
      </x:c>
      <x:c r="J364" s="28" t="n">
        <x:v>0</x:v>
      </x:c>
      <x:c r="K364" t="str">
        <x:v>2026-07-22T11:08:30+0300</x:v>
      </x:c>
      <x:c r="L364" t="str">
        <x:v>2026-08-06T11:08:30+0300</x:v>
      </x:c>
      <x:c r="M364" t="str">
        <x:v>2026-07-22T11:08:23+0300</x:v>
      </x:c>
    </x:row>
    <x:row r="365">
      <x:c r="A365" t="str">
        <x:v>act_449281783851362</x:v>
      </x:c>
      <x:c r="B365" t="str">
        <x:v>Doruk Hastaneleri - SİNA ÖZEL Sağlık Hizmetleri A.ş</x:v>
      </x:c>
      <x:c r="C365" t="str">
        <x:v>120255739194330399</x:v>
      </x:c>
      <x:c r="D365" t="str">
        <x:v>Instagram gönderisi: 🖐️ Parmak Ucu Defekti Nasıl...</x:v>
      </x:c>
      <x:c r="E365" t="str">
        <x:v>LINK_CLICKS</x:v>
      </x:c>
      <x:c r="F365" t="str">
        <x:v>ACTIVE</x:v>
      </x:c>
      <x:c r="G365" t="str">
        <x:v>ACTIVE</x:v>
      </x:c>
      <x:c r="H365" t="str">
        <x:v>AUCTION</x:v>
      </x:c>
      <x:c r="I365" s="28" t="n">
        <x:v>1000</x:v>
      </x:c>
      <x:c r="J365" s="28" t="n">
        <x:v>0</x:v>
      </x:c>
      <x:c r="K365" t="str">
        <x:v>2026-07-22T11:09:41+0300</x:v>
      </x:c>
      <x:c r="L365" t="str">
        <x:v>2026-08-06T11:09:41+0300</x:v>
      </x:c>
      <x:c r="M365" t="str">
        <x:v>2026-07-22T11:09:33+0300</x:v>
      </x:c>
    </x:row>
    <x:row r="366">
      <x:c r="A366" t="str">
        <x:v>act_449281783851362</x:v>
      </x:c>
      <x:c r="B366" t="str">
        <x:v>Doruk Hastaneleri - SİNA ÖZEL Sağlık Hizmetleri A.ş</x:v>
      </x:c>
      <x:c r="C366" t="str">
        <x:v>120255739290470399</x:v>
      </x:c>
      <x:c r="D366" t="str">
        <x:v>Instagram gönderisi: 🎗️ Kemoterapi Alan Her...</x:v>
      </x:c>
      <x:c r="E366" t="str">
        <x:v>LINK_CLICKS</x:v>
      </x:c>
      <x:c r="F366" t="str">
        <x:v>ACTIVE</x:v>
      </x:c>
      <x:c r="G366" t="str">
        <x:v>ACTIVE</x:v>
      </x:c>
      <x:c r="H366" t="str">
        <x:v>AUCTION</x:v>
      </x:c>
      <x:c r="I366" s="28" t="n">
        <x:v>1000</x:v>
      </x:c>
      <x:c r="J366" s="28" t="n">
        <x:v>0</x:v>
      </x:c>
      <x:c r="K366" t="str">
        <x:v>2026-07-22T11:14:57+0300</x:v>
      </x:c>
      <x:c r="L366" t="str">
        <x:v>2026-07-29T11:14:57+0300</x:v>
      </x:c>
      <x:c r="M366" t="str">
        <x:v>2026-07-22T11:14:50+0300</x:v>
      </x:c>
    </x:row>
    <x:row r="367">
      <x:c r="A367" t="str">
        <x:v>act_449281783851362</x:v>
      </x:c>
      <x:c r="B367" t="str">
        <x:v>Doruk Hastaneleri - SİNA ÖZEL Sağlık Hizmetleri A.ş</x:v>
      </x:c>
      <x:c r="C367" t="str">
        <x:v>120255739336980399</x:v>
      </x:c>
      <x:c r="D367" t="str">
        <x:v>Instagram gönderisi: 🎗️ Kanser Tanısı Fizik...</x:v>
      </x:c>
      <x:c r="E367" t="str">
        <x:v>LINK_CLICKS</x:v>
      </x:c>
      <x:c r="F367" t="str">
        <x:v>ACTIVE</x:v>
      </x:c>
      <x:c r="G367" t="str">
        <x:v>ACTIVE</x:v>
      </x:c>
      <x:c r="H367" t="str">
        <x:v>AUCTION</x:v>
      </x:c>
      <x:c r="I367" s="28" t="n">
        <x:v>1000</x:v>
      </x:c>
      <x:c r="J367" s="28" t="n">
        <x:v>0</x:v>
      </x:c>
      <x:c r="K367" t="str">
        <x:v>2026-07-22T11:17:57+0300</x:v>
      </x:c>
      <x:c r="L367" t="str">
        <x:v>2026-07-29T11:17:57+0300</x:v>
      </x:c>
      <x:c r="M367" t="str">
        <x:v>2026-07-22T11:17:50+0300</x:v>
      </x:c>
    </x:row>
    <x:row r="368">
      <x:c r="A368" t="str">
        <x:v>act_449281783851362</x:v>
      </x:c>
      <x:c r="B368" t="str">
        <x:v>Doruk Hastaneleri - SİNA ÖZEL Sağlık Hizmetleri A.ş</x:v>
      </x:c>
      <x:c r="C368" t="str">
        <x:v>120255739368940399</x:v>
      </x:c>
      <x:c r="D368" t="str">
        <x:v>Instagram gönderisi: •Gebelikte Tarama Testleri |...</x:v>
      </x:c>
      <x:c r="E368" t="str">
        <x:v>LINK_CLICKS</x:v>
      </x:c>
      <x:c r="F368" t="str">
        <x:v>PAUSED</x:v>
      </x:c>
      <x:c r="G368" t="str">
        <x:v>PAUSED</x:v>
      </x:c>
      <x:c r="H368" t="str">
        <x:v>AUCTION</x:v>
      </x:c>
      <x:c r="I368" s="28" t="n">
        <x:v>1000</x:v>
      </x:c>
      <x:c r="J368" s="28" t="n">
        <x:v>0</x:v>
      </x:c>
      <x:c r="K368" t="str">
        <x:v>2026-07-22T11:20:17+0300</x:v>
      </x:c>
      <x:c r="L368" t="str">
        <x:v>2026-07-29T11:20:17+0300</x:v>
      </x:c>
      <x:c r="M368" t="str">
        <x:v>2026-07-27T17:29:54+0300</x:v>
      </x:c>
    </x:row>
    <x:row r="369">
      <x:c r="A369" t="str">
        <x:v>act_449281783851362</x:v>
      </x:c>
      <x:c r="B369" t="str">
        <x:v>Doruk Hastaneleri - SİNA ÖZEL Sağlık Hizmetleri A.ş</x:v>
      </x:c>
      <x:c r="C369" t="str">
        <x:v>120255739424180399</x:v>
      </x:c>
      <x:c r="D369" t="str">
        <x:v>Instagram gönderisi: ✅Gebelikte uyku pozisyonu...</x:v>
      </x:c>
      <x:c r="E369" t="str">
        <x:v>LINK_CLICKS</x:v>
      </x:c>
      <x:c r="F369" t="str">
        <x:v>PAUSED</x:v>
      </x:c>
      <x:c r="G369" t="str">
        <x:v>PAUSED</x:v>
      </x:c>
      <x:c r="H369" t="str">
        <x:v>AUCTION</x:v>
      </x:c>
      <x:c r="I369" s="28" t="n">
        <x:v>1000</x:v>
      </x:c>
      <x:c r="J369" s="28" t="n">
        <x:v>0</x:v>
      </x:c>
      <x:c r="K369" t="str">
        <x:v>2026-07-22T11:23:11+0300</x:v>
      </x:c>
      <x:c r="L369" t="str">
        <x:v>2026-07-29T11:23:11+0300</x:v>
      </x:c>
      <x:c r="M369" t="str">
        <x:v>2026-07-27T17:29:30+0300</x:v>
      </x:c>
    </x:row>
    <x:row r="370">
      <x:c r="A370" t="str">
        <x:v>act_449281783851362</x:v>
      </x:c>
      <x:c r="B370" t="str">
        <x:v>Doruk Hastaneleri - SİNA ÖZEL Sağlık Hizmetleri A.ş</x:v>
      </x:c>
      <x:c r="C370" t="str">
        <x:v>120255739460510399</x:v>
      </x:c>
      <x:c r="D370" t="str">
        <x:v>Instagram gönderisi: 🦴 Omurga Kırıklarında Asıl...</x:v>
      </x:c>
      <x:c r="E370" t="str">
        <x:v>LINK_CLICKS</x:v>
      </x:c>
      <x:c r="F370" t="str">
        <x:v>ACTIVE</x:v>
      </x:c>
      <x:c r="G370" t="str">
        <x:v>ACTIVE</x:v>
      </x:c>
      <x:c r="H370" t="str">
        <x:v>AUCTION</x:v>
      </x:c>
      <x:c r="I370" s="28" t="n">
        <x:v>1000</x:v>
      </x:c>
      <x:c r="J370" s="28" t="n">
        <x:v>0</x:v>
      </x:c>
      <x:c r="K370" t="str">
        <x:v>2026-07-22T11:25:17+0300</x:v>
      </x:c>
      <x:c r="L370" t="str">
        <x:v>2026-07-29T11:25:17+0300</x:v>
      </x:c>
      <x:c r="M370" t="str">
        <x:v>2026-07-22T11:25:08+0300</x:v>
      </x:c>
    </x:row>
    <x:row r="371">
      <x:c r="A371" t="str">
        <x:v>act_449281783851362</x:v>
      </x:c>
      <x:c r="B371" t="str">
        <x:v>Doruk Hastaneleri - SİNA ÖZEL Sağlık Hizmetleri A.ş</x:v>
      </x:c>
      <x:c r="C371" t="str">
        <x:v>120255739485660399</x:v>
      </x:c>
      <x:c r="D371" t="str">
        <x:v>Instagram gönderisi: 🦴 Bel Fıtığında Doğru Zaman...</x:v>
      </x:c>
      <x:c r="E371" t="str">
        <x:v>LINK_CLICKS</x:v>
      </x:c>
      <x:c r="F371" t="str">
        <x:v>ACTIVE</x:v>
      </x:c>
      <x:c r="G371" t="str">
        <x:v>ACTIVE</x:v>
      </x:c>
      <x:c r="H371" t="str">
        <x:v>AUCTION</x:v>
      </x:c>
      <x:c r="I371" s="28" t="n">
        <x:v>1000</x:v>
      </x:c>
      <x:c r="J371" s="28" t="n">
        <x:v>0</x:v>
      </x:c>
      <x:c r="K371" t="str">
        <x:v>2026-07-22T11:26:48+0300</x:v>
      </x:c>
      <x:c r="L371" t="str">
        <x:v>2026-07-29T11:26:48+0300</x:v>
      </x:c>
      <x:c r="M371" t="str">
        <x:v>2026-07-22T11:26:37+0300</x:v>
      </x:c>
    </x:row>
    <x:row r="372">
      <x:c r="A372" t="str">
        <x:v>act_449281783851362</x:v>
      </x:c>
      <x:c r="B372" t="str">
        <x:v>Doruk Hastaneleri - SİNA ÖZEL Sağlık Hizmetleri A.ş</x:v>
      </x:c>
      <x:c r="C372" t="str">
        <x:v>120255763855030399</x:v>
      </x:c>
      <x:c r="D372" t="str">
        <x:v>Doktor - Bilinirlik Kampanyası - Çekirge</x:v>
      </x:c>
      <x:c r="E372" t="str">
        <x:v>OUTCOME_AWARENESS</x:v>
      </x:c>
      <x:c r="F372" t="str">
        <x:v>ACTIVE</x:v>
      </x:c>
      <x:c r="G372" t="str">
        <x:v>ACTIVE</x:v>
      </x:c>
      <x:c r="H372" t="str">
        <x:v>AUCTION</x:v>
      </x:c>
      <x:c r="I372" s="28" t="n">
        <x:v>0</x:v>
      </x:c>
      <x:c r="J372" s="28" t="n">
        <x:v>0</x:v>
      </x:c>
      <x:c r="K372" t="str">
        <x:v>2026-07-23T10:28:42+0300</x:v>
      </x:c>
      <x:c r="L372"/>
      <x:c r="M372" t="str">
        <x:v>2026-07-23T10:41:36+0300</x:v>
      </x:c>
    </x:row>
    <x:row r="373">
      <x:c r="A373" t="str">
        <x:v>act_665558089883907</x:v>
      </x:c>
      <x:c r="B373" t="str">
        <x:v>Doruk Tibbi Bilgiler</x:v>
      </x:c>
      <x:c r="C373" t="str">
        <x:v>52537544498424</x:v>
      </x:c>
      <x:c r="D373" t="str">
        <x:v>Estetik - Rinoplasti - Genel - EN - trafik</x:v>
      </x:c>
      <x:c r="E373" t="str">
        <x:v>OUTCOME_TRAFFIC</x:v>
      </x:c>
      <x:c r="F373" t="str">
        <x:v>PAUSED</x:v>
      </x:c>
      <x:c r="G373" t="str">
        <x:v>PAUSED</x:v>
      </x:c>
      <x:c r="H373" t="str">
        <x:v>AUCTION</x:v>
      </x:c>
      <x:c r="I373" s="28" t="n">
        <x:v>0</x:v>
      </x:c>
      <x:c r="J373" s="28" t="n">
        <x:v>0</x:v>
      </x:c>
      <x:c r="K373" t="str">
        <x:v>2026-01-21T13:48:03+0300</x:v>
      </x:c>
      <x:c r="L373"/>
      <x:c r="M373" t="str">
        <x:v>2026-01-24T13:04:53+0300</x:v>
      </x:c>
    </x:row>
    <x:row r="374">
      <x:c r="A374" t="str">
        <x:v>act_665558089883907</x:v>
      </x:c>
      <x:c r="B374" t="str">
        <x:v>Doruk Tibbi Bilgiler</x:v>
      </x:c>
      <x:c r="C374" t="str">
        <x:v>52537561870224</x:v>
      </x:c>
      <x:c r="D374" t="str">
        <x:v>Estetik - Rinoplasti - Anglosfer - Genel - EN - lead</x:v>
      </x:c>
      <x:c r="E374" t="str">
        <x:v>OUTCOME_LEADS</x:v>
      </x:c>
      <x:c r="F374" t="str">
        <x:v>PAUSED</x:v>
      </x:c>
      <x:c r="G374" t="str">
        <x:v>PAUSED</x:v>
      </x:c>
      <x:c r="H374" t="str">
        <x:v>AUCTION</x:v>
      </x:c>
      <x:c r="I374" s="28" t="n">
        <x:v>0</x:v>
      </x:c>
      <x:c r="J374" s="28" t="n">
        <x:v>0</x:v>
      </x:c>
      <x:c r="K374" t="str">
        <x:v>2026-01-21T14:31:41+0300</x:v>
      </x:c>
      <x:c r="L374"/>
      <x:c r="M374" t="str">
        <x:v>2026-03-04T14:30:21+0300</x:v>
      </x:c>
    </x:row>
    <x:row r="375">
      <x:c r="A375" t="str">
        <x:v>act_665558089883907</x:v>
      </x:c>
      <x:c r="B375" t="str">
        <x:v>Doruk Tibbi Bilgiler</x:v>
      </x:c>
      <x:c r="C375" t="str">
        <x:v>52539154952224</x:v>
      </x:c>
      <x:c r="D375" t="str">
        <x:v>Instagram gönderisi: Enhance Your Beauty and...</x:v>
      </x:c>
      <x:c r="E375" t="str">
        <x:v>LINK_CLICKS</x:v>
      </x:c>
      <x:c r="F375" t="str">
        <x:v>PAUSED</x:v>
      </x:c>
      <x:c r="G375" t="str">
        <x:v>PAUSED</x:v>
      </x:c>
      <x:c r="H375" t="str">
        <x:v>AUCTION</x:v>
      </x:c>
      <x:c r="I375" s="28" t="n">
        <x:v>500</x:v>
      </x:c>
      <x:c r="J375" s="28" t="n">
        <x:v>0</x:v>
      </x:c>
      <x:c r="K375" t="str">
        <x:v>2026-01-24T13:13:28+0300</x:v>
      </x:c>
      <x:c r="L375" t="str">
        <x:v>2026-01-31T13:13:28+0300</x:v>
      </x:c>
      <x:c r="M375" t="str">
        <x:v>2026-01-27T11:11:57+0300</x:v>
      </x:c>
    </x:row>
    <x:row r="376">
      <x:c r="A376" t="str">
        <x:v>act_665558089883907</x:v>
      </x:c>
      <x:c r="B376" t="str">
        <x:v>Doruk Tibbi Bilgiler</x:v>
      </x:c>
      <x:c r="C376" t="str">
        <x:v>52539162833824</x:v>
      </x:c>
      <x:c r="D376" t="str">
        <x:v>Instagram gönderisi: Rhinoplasty Q&amp;A with Dr....</x:v>
      </x:c>
      <x:c r="E376" t="str">
        <x:v>LINK_CLICKS</x:v>
      </x:c>
      <x:c r="F376" t="str">
        <x:v>PAUSED</x:v>
      </x:c>
      <x:c r="G376" t="str">
        <x:v>PAUSED</x:v>
      </x:c>
      <x:c r="H376" t="str">
        <x:v>AUCTION</x:v>
      </x:c>
      <x:c r="I376" s="28" t="n">
        <x:v>1000</x:v>
      </x:c>
      <x:c r="J376" s="28" t="n">
        <x:v>0</x:v>
      </x:c>
      <x:c r="K376" t="str">
        <x:v>2026-01-24T13:34:53+0300</x:v>
      </x:c>
      <x:c r="L376" t="str">
        <x:v>2026-01-31T13:34:53+0300</x:v>
      </x:c>
      <x:c r="M376" t="str">
        <x:v>2026-01-27T11:11:45+0300</x:v>
      </x:c>
    </x:row>
    <x:row r="377">
      <x:c r="A377" t="str">
        <x:v>act_665558089883907</x:v>
      </x:c>
      <x:c r="B377" t="str">
        <x:v>Doruk Tibbi Bilgiler</x:v>
      </x:c>
      <x:c r="C377" t="str">
        <x:v>52539164441624</x:v>
      </x:c>
      <x:c r="D377" t="str">
        <x:v>Instagram gönderisi: Rhinoplasty in Türkiye...</x:v>
      </x:c>
      <x:c r="E377" t="str">
        <x:v>LINK_CLICKS</x:v>
      </x:c>
      <x:c r="F377" t="str">
        <x:v>PAUSED</x:v>
      </x:c>
      <x:c r="G377" t="str">
        <x:v>PAUSED</x:v>
      </x:c>
      <x:c r="H377" t="str">
        <x:v>AUCTION</x:v>
      </x:c>
      <x:c r="I377" s="28" t="n">
        <x:v>500</x:v>
      </x:c>
      <x:c r="J377" s="28" t="n">
        <x:v>0</x:v>
      </x:c>
      <x:c r="K377" t="str">
        <x:v>2026-01-24T13:49:33+0300</x:v>
      </x:c>
      <x:c r="L377" t="str">
        <x:v>2026-01-31T13:49:33+0300</x:v>
      </x:c>
      <x:c r="M377" t="str">
        <x:v>2026-01-27T11:08:24+0300</x:v>
      </x:c>
    </x:row>
    <x:row r="378">
      <x:c r="A378" t="str">
        <x:v>act_665558089883907</x:v>
      </x:c>
      <x:c r="B378" t="str">
        <x:v>Doruk Tibbi Bilgiler</x:v>
      </x:c>
      <x:c r="C378" t="str">
        <x:v>52539164522824</x:v>
      </x:c>
      <x:c r="D378" t="str">
        <x:v>Instagram gönderisi: Thousands choose Türkiye for...</x:v>
      </x:c>
      <x:c r="E378" t="str">
        <x:v>LINK_CLICKS</x:v>
      </x:c>
      <x:c r="F378" t="str">
        <x:v>PAUSED</x:v>
      </x:c>
      <x:c r="G378" t="str">
        <x:v>PAUSED</x:v>
      </x:c>
      <x:c r="H378" t="str">
        <x:v>AUCTION</x:v>
      </x:c>
      <x:c r="I378" s="28" t="n">
        <x:v>500</x:v>
      </x:c>
      <x:c r="J378" s="28" t="n">
        <x:v>0</x:v>
      </x:c>
      <x:c r="K378" t="str">
        <x:v>2026-01-24T13:50:25+0300</x:v>
      </x:c>
      <x:c r="L378" t="str">
        <x:v>2026-01-31T13:50:25+0300</x:v>
      </x:c>
      <x:c r="M378" t="str">
        <x:v>2026-01-27T11:07:42+0300</x:v>
      </x:c>
    </x:row>
    <x:row r="379">
      <x:c r="A379" t="str">
        <x:v>act_665558089883907</x:v>
      </x:c>
      <x:c r="B379" t="str">
        <x:v>Doruk Tibbi Bilgiler</x:v>
      </x:c>
      <x:c r="C379" t="str">
        <x:v>52539164640024</x:v>
      </x:c>
      <x:c r="D379" t="str">
        <x:v>Instagram gönderisi: Medical precision....</x:v>
      </x:c>
      <x:c r="E379" t="str">
        <x:v>LINK_CLICKS</x:v>
      </x:c>
      <x:c r="F379" t="str">
        <x:v>PAUSED</x:v>
      </x:c>
      <x:c r="G379" t="str">
        <x:v>PAUSED</x:v>
      </x:c>
      <x:c r="H379" t="str">
        <x:v>AUCTION</x:v>
      </x:c>
      <x:c r="I379" s="28" t="n">
        <x:v>500</x:v>
      </x:c>
      <x:c r="J379" s="28" t="n">
        <x:v>0</x:v>
      </x:c>
      <x:c r="K379" t="str">
        <x:v>2026-01-24T13:51:33+0300</x:v>
      </x:c>
      <x:c r="L379" t="str">
        <x:v>2026-01-31T13:51:33+0300</x:v>
      </x:c>
      <x:c r="M379" t="str">
        <x:v>2026-01-27T11:08:41+0300</x:v>
      </x:c>
    </x:row>
    <x:row r="380">
      <x:c r="A380" t="str">
        <x:v>act_665558089883907</x:v>
      </x:c>
      <x:c r="B380" t="str">
        <x:v>Doruk Tibbi Bilgiler</x:v>
      </x:c>
      <x:c r="C380" t="str">
        <x:v>52539164744224</x:v>
      </x:c>
      <x:c r="D380" t="str">
        <x:v>Instagram gönderisi: Your nose. Your face. Your...</x:v>
      </x:c>
      <x:c r="E380" t="str">
        <x:v>LINK_CLICKS</x:v>
      </x:c>
      <x:c r="F380" t="str">
        <x:v>PAUSED</x:v>
      </x:c>
      <x:c r="G380" t="str">
        <x:v>PAUSED</x:v>
      </x:c>
      <x:c r="H380" t="str">
        <x:v>AUCTION</x:v>
      </x:c>
      <x:c r="I380" s="28" t="n">
        <x:v>500</x:v>
      </x:c>
      <x:c r="J380" s="28" t="n">
        <x:v>0</x:v>
      </x:c>
      <x:c r="K380" t="str">
        <x:v>2026-01-24T13:53:03+0300</x:v>
      </x:c>
      <x:c r="L380" t="str">
        <x:v>2026-01-31T13:53:03+0300</x:v>
      </x:c>
      <x:c r="M380" t="str">
        <x:v>2026-01-27T11:08:06+0300</x:v>
      </x:c>
    </x:row>
    <x:row r="381">
      <x:c r="A381" t="str">
        <x:v>act_665558089883907</x:v>
      </x:c>
      <x:c r="B381" t="str">
        <x:v>Doruk Tibbi Bilgiler</x:v>
      </x:c>
      <x:c r="C381" t="str">
        <x:v>52539651584024</x:v>
      </x:c>
      <x:c r="D381" t="str">
        <x:v>xxx</x:v>
      </x:c>
      <x:c r="E381" t="str">
        <x:v>OUTCOME_LEADS</x:v>
      </x:c>
      <x:c r="F381" t="str">
        <x:v>PAUSED</x:v>
      </x:c>
      <x:c r="G381" t="str">
        <x:v>PAUSED</x:v>
      </x:c>
      <x:c r="H381" t="str">
        <x:v>AUCTION</x:v>
      </x:c>
      <x:c r="I381" s="28" t="n">
        <x:v>6700</x:v>
      </x:c>
      <x:c r="J381" s="28" t="n">
        <x:v>0</x:v>
      </x:c>
      <x:c r="K381" t="str">
        <x:v>2026-01-26T14:14:30+0300</x:v>
      </x:c>
      <x:c r="L381"/>
      <x:c r="M381" t="str">
        <x:v>2026-01-26T15:22:54+0300</x:v>
      </x:c>
    </x:row>
    <x:row r="382">
      <x:c r="A382" t="str">
        <x:v>act_665558089883907</x:v>
      </x:c>
      <x:c r="B382" t="str">
        <x:v>Doruk Tibbi Bilgiler</x:v>
      </x:c>
      <x:c r="C382" t="str">
        <x:v>52539722393824</x:v>
      </x:c>
      <x:c r="D382" t="str">
        <x:v>Estetik - Rinoplasti - Arap Bölgesi - Genel - AR - lead</x:v>
      </x:c>
      <x:c r="E382" t="str">
        <x:v>OUTCOME_LEADS</x:v>
      </x:c>
      <x:c r="F382" t="str">
        <x:v>PAUSED</x:v>
      </x:c>
      <x:c r="G382" t="str">
        <x:v>PAUSED</x:v>
      </x:c>
      <x:c r="H382" t="str">
        <x:v>AUCTION</x:v>
      </x:c>
      <x:c r="I382" s="28" t="n">
        <x:v>0</x:v>
      </x:c>
      <x:c r="J382" s="28" t="n">
        <x:v>0</x:v>
      </x:c>
      <x:c r="K382" t="str">
        <x:v>2026-01-26T15:23:12+0300</x:v>
      </x:c>
      <x:c r="L382"/>
      <x:c r="M382" t="str">
        <x:v>2026-02-19T17:59:09+0300</x:v>
      </x:c>
    </x:row>
    <x:row r="383">
      <x:c r="A383" t="str">
        <x:v>act_665558089883907</x:v>
      </x:c>
      <x:c r="B383" t="str">
        <x:v>Doruk Tibbi Bilgiler</x:v>
      </x:c>
      <x:c r="C383" t="str">
        <x:v>52540117099024</x:v>
      </x:c>
      <x:c r="D383" t="str">
        <x:v>Instagram gönderisi: Enhance Your Beauty and...</x:v>
      </x:c>
      <x:c r="E383" t="str">
        <x:v>LINK_CLICKS</x:v>
      </x:c>
      <x:c r="F383" t="str">
        <x:v>PAUSED</x:v>
      </x:c>
      <x:c r="G383" t="str">
        <x:v>PAUSED</x:v>
      </x:c>
      <x:c r="H383" t="str">
        <x:v>AUCTION</x:v>
      </x:c>
      <x:c r="I383" s="28" t="n">
        <x:v>500</x:v>
      </x:c>
      <x:c r="J383" s="28" t="n">
        <x:v>0</x:v>
      </x:c>
      <x:c r="K383" t="str">
        <x:v>2026-01-27T11:04:58+0300</x:v>
      </x:c>
      <x:c r="L383"/>
      <x:c r="M383" t="str">
        <x:v>2026-01-27T11:11:15+0300</x:v>
      </x:c>
    </x:row>
    <x:row r="384">
      <x:c r="A384" t="str">
        <x:v>act_665558089883907</x:v>
      </x:c>
      <x:c r="B384" t="str">
        <x:v>Doruk Tibbi Bilgiler</x:v>
      </x:c>
      <x:c r="C384" t="str">
        <x:v>52540126816224</x:v>
      </x:c>
      <x:c r="D384" t="str">
        <x:v>Estetik - Rinoplasti - Turki Cumhuriyetler - Genel - RU- lead</x:v>
      </x:c>
      <x:c r="E384" t="str">
        <x:v>OUTCOME_LEADS</x:v>
      </x:c>
      <x:c r="F384" t="str">
        <x:v>PAUSED</x:v>
      </x:c>
      <x:c r="G384" t="str">
        <x:v>PAUSED</x:v>
      </x:c>
      <x:c r="H384" t="str">
        <x:v>AUCTION</x:v>
      </x:c>
      <x:c r="I384" s="28" t="n">
        <x:v>0</x:v>
      </x:c>
      <x:c r="J384" s="28" t="n">
        <x:v>0</x:v>
      </x:c>
      <x:c r="K384" t="str">
        <x:v>2026-01-27T11:32:49+0300</x:v>
      </x:c>
      <x:c r="L384"/>
      <x:c r="M384" t="str">
        <x:v>2026-02-11T17:13:52+0300</x:v>
      </x:c>
    </x:row>
    <x:row r="385">
      <x:c r="A385" t="str">
        <x:v>act_665558089883907</x:v>
      </x:c>
      <x:c r="B385" t="str">
        <x:v>Doruk Tibbi Bilgiler</x:v>
      </x:c>
      <x:c r="C385" t="str">
        <x:v>52540600146224</x:v>
      </x:c>
      <x:c r="D385" t="str">
        <x:v>Instagram gönderisi: "Every time I looked in the...</x:v>
      </x:c>
      <x:c r="E385" t="str">
        <x:v>LINK_CLICKS</x:v>
      </x:c>
      <x:c r="F385" t="str">
        <x:v>PAUSED</x:v>
      </x:c>
      <x:c r="G385" t="str">
        <x:v>PAUSED</x:v>
      </x:c>
      <x:c r="H385" t="str">
        <x:v>AUCTION</x:v>
      </x:c>
      <x:c r="I385" s="28" t="n">
        <x:v>1000</x:v>
      </x:c>
      <x:c r="J385" s="28" t="n">
        <x:v>0</x:v>
      </x:c>
      <x:c r="K385" t="str">
        <x:v>2026-01-28T14:01:13+0300</x:v>
      </x:c>
      <x:c r="L385"/>
      <x:c r="M385" t="str">
        <x:v>2026-01-31T15:20:01+0300</x:v>
      </x:c>
    </x:row>
    <x:row r="386">
      <x:c r="A386" t="str">
        <x:v>act_665558089883907</x:v>
      </x:c>
      <x:c r="B386" t="str">
        <x:v>Doruk Tibbi Bilgiler</x:v>
      </x:c>
      <x:c r="C386" t="str">
        <x:v>52540600336824</x:v>
      </x:c>
      <x:c r="D386" t="str">
        <x:v>Instagram gönderisi: "Every time I looked in the...</x:v>
      </x:c>
      <x:c r="E386" t="str">
        <x:v>LINK_CLICKS</x:v>
      </x:c>
      <x:c r="F386" t="str">
        <x:v>PAUSED</x:v>
      </x:c>
      <x:c r="G386" t="str">
        <x:v>PAUSED</x:v>
      </x:c>
      <x:c r="H386" t="str">
        <x:v>AUCTION</x:v>
      </x:c>
      <x:c r="I386" s="28" t="n">
        <x:v>500</x:v>
      </x:c>
      <x:c r="J386" s="28" t="n">
        <x:v>0</x:v>
      </x:c>
      <x:c r="K386" t="str">
        <x:v>2026-01-28T14:02:18+0300</x:v>
      </x:c>
      <x:c r="L386"/>
      <x:c r="M386" t="str">
        <x:v>2026-01-31T15:20:00+0300</x:v>
      </x:c>
    </x:row>
    <x:row r="387">
      <x:c r="A387" t="str">
        <x:v>act_665558089883907</x:v>
      </x:c>
      <x:c r="B387" t="str">
        <x:v>Doruk Tibbi Bilgiler</x:v>
      </x:c>
      <x:c r="C387" t="str">
        <x:v>52540600490824</x:v>
      </x:c>
      <x:c r="D387" t="str">
        <x:v>Instagram gönderisi: "Every time I looked in the...</x:v>
      </x:c>
      <x:c r="E387" t="str">
        <x:v>LINK_CLICKS</x:v>
      </x:c>
      <x:c r="F387" t="str">
        <x:v>PAUSED</x:v>
      </x:c>
      <x:c r="G387" t="str">
        <x:v>PAUSED</x:v>
      </x:c>
      <x:c r="H387" t="str">
        <x:v>AUCTION</x:v>
      </x:c>
      <x:c r="I387" s="28" t="n">
        <x:v>250</x:v>
      </x:c>
      <x:c r="J387" s="28" t="n">
        <x:v>0</x:v>
      </x:c>
      <x:c r="K387" t="str">
        <x:v>2026-01-28T14:03:20+0300</x:v>
      </x:c>
      <x:c r="L387"/>
      <x:c r="M387" t="str">
        <x:v>2026-01-31T15:19:54+0300</x:v>
      </x:c>
    </x:row>
    <x:row r="388">
      <x:c r="A388" t="str">
        <x:v>act_665558089883907</x:v>
      </x:c>
      <x:c r="B388" t="str">
        <x:v>Doruk Tibbi Bilgiler</x:v>
      </x:c>
      <x:c r="C388" t="str">
        <x:v>52540600696624</x:v>
      </x:c>
      <x:c r="D388" t="str">
        <x:v>Instagram gönderisi: "Every time I looked in the...</x:v>
      </x:c>
      <x:c r="E388" t="str">
        <x:v>LINK_CLICKS</x:v>
      </x:c>
      <x:c r="F388" t="str">
        <x:v>PAUSED</x:v>
      </x:c>
      <x:c r="G388" t="str">
        <x:v>PAUSED</x:v>
      </x:c>
      <x:c r="H388" t="str">
        <x:v>AUCTION</x:v>
      </x:c>
      <x:c r="I388" s="28" t="n">
        <x:v>500</x:v>
      </x:c>
      <x:c r="J388" s="28" t="n">
        <x:v>0</x:v>
      </x:c>
      <x:c r="K388" t="str">
        <x:v>2026-01-28T14:04:37+0300</x:v>
      </x:c>
      <x:c r="L388"/>
      <x:c r="M388" t="str">
        <x:v>2026-01-31T15:19:53+0300</x:v>
      </x:c>
    </x:row>
    <x:row r="389">
      <x:c r="A389" t="str">
        <x:v>act_665558089883907</x:v>
      </x:c>
      <x:c r="B389" t="str">
        <x:v>Doruk Tibbi Bilgiler</x:v>
      </x:c>
      <x:c r="C389" t="str">
        <x:v>52540602116824</x:v>
      </x:c>
      <x:c r="D389" t="str">
        <x:v>Instagram gönderisi: "Every time I looked in the...</x:v>
      </x:c>
      <x:c r="E389" t="str">
        <x:v>LINK_CLICKS</x:v>
      </x:c>
      <x:c r="F389" t="str">
        <x:v>PAUSED</x:v>
      </x:c>
      <x:c r="G389" t="str">
        <x:v>PAUSED</x:v>
      </x:c>
      <x:c r="H389" t="str">
        <x:v>AUCTION</x:v>
      </x:c>
      <x:c r="I389" s="28" t="n">
        <x:v>250</x:v>
      </x:c>
      <x:c r="J389" s="28" t="n">
        <x:v>0</x:v>
      </x:c>
      <x:c r="K389" t="str">
        <x:v>2026-01-28T14:05:32+0300</x:v>
      </x:c>
      <x:c r="L389"/>
      <x:c r="M389" t="str">
        <x:v>2026-01-31T15:20:01+0300</x:v>
      </x:c>
    </x:row>
    <x:row r="390">
      <x:c r="A390" t="str">
        <x:v>act_665558089883907</x:v>
      </x:c>
      <x:c r="B390" t="str">
        <x:v>Doruk Tibbi Bilgiler</x:v>
      </x:c>
      <x:c r="C390" t="str">
        <x:v>52540602655424</x:v>
      </x:c>
      <x:c r="D390" t="str">
        <x:v>Instagram gönderisi: "Every time I looked in the...</x:v>
      </x:c>
      <x:c r="E390" t="str">
        <x:v>LINK_CLICKS</x:v>
      </x:c>
      <x:c r="F390" t="str">
        <x:v>PAUSED</x:v>
      </x:c>
      <x:c r="G390" t="str">
        <x:v>PAUSED</x:v>
      </x:c>
      <x:c r="H390" t="str">
        <x:v>AUCTION</x:v>
      </x:c>
      <x:c r="I390" s="28" t="n">
        <x:v>500</x:v>
      </x:c>
      <x:c r="J390" s="28" t="n">
        <x:v>0</x:v>
      </x:c>
      <x:c r="K390" t="str">
        <x:v>2026-01-28T14:07:09+0300</x:v>
      </x:c>
      <x:c r="L390"/>
      <x:c r="M390" t="str">
        <x:v>2026-01-31T15:19:58+0300</x:v>
      </x:c>
    </x:row>
    <x:row r="391">
      <x:c r="A391" t="str">
        <x:v>act_665558089883907</x:v>
      </x:c>
      <x:c r="B391" t="str">
        <x:v>Doruk Tibbi Bilgiler</x:v>
      </x:c>
      <x:c r="C391" t="str">
        <x:v>52540603032224</x:v>
      </x:c>
      <x:c r="D391" t="str">
        <x:v>Instagram gönderisi: "Every time I looked in the...</x:v>
      </x:c>
      <x:c r="E391" t="str">
        <x:v>LINK_CLICKS</x:v>
      </x:c>
      <x:c r="F391" t="str">
        <x:v>PAUSED</x:v>
      </x:c>
      <x:c r="G391" t="str">
        <x:v>PAUSED</x:v>
      </x:c>
      <x:c r="H391" t="str">
        <x:v>AUCTION</x:v>
      </x:c>
      <x:c r="I391" s="28" t="n">
        <x:v>750</x:v>
      </x:c>
      <x:c r="J391" s="28" t="n">
        <x:v>0</x:v>
      </x:c>
      <x:c r="K391" t="str">
        <x:v>2026-01-28T14:07:58+0300</x:v>
      </x:c>
      <x:c r="L391"/>
      <x:c r="M391" t="str">
        <x:v>2026-01-31T15:19:52+0300</x:v>
      </x:c>
    </x:row>
    <x:row r="392">
      <x:c r="A392" t="str">
        <x:v>act_665558089883907</x:v>
      </x:c>
      <x:c r="B392" t="str">
        <x:v>Doruk Tibbi Bilgiler</x:v>
      </x:c>
      <x:c r="C392" t="str">
        <x:v>52540603506624</x:v>
      </x:c>
      <x:c r="D392" t="str">
        <x:v>Instagram gönderisi: "Every time I looked in the...</x:v>
      </x:c>
      <x:c r="E392" t="str">
        <x:v>LINK_CLICKS</x:v>
      </x:c>
      <x:c r="F392" t="str">
        <x:v>PAUSED</x:v>
      </x:c>
      <x:c r="G392" t="str">
        <x:v>PAUSED</x:v>
      </x:c>
      <x:c r="H392" t="str">
        <x:v>AUCTION</x:v>
      </x:c>
      <x:c r="I392" s="28" t="n">
        <x:v>500</x:v>
      </x:c>
      <x:c r="J392" s="28" t="n">
        <x:v>0</x:v>
      </x:c>
      <x:c r="K392" t="str">
        <x:v>2026-01-28T14:09:21+0300</x:v>
      </x:c>
      <x:c r="L392"/>
      <x:c r="M392" t="str">
        <x:v>2026-01-31T15:19:51+0300</x:v>
      </x:c>
    </x:row>
    <x:row r="393">
      <x:c r="A393" t="str">
        <x:v>act_665558089883907</x:v>
      </x:c>
      <x:c r="B393" t="str">
        <x:v>Doruk Tibbi Bilgiler</x:v>
      </x:c>
      <x:c r="C393" t="str">
        <x:v>52540607448224</x:v>
      </x:c>
      <x:c r="D393" t="str">
        <x:v>Instagram gönderisi: "Every time I looked in the...</x:v>
      </x:c>
      <x:c r="E393" t="str">
        <x:v>LINK_CLICKS</x:v>
      </x:c>
      <x:c r="F393" t="str">
        <x:v>PAUSED</x:v>
      </x:c>
      <x:c r="G393" t="str">
        <x:v>PAUSED</x:v>
      </x:c>
      <x:c r="H393" t="str">
        <x:v>AUCTION</x:v>
      </x:c>
      <x:c r="I393" s="28" t="n">
        <x:v>600</x:v>
      </x:c>
      <x:c r="J393" s="28" t="n">
        <x:v>0</x:v>
      </x:c>
      <x:c r="K393" t="str">
        <x:v>2026-01-28T14:13:07+0300</x:v>
      </x:c>
      <x:c r="L393"/>
      <x:c r="M393" t="str">
        <x:v>2026-01-31T15:19:50+0300</x:v>
      </x:c>
    </x:row>
    <x:row r="394">
      <x:c r="A394" t="str">
        <x:v>act_665558089883907</x:v>
      </x:c>
      <x:c r="B394" t="str">
        <x:v>Doruk Tibbi Bilgiler</x:v>
      </x:c>
      <x:c r="C394" t="str">
        <x:v>52540607478224</x:v>
      </x:c>
      <x:c r="D394" t="str">
        <x:v>Instagram gönderisi: "Every time I looked in the...</x:v>
      </x:c>
      <x:c r="E394" t="str">
        <x:v>LINK_CLICKS</x:v>
      </x:c>
      <x:c r="F394" t="str">
        <x:v>PAUSED</x:v>
      </x:c>
      <x:c r="G394" t="str">
        <x:v>PAUSED</x:v>
      </x:c>
      <x:c r="H394" t="str">
        <x:v>AUCTION</x:v>
      </x:c>
      <x:c r="I394" s="28" t="n">
        <x:v>600</x:v>
      </x:c>
      <x:c r="J394" s="28" t="n">
        <x:v>0</x:v>
      </x:c>
      <x:c r="K394" t="str">
        <x:v>2026-01-28T14:13:09+0300</x:v>
      </x:c>
      <x:c r="L394"/>
      <x:c r="M394" t="str">
        <x:v>2026-01-31T15:19:50+0300</x:v>
      </x:c>
    </x:row>
    <x:row r="395">
      <x:c r="A395" t="str">
        <x:v>act_665558089883907</x:v>
      </x:c>
      <x:c r="B395" t="str">
        <x:v>Doruk Tibbi Bilgiler</x:v>
      </x:c>
      <x:c r="C395" t="str">
        <x:v>52540607579224</x:v>
      </x:c>
      <x:c r="D395" t="str">
        <x:v>Instagram gönderisi: "Every time I looked in the...</x:v>
      </x:c>
      <x:c r="E395" t="str">
        <x:v>LINK_CLICKS</x:v>
      </x:c>
      <x:c r="F395" t="str">
        <x:v>PAUSED</x:v>
      </x:c>
      <x:c r="G395" t="str">
        <x:v>PAUSED</x:v>
      </x:c>
      <x:c r="H395" t="str">
        <x:v>AUCTION</x:v>
      </x:c>
      <x:c r="I395" s="28" t="n">
        <x:v>600</x:v>
      </x:c>
      <x:c r="J395" s="28" t="n">
        <x:v>0</x:v>
      </x:c>
      <x:c r="K395" t="str">
        <x:v>2026-01-28T14:13:21+0300</x:v>
      </x:c>
      <x:c r="L395"/>
      <x:c r="M395" t="str">
        <x:v>2026-01-31T15:19:49+0300</x:v>
      </x:c>
    </x:row>
    <x:row r="396">
      <x:c r="A396" t="str">
        <x:v>act_665558089883907</x:v>
      </x:c>
      <x:c r="B396" t="str">
        <x:v>Doruk Tibbi Bilgiler</x:v>
      </x:c>
      <x:c r="C396" t="str">
        <x:v>52540607669224</x:v>
      </x:c>
      <x:c r="D396" t="str">
        <x:v>Instagram gönderisi: "Every time I looked in the...</x:v>
      </x:c>
      <x:c r="E396" t="str">
        <x:v>LINK_CLICKS</x:v>
      </x:c>
      <x:c r="F396" t="str">
        <x:v>PAUSED</x:v>
      </x:c>
      <x:c r="G396" t="str">
        <x:v>PAUSED</x:v>
      </x:c>
      <x:c r="H396" t="str">
        <x:v>AUCTION</x:v>
      </x:c>
      <x:c r="I396" s="28" t="n">
        <x:v>400</x:v>
      </x:c>
      <x:c r="J396" s="28" t="n">
        <x:v>0</x:v>
      </x:c>
      <x:c r="K396" t="str">
        <x:v>2026-01-28T14:13:32+0300</x:v>
      </x:c>
      <x:c r="L396"/>
      <x:c r="M396" t="str">
        <x:v>2026-01-31T15:19:49+0300</x:v>
      </x:c>
    </x:row>
    <x:row r="397">
      <x:c r="A397" t="str">
        <x:v>act_665558089883907</x:v>
      </x:c>
      <x:c r="B397" t="str">
        <x:v>Doruk Tibbi Bilgiler</x:v>
      </x:c>
      <x:c r="C397" t="str">
        <x:v>52540607776024</x:v>
      </x:c>
      <x:c r="D397" t="str">
        <x:v>Instagram gönderisi: "Every time I looked in the...</x:v>
      </x:c>
      <x:c r="E397" t="str">
        <x:v>LINK_CLICKS</x:v>
      </x:c>
      <x:c r="F397" t="str">
        <x:v>PAUSED</x:v>
      </x:c>
      <x:c r="G397" t="str">
        <x:v>PAUSED</x:v>
      </x:c>
      <x:c r="H397" t="str">
        <x:v>AUCTION</x:v>
      </x:c>
      <x:c r="I397" s="28" t="n">
        <x:v>200</x:v>
      </x:c>
      <x:c r="J397" s="28" t="n">
        <x:v>0</x:v>
      </x:c>
      <x:c r="K397" t="str">
        <x:v>2026-01-28T14:13:44+0300</x:v>
      </x:c>
      <x:c r="L397"/>
      <x:c r="M397" t="str">
        <x:v>2026-01-31T15:19:48+0300</x:v>
      </x:c>
    </x:row>
    <x:row r="398">
      <x:c r="A398" t="str">
        <x:v>act_665558089883907</x:v>
      </x:c>
      <x:c r="B398" t="str">
        <x:v>Doruk Tibbi Bilgiler</x:v>
      </x:c>
      <x:c r="C398" t="str">
        <x:v>52540608012224</x:v>
      </x:c>
      <x:c r="D398" t="str">
        <x:v>Instagram gönderisi: "Every time I looked in the...</x:v>
      </x:c>
      <x:c r="E398" t="str">
        <x:v>LINK_CLICKS</x:v>
      </x:c>
      <x:c r="F398" t="str">
        <x:v>PAUSED</x:v>
      </x:c>
      <x:c r="G398" t="str">
        <x:v>PAUSED</x:v>
      </x:c>
      <x:c r="H398" t="str">
        <x:v>AUCTION</x:v>
      </x:c>
      <x:c r="I398" s="28" t="n">
        <x:v>600</x:v>
      </x:c>
      <x:c r="J398" s="28" t="n">
        <x:v>0</x:v>
      </x:c>
      <x:c r="K398" t="str">
        <x:v>2026-01-28T14:14:40+0300</x:v>
      </x:c>
      <x:c r="L398"/>
      <x:c r="M398" t="str">
        <x:v>2026-01-31T15:19:37+0300</x:v>
      </x:c>
    </x:row>
    <x:row r="399">
      <x:c r="A399" t="str">
        <x:v>act_665558089883907</x:v>
      </x:c>
      <x:c r="B399" t="str">
        <x:v>Doruk Tibbi Bilgiler</x:v>
      </x:c>
      <x:c r="C399" t="str">
        <x:v>52540609496224</x:v>
      </x:c>
      <x:c r="D399" t="str">
        <x:v>Instagram gönderisi: "My nose didn’t feel like it...</x:v>
      </x:c>
      <x:c r="E399" t="str">
        <x:v>LINK_CLICKS</x:v>
      </x:c>
      <x:c r="F399" t="str">
        <x:v>PAUSED</x:v>
      </x:c>
      <x:c r="G399" t="str">
        <x:v>PAUSED</x:v>
      </x:c>
      <x:c r="H399" t="str">
        <x:v>AUCTION</x:v>
      </x:c>
      <x:c r="I399" s="28" t="n">
        <x:v>1000</x:v>
      </x:c>
      <x:c r="J399" s="28" t="n">
        <x:v>0</x:v>
      </x:c>
      <x:c r="K399" t="str">
        <x:v>2026-01-28T14:20:07+0300</x:v>
      </x:c>
      <x:c r="L399"/>
      <x:c r="M399" t="str">
        <x:v>2026-01-31T15:19:39+0300</x:v>
      </x:c>
    </x:row>
    <x:row r="400">
      <x:c r="A400" t="str">
        <x:v>act_665558089883907</x:v>
      </x:c>
      <x:c r="B400" t="str">
        <x:v>Doruk Tibbi Bilgiler</x:v>
      </x:c>
      <x:c r="C400" t="str">
        <x:v>52540609545824</x:v>
      </x:c>
      <x:c r="D400" t="str">
        <x:v>Instagram gönderisi: "My nose didn’t feel like it...</x:v>
      </x:c>
      <x:c r="E400" t="str">
        <x:v>LINK_CLICKS</x:v>
      </x:c>
      <x:c r="F400" t="str">
        <x:v>PAUSED</x:v>
      </x:c>
      <x:c r="G400" t="str">
        <x:v>PAUSED</x:v>
      </x:c>
      <x:c r="H400" t="str">
        <x:v>AUCTION</x:v>
      </x:c>
      <x:c r="I400" s="28" t="n">
        <x:v>500</x:v>
      </x:c>
      <x:c r="J400" s="28" t="n">
        <x:v>0</x:v>
      </x:c>
      <x:c r="K400" t="str">
        <x:v>2026-01-28T14:20:18+0300</x:v>
      </x:c>
      <x:c r="L400"/>
      <x:c r="M400" t="str">
        <x:v>2026-01-31T15:19:40+0300</x:v>
      </x:c>
    </x:row>
    <x:row r="401">
      <x:c r="A401" t="str">
        <x:v>act_665558089883907</x:v>
      </x:c>
      <x:c r="B401" t="str">
        <x:v>Doruk Tibbi Bilgiler</x:v>
      </x:c>
      <x:c r="C401" t="str">
        <x:v>52540609578024</x:v>
      </x:c>
      <x:c r="D401" t="str">
        <x:v>Instagram gönderisi: "My nose didn’t feel like it...</x:v>
      </x:c>
      <x:c r="E401" t="str">
        <x:v>LINK_CLICKS</x:v>
      </x:c>
      <x:c r="F401" t="str">
        <x:v>PAUSED</x:v>
      </x:c>
      <x:c r="G401" t="str">
        <x:v>PAUSED</x:v>
      </x:c>
      <x:c r="H401" t="str">
        <x:v>AUCTION</x:v>
      </x:c>
      <x:c r="I401" s="28" t="n">
        <x:v>250</x:v>
      </x:c>
      <x:c r="J401" s="28" t="n">
        <x:v>0</x:v>
      </x:c>
      <x:c r="K401" t="str">
        <x:v>2026-01-28T14:20:29+0300</x:v>
      </x:c>
      <x:c r="L401"/>
      <x:c r="M401" t="str">
        <x:v>2026-01-31T15:19:42+0300</x:v>
      </x:c>
    </x:row>
    <x:row r="402">
      <x:c r="A402" t="str">
        <x:v>act_665558089883907</x:v>
      </x:c>
      <x:c r="B402" t="str">
        <x:v>Doruk Tibbi Bilgiler</x:v>
      </x:c>
      <x:c r="C402" t="str">
        <x:v>52540609658824</x:v>
      </x:c>
      <x:c r="D402" t="str">
        <x:v>Instagram gönderisi: "My nose didn’t feel like it...</x:v>
      </x:c>
      <x:c r="E402" t="str">
        <x:v>LINK_CLICKS</x:v>
      </x:c>
      <x:c r="F402" t="str">
        <x:v>PAUSED</x:v>
      </x:c>
      <x:c r="G402" t="str">
        <x:v>PAUSED</x:v>
      </x:c>
      <x:c r="H402" t="str">
        <x:v>AUCTION</x:v>
      </x:c>
      <x:c r="I402" s="28" t="n">
        <x:v>500</x:v>
      </x:c>
      <x:c r="J402" s="28" t="n">
        <x:v>0</x:v>
      </x:c>
      <x:c r="K402" t="str">
        <x:v>2026-01-28T14:20:52+0300</x:v>
      </x:c>
      <x:c r="L402"/>
      <x:c r="M402" t="str">
        <x:v>2026-01-31T15:19:36+0300</x:v>
      </x:c>
    </x:row>
    <x:row r="403">
      <x:c r="A403" t="str">
        <x:v>act_665558089883907</x:v>
      </x:c>
      <x:c r="B403" t="str">
        <x:v>Doruk Tibbi Bilgiler</x:v>
      </x:c>
      <x:c r="C403" t="str">
        <x:v>52540609691024</x:v>
      </x:c>
      <x:c r="D403" t="str">
        <x:v>Instagram gönderisi: "My nose didn’t feel like it...</x:v>
      </x:c>
      <x:c r="E403" t="str">
        <x:v>LINK_CLICKS</x:v>
      </x:c>
      <x:c r="F403" t="str">
        <x:v>PAUSED</x:v>
      </x:c>
      <x:c r="G403" t="str">
        <x:v>PAUSED</x:v>
      </x:c>
      <x:c r="H403" t="str">
        <x:v>AUCTION</x:v>
      </x:c>
      <x:c r="I403" s="28" t="n">
        <x:v>250</x:v>
      </x:c>
      <x:c r="J403" s="28" t="n">
        <x:v>0</x:v>
      </x:c>
      <x:c r="K403" t="str">
        <x:v>2026-01-28T14:21:03+0300</x:v>
      </x:c>
      <x:c r="L403"/>
      <x:c r="M403" t="str">
        <x:v>2026-01-31T15:19:36+0300</x:v>
      </x:c>
    </x:row>
    <x:row r="404">
      <x:c r="A404" t="str">
        <x:v>act_665558089883907</x:v>
      </x:c>
      <x:c r="B404" t="str">
        <x:v>Doruk Tibbi Bilgiler</x:v>
      </x:c>
      <x:c r="C404" t="str">
        <x:v>52540609719424</x:v>
      </x:c>
      <x:c r="D404" t="str">
        <x:v>Instagram gönderisi: "My nose didn’t feel like it...</x:v>
      </x:c>
      <x:c r="E404" t="str">
        <x:v>LINK_CLICKS</x:v>
      </x:c>
      <x:c r="F404" t="str">
        <x:v>PAUSED</x:v>
      </x:c>
      <x:c r="G404" t="str">
        <x:v>PAUSED</x:v>
      </x:c>
      <x:c r="H404" t="str">
        <x:v>AUCTION</x:v>
      </x:c>
      <x:c r="I404" s="28" t="n">
        <x:v>500</x:v>
      </x:c>
      <x:c r="J404" s="28" t="n">
        <x:v>0</x:v>
      </x:c>
      <x:c r="K404" t="str">
        <x:v>2026-01-28T14:21:10+0300</x:v>
      </x:c>
      <x:c r="L404"/>
      <x:c r="M404" t="str">
        <x:v>2026-01-31T15:19:35+0300</x:v>
      </x:c>
    </x:row>
    <x:row r="405">
      <x:c r="A405" t="str">
        <x:v>act_665558089883907</x:v>
      </x:c>
      <x:c r="B405" t="str">
        <x:v>Doruk Tibbi Bilgiler</x:v>
      </x:c>
      <x:c r="C405" t="str">
        <x:v>52540609747424</x:v>
      </x:c>
      <x:c r="D405" t="str">
        <x:v>Instagram gönderisi: "My nose didn’t feel like it...</x:v>
      </x:c>
      <x:c r="E405" t="str">
        <x:v>LINK_CLICKS</x:v>
      </x:c>
      <x:c r="F405" t="str">
        <x:v>PAUSED</x:v>
      </x:c>
      <x:c r="G405" t="str">
        <x:v>PAUSED</x:v>
      </x:c>
      <x:c r="H405" t="str">
        <x:v>AUCTION</x:v>
      </x:c>
      <x:c r="I405" s="28" t="n">
        <x:v>750</x:v>
      </x:c>
      <x:c r="J405" s="28" t="n">
        <x:v>0</x:v>
      </x:c>
      <x:c r="K405" t="str">
        <x:v>2026-01-28T14:21:24+0300</x:v>
      </x:c>
      <x:c r="L405"/>
      <x:c r="M405" t="str">
        <x:v>2026-01-31T15:19:35+0300</x:v>
      </x:c>
    </x:row>
    <x:row r="406">
      <x:c r="A406" t="str">
        <x:v>act_665558089883907</x:v>
      </x:c>
      <x:c r="B406" t="str">
        <x:v>Doruk Tibbi Bilgiler</x:v>
      </x:c>
      <x:c r="C406" t="str">
        <x:v>52540609773024</x:v>
      </x:c>
      <x:c r="D406" t="str">
        <x:v>Instagram gönderisi: "My nose didn’t feel like it...</x:v>
      </x:c>
      <x:c r="E406" t="str">
        <x:v>LINK_CLICKS</x:v>
      </x:c>
      <x:c r="F406" t="str">
        <x:v>PAUSED</x:v>
      </x:c>
      <x:c r="G406" t="str">
        <x:v>PAUSED</x:v>
      </x:c>
      <x:c r="H406" t="str">
        <x:v>AUCTION</x:v>
      </x:c>
      <x:c r="I406" s="28" t="n">
        <x:v>500</x:v>
      </x:c>
      <x:c r="J406" s="28" t="n">
        <x:v>0</x:v>
      </x:c>
      <x:c r="K406" t="str">
        <x:v>2026-01-28T14:21:35+0300</x:v>
      </x:c>
      <x:c r="L406"/>
      <x:c r="M406" t="str">
        <x:v>2026-01-31T15:19:33+0300</x:v>
      </x:c>
    </x:row>
    <x:row r="407">
      <x:c r="A407" t="str">
        <x:v>act_665558089883907</x:v>
      </x:c>
      <x:c r="B407" t="str">
        <x:v>Doruk Tibbi Bilgiler</x:v>
      </x:c>
      <x:c r="C407" t="str">
        <x:v>52540610013624</x:v>
      </x:c>
      <x:c r="D407" t="str">
        <x:v>Instagram gönderisi: "My nose didn’t feel like it...</x:v>
      </x:c>
      <x:c r="E407" t="str">
        <x:v>LINK_CLICKS</x:v>
      </x:c>
      <x:c r="F407" t="str">
        <x:v>PAUSED</x:v>
      </x:c>
      <x:c r="G407" t="str">
        <x:v>PAUSED</x:v>
      </x:c>
      <x:c r="H407" t="str">
        <x:v>AUCTION</x:v>
      </x:c>
      <x:c r="I407" s="28" t="n">
        <x:v>600</x:v>
      </x:c>
      <x:c r="J407" s="28" t="n">
        <x:v>0</x:v>
      </x:c>
      <x:c r="K407" t="str">
        <x:v>2026-01-28T14:23:34+0300</x:v>
      </x:c>
      <x:c r="L407"/>
      <x:c r="M407" t="str">
        <x:v>2026-01-31T15:19:32+0300</x:v>
      </x:c>
    </x:row>
    <x:row r="408">
      <x:c r="A408" t="str">
        <x:v>act_665558089883907</x:v>
      </x:c>
      <x:c r="B408" t="str">
        <x:v>Doruk Tibbi Bilgiler</x:v>
      </x:c>
      <x:c r="C408" t="str">
        <x:v>52540610051824</x:v>
      </x:c>
      <x:c r="D408" t="str">
        <x:v>Instagram gönderisi: "My nose didn’t feel like it...</x:v>
      </x:c>
      <x:c r="E408" t="str">
        <x:v>LINK_CLICKS</x:v>
      </x:c>
      <x:c r="F408" t="str">
        <x:v>PAUSED</x:v>
      </x:c>
      <x:c r="G408" t="str">
        <x:v>PAUSED</x:v>
      </x:c>
      <x:c r="H408" t="str">
        <x:v>AUCTION</x:v>
      </x:c>
      <x:c r="I408" s="28" t="n">
        <x:v>600</x:v>
      </x:c>
      <x:c r="J408" s="28" t="n">
        <x:v>0</x:v>
      </x:c>
      <x:c r="K408" t="str">
        <x:v>2026-01-28T14:23:43+0300</x:v>
      </x:c>
      <x:c r="L408"/>
      <x:c r="M408" t="str">
        <x:v>2026-01-31T15:19:32+0300</x:v>
      </x:c>
    </x:row>
    <x:row r="409">
      <x:c r="A409" t="str">
        <x:v>act_665558089883907</x:v>
      </x:c>
      <x:c r="B409" t="str">
        <x:v>Doruk Tibbi Bilgiler</x:v>
      </x:c>
      <x:c r="C409" t="str">
        <x:v>52540610085824</x:v>
      </x:c>
      <x:c r="D409" t="str">
        <x:v>Instagram gönderisi: "My nose didn’t feel like it...</x:v>
      </x:c>
      <x:c r="E409" t="str">
        <x:v>LINK_CLICKS</x:v>
      </x:c>
      <x:c r="F409" t="str">
        <x:v>PAUSED</x:v>
      </x:c>
      <x:c r="G409" t="str">
        <x:v>PAUSED</x:v>
      </x:c>
      <x:c r="H409" t="str">
        <x:v>AUCTION</x:v>
      </x:c>
      <x:c r="I409" s="28" t="n">
        <x:v>600</x:v>
      </x:c>
      <x:c r="J409" s="28" t="n">
        <x:v>0</x:v>
      </x:c>
      <x:c r="K409" t="str">
        <x:v>2026-01-28T14:23:54+0300</x:v>
      </x:c>
      <x:c r="L409"/>
      <x:c r="M409" t="str">
        <x:v>2026-01-31T15:19:32+0300</x:v>
      </x:c>
    </x:row>
    <x:row r="410">
      <x:c r="A410" t="str">
        <x:v>act_665558089883907</x:v>
      </x:c>
      <x:c r="B410" t="str">
        <x:v>Doruk Tibbi Bilgiler</x:v>
      </x:c>
      <x:c r="C410" t="str">
        <x:v>52540610238224</x:v>
      </x:c>
      <x:c r="D410" t="str">
        <x:v>Instagram gönderisi: "My nose didn’t feel like it...</x:v>
      </x:c>
      <x:c r="E410" t="str">
        <x:v>LINK_CLICKS</x:v>
      </x:c>
      <x:c r="F410" t="str">
        <x:v>PAUSED</x:v>
      </x:c>
      <x:c r="G410" t="str">
        <x:v>PAUSED</x:v>
      </x:c>
      <x:c r="H410" t="str">
        <x:v>AUCTION</x:v>
      </x:c>
      <x:c r="I410" s="28" t="n">
        <x:v>400</x:v>
      </x:c>
      <x:c r="J410" s="28" t="n">
        <x:v>0</x:v>
      </x:c>
      <x:c r="K410" t="str">
        <x:v>2026-01-28T14:24:09+0300</x:v>
      </x:c>
      <x:c r="L410"/>
      <x:c r="M410" t="str">
        <x:v>2026-01-31T15:19:30+0300</x:v>
      </x:c>
    </x:row>
    <x:row r="411">
      <x:c r="A411" t="str">
        <x:v>act_665558089883907</x:v>
      </x:c>
      <x:c r="B411" t="str">
        <x:v>Doruk Tibbi Bilgiler</x:v>
      </x:c>
      <x:c r="C411" t="str">
        <x:v>52540610300224</x:v>
      </x:c>
      <x:c r="D411" t="str">
        <x:v>Instagram gönderisi: "My nose didn’t feel like it...</x:v>
      </x:c>
      <x:c r="E411" t="str">
        <x:v>LINK_CLICKS</x:v>
      </x:c>
      <x:c r="F411" t="str">
        <x:v>PAUSED</x:v>
      </x:c>
      <x:c r="G411" t="str">
        <x:v>PAUSED</x:v>
      </x:c>
      <x:c r="H411" t="str">
        <x:v>AUCTION</x:v>
      </x:c>
      <x:c r="I411" s="28" t="n">
        <x:v>200</x:v>
      </x:c>
      <x:c r="J411" s="28" t="n">
        <x:v>0</x:v>
      </x:c>
      <x:c r="K411" t="str">
        <x:v>2026-01-28T14:24:18+0300</x:v>
      </x:c>
      <x:c r="L411"/>
      <x:c r="M411" t="str">
        <x:v>2026-01-31T15:19:31+0300</x:v>
      </x:c>
    </x:row>
    <x:row r="412">
      <x:c r="A412" t="str">
        <x:v>act_665558089883907</x:v>
      </x:c>
      <x:c r="B412" t="str">
        <x:v>Doruk Tibbi Bilgiler</x:v>
      </x:c>
      <x:c r="C412" t="str">
        <x:v>52540610324024</x:v>
      </x:c>
      <x:c r="D412" t="str">
        <x:v>Instagram gönderisi: "My nose didn’t feel like it...</x:v>
      </x:c>
      <x:c r="E412" t="str">
        <x:v>LINK_CLICKS</x:v>
      </x:c>
      <x:c r="F412" t="str">
        <x:v>PAUSED</x:v>
      </x:c>
      <x:c r="G412" t="str">
        <x:v>PAUSED</x:v>
      </x:c>
      <x:c r="H412" t="str">
        <x:v>AUCTION</x:v>
      </x:c>
      <x:c r="I412" s="28" t="n">
        <x:v>600</x:v>
      </x:c>
      <x:c r="J412" s="28" t="n">
        <x:v>0</x:v>
      </x:c>
      <x:c r="K412" t="str">
        <x:v>2026-01-28T14:24:26+0300</x:v>
      </x:c>
      <x:c r="L412"/>
      <x:c r="M412" t="str">
        <x:v>2026-01-31T15:19:27+0300</x:v>
      </x:c>
    </x:row>
    <x:row r="413">
      <x:c r="A413" t="str">
        <x:v>act_665558089883907</x:v>
      </x:c>
      <x:c r="B413" t="str">
        <x:v>Doruk Tibbi Bilgiler</x:v>
      </x:c>
      <x:c r="C413" t="str">
        <x:v>52541905505424</x:v>
      </x:c>
      <x:c r="D413" t="str">
        <x:v>Rino Etkileşim EN</x:v>
      </x:c>
      <x:c r="E413" t="str">
        <x:v>OUTCOME_ENGAGEMENT</x:v>
      </x:c>
      <x:c r="F413" t="str">
        <x:v>PAUSED</x:v>
      </x:c>
      <x:c r="G413" t="str">
        <x:v>PAUSED</x:v>
      </x:c>
      <x:c r="H413" t="str">
        <x:v>AUCTION</x:v>
      </x:c>
      <x:c r="I413" s="28" t="n">
        <x:v>0</x:v>
      </x:c>
      <x:c r="J413" s="28" t="n">
        <x:v>0</x:v>
      </x:c>
      <x:c r="K413" t="str">
        <x:v>2026-01-31T15:26:57+0300</x:v>
      </x:c>
      <x:c r="L413"/>
      <x:c r="M413" t="str">
        <x:v>2026-02-06T19:39:59+0300</x:v>
      </x:c>
    </x:row>
    <x:row r="414">
      <x:c r="A414" t="str">
        <x:v>act_665558089883907</x:v>
      </x:c>
      <x:c r="B414" t="str">
        <x:v>Doruk Tibbi Bilgiler</x:v>
      </x:c>
      <x:c r="C414" t="str">
        <x:v>52541921139224</x:v>
      </x:c>
      <x:c r="D414" t="str">
        <x:v>Rino Etkileşim AR</x:v>
      </x:c>
      <x:c r="E414" t="str">
        <x:v>OUTCOME_ENGAGEMENT</x:v>
      </x:c>
      <x:c r="F414" t="str">
        <x:v>PAUSED</x:v>
      </x:c>
      <x:c r="G414" t="str">
        <x:v>PAUSED</x:v>
      </x:c>
      <x:c r="H414" t="str">
        <x:v>AUCTION</x:v>
      </x:c>
      <x:c r="I414" s="28" t="n">
        <x:v>0</x:v>
      </x:c>
      <x:c r="J414" s="28" t="n">
        <x:v>0</x:v>
      </x:c>
      <x:c r="K414" t="str">
        <x:v>2026-01-31T16:24:52+0300</x:v>
      </x:c>
      <x:c r="L414"/>
      <x:c r="M414" t="str">
        <x:v>2026-02-06T19:39:59+0300</x:v>
      </x:c>
    </x:row>
    <x:row r="415">
      <x:c r="A415" t="str">
        <x:v>act_665558089883907</x:v>
      </x:c>
      <x:c r="B415" t="str">
        <x:v>Doruk Tibbi Bilgiler</x:v>
      </x:c>
      <x:c r="C415" t="str">
        <x:v>52542423175824</x:v>
      </x:c>
      <x:c r="D415" t="str">
        <x:v>Instagram gönderisi: True rhinoplasty balances...</x:v>
      </x:c>
      <x:c r="E415" t="str">
        <x:v>LINK_CLICKS</x:v>
      </x:c>
      <x:c r="F415" t="str">
        <x:v>PAUSED</x:v>
      </x:c>
      <x:c r="G415" t="str">
        <x:v>PAUSED</x:v>
      </x:c>
      <x:c r="H415" t="str">
        <x:v>AUCTION</x:v>
      </x:c>
      <x:c r="I415" s="28" t="n">
        <x:v>800</x:v>
      </x:c>
      <x:c r="J415" s="28" t="n">
        <x:v>0</x:v>
      </x:c>
      <x:c r="K415" t="str">
        <x:v>2026-02-02T14:42:53+0300</x:v>
      </x:c>
      <x:c r="L415"/>
      <x:c r="M415" t="str">
        <x:v>2026-02-06T19:39:59+0300</x:v>
      </x:c>
    </x:row>
    <x:row r="416">
      <x:c r="A416" t="str">
        <x:v>act_665558089883907</x:v>
      </x:c>
      <x:c r="B416" t="str">
        <x:v>Doruk Tibbi Bilgiler</x:v>
      </x:c>
      <x:c r="C416" t="str">
        <x:v>52542424143424</x:v>
      </x:c>
      <x:c r="D416" t="str">
        <x:v>Instagram gönderisi: True rhinoplasty balances...</x:v>
      </x:c>
      <x:c r="E416" t="str">
        <x:v>LINK_CLICKS</x:v>
      </x:c>
      <x:c r="F416" t="str">
        <x:v>PAUSED</x:v>
      </x:c>
      <x:c r="G416" t="str">
        <x:v>PAUSED</x:v>
      </x:c>
      <x:c r="H416" t="str">
        <x:v>AUCTION</x:v>
      </x:c>
      <x:c r="I416" s="28" t="n">
        <x:v>500</x:v>
      </x:c>
      <x:c r="J416" s="28" t="n">
        <x:v>0</x:v>
      </x:c>
      <x:c r="K416" t="str">
        <x:v>2026-02-02T14:44:20+0300</x:v>
      </x:c>
      <x:c r="L416"/>
      <x:c r="M416" t="str">
        <x:v>2026-02-06T19:39:59+0300</x:v>
      </x:c>
    </x:row>
    <x:row r="417">
      <x:c r="A417" t="str">
        <x:v>act_665558089883907</x:v>
      </x:c>
      <x:c r="B417" t="str">
        <x:v>Doruk Tibbi Bilgiler</x:v>
      </x:c>
      <x:c r="C417" t="str">
        <x:v>52542424976624</x:v>
      </x:c>
      <x:c r="D417" t="str">
        <x:v>Instagram gönderisi: True rhinoplasty balances...</x:v>
      </x:c>
      <x:c r="E417" t="str">
        <x:v>LINK_CLICKS</x:v>
      </x:c>
      <x:c r="F417" t="str">
        <x:v>PAUSED</x:v>
      </x:c>
      <x:c r="G417" t="str">
        <x:v>PAUSED</x:v>
      </x:c>
      <x:c r="H417" t="str">
        <x:v>AUCTION</x:v>
      </x:c>
      <x:c r="I417" s="28" t="n">
        <x:v>500</x:v>
      </x:c>
      <x:c r="J417" s="28" t="n">
        <x:v>0</x:v>
      </x:c>
      <x:c r="K417" t="str">
        <x:v>2026-02-02T14:46:37+0300</x:v>
      </x:c>
      <x:c r="L417"/>
      <x:c r="M417" t="str">
        <x:v>2026-02-06T19:39:59+0300</x:v>
      </x:c>
    </x:row>
    <x:row r="418">
      <x:c r="A418" t="str">
        <x:v>act_665558089883907</x:v>
      </x:c>
      <x:c r="B418" t="str">
        <x:v>Doruk Tibbi Bilgiler</x:v>
      </x:c>
      <x:c r="C418" t="str">
        <x:v>52542427892224</x:v>
      </x:c>
      <x:c r="D418" t="str">
        <x:v>Instagram gönderisi: True rhinoplasty balances...</x:v>
      </x:c>
      <x:c r="E418" t="str">
        <x:v>LINK_CLICKS</x:v>
      </x:c>
      <x:c r="F418" t="str">
        <x:v>PAUSED</x:v>
      </x:c>
      <x:c r="G418" t="str">
        <x:v>PAUSED</x:v>
      </x:c>
      <x:c r="H418" t="str">
        <x:v>AUCTION</x:v>
      </x:c>
      <x:c r="I418" s="28" t="n">
        <x:v>1000</x:v>
      </x:c>
      <x:c r="J418" s="28" t="n">
        <x:v>0</x:v>
      </x:c>
      <x:c r="K418" t="str">
        <x:v>2026-02-02T14:46:55+0300</x:v>
      </x:c>
      <x:c r="L418"/>
      <x:c r="M418" t="str">
        <x:v>2026-02-06T19:39:59+0300</x:v>
      </x:c>
    </x:row>
    <x:row r="419">
      <x:c r="A419" t="str">
        <x:v>act_665558089883907</x:v>
      </x:c>
      <x:c r="B419" t="str">
        <x:v>Doruk Tibbi Bilgiler</x:v>
      </x:c>
      <x:c r="C419" t="str">
        <x:v>52542428196224</x:v>
      </x:c>
      <x:c r="D419" t="str">
        <x:v>Instagram gönderisi: True rhinoplasty balances...</x:v>
      </x:c>
      <x:c r="E419" t="str">
        <x:v>LINK_CLICKS</x:v>
      </x:c>
      <x:c r="F419" t="str">
        <x:v>PAUSED</x:v>
      </x:c>
      <x:c r="G419" t="str">
        <x:v>PAUSED</x:v>
      </x:c>
      <x:c r="H419" t="str">
        <x:v>AUCTION</x:v>
      </x:c>
      <x:c r="I419" s="28" t="n">
        <x:v>1000</x:v>
      </x:c>
      <x:c r="J419" s="28" t="n">
        <x:v>0</x:v>
      </x:c>
      <x:c r="K419" t="str">
        <x:v>2026-02-02T14:47:31+0300</x:v>
      </x:c>
      <x:c r="L419"/>
      <x:c r="M419" t="str">
        <x:v>2026-02-06T19:39:59+0300</x:v>
      </x:c>
    </x:row>
    <x:row r="420">
      <x:c r="A420" t="str">
        <x:v>act_665558089883907</x:v>
      </x:c>
      <x:c r="B420" t="str">
        <x:v>Doruk Tibbi Bilgiler</x:v>
      </x:c>
      <x:c r="C420" t="str">
        <x:v>52542847377024</x:v>
      </x:c>
      <x:c r="D420" t="str">
        <x:v>Instagram gönderisi: Rhinoplasty aims to achieve...</x:v>
      </x:c>
      <x:c r="E420" t="str">
        <x:v>LINK_CLICKS</x:v>
      </x:c>
      <x:c r="F420" t="str">
        <x:v>PAUSED</x:v>
      </x:c>
      <x:c r="G420" t="str">
        <x:v>PAUSED</x:v>
      </x:c>
      <x:c r="H420" t="str">
        <x:v>AUCTION</x:v>
      </x:c>
      <x:c r="I420" s="28" t="n">
        <x:v>2500</x:v>
      </x:c>
      <x:c r="J420" s="28" t="n">
        <x:v>0</x:v>
      </x:c>
      <x:c r="K420" t="str">
        <x:v>2026-02-03T14:21:13+0300</x:v>
      </x:c>
      <x:c r="L420"/>
      <x:c r="M420" t="str">
        <x:v>2026-02-06T19:39:59+0300</x:v>
      </x:c>
    </x:row>
    <x:row r="421">
      <x:c r="A421" t="str">
        <x:v>act_665558089883907</x:v>
      </x:c>
      <x:c r="B421" t="str">
        <x:v>Doruk Tibbi Bilgiler</x:v>
      </x:c>
      <x:c r="C421" t="str">
        <x:v>52545823354024</x:v>
      </x:c>
      <x:c r="D421" t="str">
        <x:v>Whatsapp Estetik - Rinoplasti - Arap Bölgesi - Genel - AR - lead</x:v>
      </x:c>
      <x:c r="E421" t="str">
        <x:v>OUTCOME_LEADS</x:v>
      </x:c>
      <x:c r="F421" t="str">
        <x:v>PAUSED</x:v>
      </x:c>
      <x:c r="G421" t="str">
        <x:v>PAUSED</x:v>
      </x:c>
      <x:c r="H421" t="str">
        <x:v>AUCTION</x:v>
      </x:c>
      <x:c r="I421" s="28" t="n">
        <x:v>0</x:v>
      </x:c>
      <x:c r="J421" s="28" t="n">
        <x:v>0</x:v>
      </x:c>
      <x:c r="K421" t="str">
        <x:v>2026-02-11T11:12:33+0300</x:v>
      </x:c>
      <x:c r="L421"/>
      <x:c r="M421" t="str">
        <x:v>2026-02-17T10:38:45+0300</x:v>
      </x:c>
    </x:row>
    <x:row r="422">
      <x:c r="A422" t="str">
        <x:v>act_665558089883907</x:v>
      </x:c>
      <x:c r="B422" t="str">
        <x:v>Doruk Tibbi Bilgiler</x:v>
      </x:c>
      <x:c r="C422" t="str">
        <x:v>52545923403424</x:v>
      </x:c>
      <x:c r="D422" t="str">
        <x:v>Whatsapp - Estetik - Rinoplasti - Anglosfer - Genel - EN - lead</x:v>
      </x:c>
      <x:c r="E422" t="str">
        <x:v>OUTCOME_LEADS</x:v>
      </x:c>
      <x:c r="F422" t="str">
        <x:v>PAUSED</x:v>
      </x:c>
      <x:c r="G422" t="str">
        <x:v>PAUSED</x:v>
      </x:c>
      <x:c r="H422" t="str">
        <x:v>AUCTION</x:v>
      </x:c>
      <x:c r="I422" s="28" t="n">
        <x:v>0</x:v>
      </x:c>
      <x:c r="J422" s="28" t="n">
        <x:v>0</x:v>
      </x:c>
      <x:c r="K422" t="str">
        <x:v>2026-02-11T14:20:54+0300</x:v>
      </x:c>
      <x:c r="L422"/>
      <x:c r="M422" t="str">
        <x:v>2026-02-19T18:02:13+0300</x:v>
      </x:c>
    </x:row>
    <x:row r="423">
      <x:c r="A423" t="str">
        <x:v>act_665558089883907</x:v>
      </x:c>
      <x:c r="B423" t="str">
        <x:v>Doruk Tibbi Bilgiler</x:v>
      </x:c>
      <x:c r="C423" t="str">
        <x:v>52545936477224</x:v>
      </x:c>
      <x:c r="D423" t="str">
        <x:v>Whatsapp - Estetik - Rinoplasti - Birleşik Krallık - Genel - EN - Etkileşim</x:v>
      </x:c>
      <x:c r="E423" t="str">
        <x:v>OUTCOME_ENGAGEMENT</x:v>
      </x:c>
      <x:c r="F423" t="str">
        <x:v>PAUSED</x:v>
      </x:c>
      <x:c r="G423" t="str">
        <x:v>PAUSED</x:v>
      </x:c>
      <x:c r="H423" t="str">
        <x:v>AUCTION</x:v>
      </x:c>
      <x:c r="I423" s="28" t="n">
        <x:v>0</x:v>
      </x:c>
      <x:c r="J423" s="28" t="n">
        <x:v>0</x:v>
      </x:c>
      <x:c r="K423" t="str">
        <x:v>2026-02-11T14:52:09+0300</x:v>
      </x:c>
      <x:c r="L423"/>
      <x:c r="M423" t="str">
        <x:v>2026-02-19T18:02:03+0300</x:v>
      </x:c>
    </x:row>
    <x:row r="424">
      <x:c r="A424" t="str">
        <x:v>act_665558089883907</x:v>
      </x:c>
      <x:c r="B424" t="str">
        <x:v>Doruk Tibbi Bilgiler</x:v>
      </x:c>
      <x:c r="C424" t="str">
        <x:v>52668153439824</x:v>
      </x:c>
      <x:c r="D424" t="str">
        <x:v>Estetik - Jinekomasti - Anglosfer - Genel - EN - lead</x:v>
      </x:c>
      <x:c r="E424" t="str">
        <x:v>OUTCOME_LEADS</x:v>
      </x:c>
      <x:c r="F424" t="str">
        <x:v>PAUSED</x:v>
      </x:c>
      <x:c r="G424" t="str">
        <x:v>PAUSED</x:v>
      </x:c>
      <x:c r="H424" t="str">
        <x:v>AUCTION</x:v>
      </x:c>
      <x:c r="I424" s="28" t="n">
        <x:v>0</x:v>
      </x:c>
      <x:c r="J424" s="28" t="n">
        <x:v>0</x:v>
      </x:c>
      <x:c r="K424" t="str">
        <x:v>2026-08-06T17:06:24+0300</x:v>
      </x:c>
      <x:c r="L424"/>
      <x:c r="M424" t="str">
        <x:v>2026-08-06T17:06:21+0300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33000183105469" hidden="0" customWidth="1"/>
    <x:col min="2" max="2" width="52.33000183105469" hidden="0" customWidth="1"/>
    <x:col min="3" max="3" width="52.33000183105469" hidden="0" customWidth="1"/>
    <x:col min="4" max="4" width="52.33000183105469" hidden="0" customWidth="1"/>
    <x:col min="5" max="5" width="52.33000183105469" hidden="0" customWidth="1"/>
    <x:col min="6" max="6" width="52.33000183105469" hidden="0" customWidth="1"/>
    <x:col min="7" max="7" width="52.33000183105469" hidden="0" customWidth="1"/>
    <x:col min="8" max="8" width="52.33000183105469" hidden="0" customWidth="1"/>
    <x:col min="9" max="9" width="52.33000183105469" hidden="0" customWidth="1"/>
    <x:col min="10" max="10" width="52.33000183105469" hidden="0" customWidth="1"/>
    <x:col min="11" max="11" width="52.33000183105469" hidden="0" customWidth="1"/>
    <x:col min="12" max="12" width="52.33000183105469" hidden="0" customWidth="1"/>
    <x:col min="13" max="13" width="52.33000183105469" hidden="0" customWidth="1"/>
    <x:col min="14" max="14" width="52.33000183105469" hidden="0" customWidth="1"/>
    <x:col min="15" max="15" width="52.33000183105469" hidden="0" customWidth="1"/>
    <x:col min="16" max="16" width="52.33000183105469" hidden="0" customWidth="1"/>
    <x:col min="17" max="17" width="52.33000183105469" hidden="0" customWidth="1"/>
    <x:col min="18" max="18" width="52.33000183105469" hidden="0" customWidth="1"/>
  </x:cols>
  <x:sheetData>
    <x:row r="1" ht="28" customHeight="1">
      <x:c r="A1" s="4" t="str">
        <x:v>Günlük Kampanya Performansı — Son 30 Gün</x:v>
      </x:c>
      <x:c r="B1" s="4" t="str">
        <x:v>Günlük Kampanya Performansı — Son 30 Gün</x:v>
      </x:c>
      <x:c r="C1" s="4" t="str">
        <x:v>Günlük Kampanya Performansı — Son 30 Gün</x:v>
      </x:c>
      <x:c r="D1" s="4" t="str">
        <x:v>Günlük Kampanya Performansı — Son 30 Gün</x:v>
      </x:c>
      <x:c r="E1" s="4" t="str">
        <x:v>Günlük Kampanya Performansı — Son 30 Gün</x:v>
      </x:c>
      <x:c r="F1" s="4" t="str">
        <x:v>Günlük Kampanya Performansı — Son 30 Gün</x:v>
      </x:c>
      <x:c r="G1" s="4" t="str">
        <x:v>Günlük Kampanya Performansı — Son 30 Gün</x:v>
      </x:c>
      <x:c r="H1" s="4" t="str">
        <x:v>Günlük Kampanya Performansı — Son 30 Gün</x:v>
      </x:c>
      <x:c r="I1" s="4" t="str">
        <x:v>Günlük Kampanya Performansı — Son 30 Gün</x:v>
      </x:c>
      <x:c r="J1" s="4" t="str">
        <x:v>Günlük Kampanya Performansı — Son 30 Gün</x:v>
      </x:c>
      <x:c r="K1" s="4" t="str">
        <x:v>Günlük Kampanya Performansı — Son 30 Gün</x:v>
      </x:c>
      <x:c r="L1" s="4" t="str">
        <x:v>Günlük Kampanya Performansı — Son 30 Gün</x:v>
      </x:c>
      <x:c r="M1" s="4" t="str">
        <x:v>Günlük Kampanya Performansı — Son 30 Gün</x:v>
      </x:c>
      <x:c r="N1" s="4" t="str">
        <x:v>Günlük Kampanya Performansı — Son 30 Gün</x:v>
      </x:c>
      <x:c r="O1" s="4" t="str">
        <x:v>Günlük Kampanya Performansı — Son 30 Gün</x:v>
      </x:c>
      <x:c r="P1" s="4" t="str">
        <x:v>Günlük Kampanya Performansı — Son 30 Gün</x:v>
      </x:c>
      <x:c r="Q1" s="4" t="str">
        <x:v>Günlük Kampanya Performansı — Son 30 Gün</x:v>
      </x:c>
      <x:c r="R1" s="4" t="str">
        <x:v>Günlük Kampanya Performansı — Son 30 Gün</x:v>
      </x:c>
    </x:row>
    <x:row r="2" ht="30" customHeight="1">
      <x:c r="A2" s="24" t="str">
        <x:v>Tarih</x:v>
      </x:c>
      <x:c r="B2" s="25" t="str">
        <x:v>Meta Hesap ID</x:v>
      </x:c>
      <x:c r="C2" s="25" t="str">
        <x:v>Hesap Adı</x:v>
      </x:c>
      <x:c r="D2" s="25" t="str">
        <x:v>Kampanya ID</x:v>
      </x:c>
      <x:c r="E2" s="25" t="str">
        <x:v>Kampanya Adı</x:v>
      </x:c>
      <x:c r="F2" s="25" t="str">
        <x:v>Objective</x:v>
      </x:c>
      <x:c r="G2" s="25" t="str">
        <x:v>Reach</x:v>
      </x:c>
      <x:c r="H2" s="25" t="str">
        <x:v>Harcama</x:v>
      </x:c>
      <x:c r="I2" s="25" t="str">
        <x:v>Gösterim</x:v>
      </x:c>
      <x:c r="J2" s="25" t="str">
        <x:v>Tıklama</x:v>
      </x:c>
      <x:c r="K2" s="25" t="str">
        <x:v>Link Tıklaması</x:v>
      </x:c>
      <x:c r="L2" s="25" t="str">
        <x:v>CTR</x:v>
      </x:c>
      <x:c r="M2" s="25" t="str">
        <x:v>CPC</x:v>
      </x:c>
      <x:c r="N2" s="25" t="str">
        <x:v>CPM</x:v>
      </x:c>
      <x:c r="O2" s="25" t="str">
        <x:v>Frequency</x:v>
      </x:c>
      <x:c r="P2" s="25" t="str">
        <x:v>Lead</x:v>
      </x:c>
      <x:c r="Q2" s="25" t="str">
        <x:v>Purchase</x:v>
      </x:c>
      <x:c r="R2" s="26" t="str">
        <x:v>Purchase Value</x:v>
      </x:c>
    </x:row>
    <x:row r="3">
      <x:c r="A3" t="str">
        <x:v>2026-07-11</x:v>
      </x:c>
      <x:c r="B3" t="str">
        <x:v>449281783851362</x:v>
      </x:c>
      <x:c r="C3" t="str">
        <x:v>Doruk Hastaneleri - SİNA ÖZEL Sağlık Hizmetleri A.ş</x:v>
      </x:c>
      <x:c r="D3" t="str">
        <x:v>120202624613730399</x:v>
      </x:c>
      <x:c r="E3" t="str">
        <x:v>CBO / Saç Ekimi - lead / soğuk</x:v>
      </x:c>
      <x:c r="F3" t="str">
        <x:v>OUTCOME_LEADS</x:v>
      </x:c>
      <x:c r="G3" t="n">
        <x:v>972</x:v>
      </x:c>
      <x:c r="H3" s="28" t="n">
        <x:v>225.2</x:v>
      </x:c>
      <x:c r="I3" t="n">
        <x:v>1254</x:v>
      </x:c>
      <x:c r="J3" t="n">
        <x:v>14</x:v>
      </x:c>
      <x:c r="K3" t="n">
        <x:v>6</x:v>
      </x:c>
      <x:c r="L3" s="27" t="n">
        <x:f>IFERROR(K3/I3,0)</x:f>
        <x:v>0.004784688995215311</x:v>
      </x:c>
      <x:c r="M3" s="28" t="n">
        <x:f>IFERROR(H3/K3,0)</x:f>
        <x:v>37.53333333333333</x:v>
      </x:c>
      <x:c r="N3" s="28" t="n">
        <x:f>IFERROR(H3/I3*1000,0)</x:f>
        <x:v>179.585326953748</x:v>
      </x:c>
      <x:c r="O3" t="n">
        <x:v>1.290123</x:v>
      </x:c>
      <x:c r="P3" t="n">
        <x:v>1</x:v>
      </x:c>
      <x:c r="Q3" s="28" t="n">
        <x:v>0</x:v>
      </x:c>
      <x:c r="R3" s="28" t="n">
        <x:v>0</x:v>
      </x:c>
    </x:row>
    <x:row r="4">
      <x:c r="A4" t="str">
        <x:v>2026-07-11</x:v>
      </x:c>
      <x:c r="B4" t="str">
        <x:v>449281783851362</x:v>
      </x:c>
      <x:c r="C4" t="str">
        <x:v>Doruk Hastaneleri - SİNA ÖZEL Sağlık Hizmetleri A.ş</x:v>
      </x:c>
      <x:c r="D4" t="str">
        <x:v>120211731920800399</x:v>
      </x:c>
      <x:c r="E4" t="str">
        <x:v>ABO / Göz Kapağı Estetiği / plastik cerrahi / lead</x:v>
      </x:c>
      <x:c r="F4" t="str">
        <x:v>OUTCOME_LEADS</x:v>
      </x:c>
      <x:c r="G4" t="n">
        <x:v>604</x:v>
      </x:c>
      <x:c r="H4" s="28" t="n">
        <x:v>81.83</x:v>
      </x:c>
      <x:c r="I4" t="n">
        <x:v>723</x:v>
      </x:c>
      <x:c r="J4" t="n">
        <x:v>4</x:v>
      </x:c>
      <x:c r="K4" t="n">
        <x:v>2</x:v>
      </x:c>
      <x:c r="L4" s="27" t="n">
        <x:f>IFERROR(K4/I4,0)</x:f>
        <x:v>0.0027662517289073307</x:v>
      </x:c>
      <x:c r="M4" s="28" t="n">
        <x:f>IFERROR(H4/K4,0)</x:f>
        <x:v>40.915</x:v>
      </x:c>
      <x:c r="N4" s="28" t="n">
        <x:f>IFERROR(H4/I4*1000,0)</x:f>
        <x:v>113.18118948824343</x:v>
      </x:c>
      <x:c r="O4" t="n">
        <x:v>1.19702</x:v>
      </x:c>
      <x:c r="P4" t="n">
        <x:v>1</x:v>
      </x:c>
      <x:c r="Q4" s="28" t="n">
        <x:v>0</x:v>
      </x:c>
      <x:c r="R4" s="28" t="n">
        <x:v>0</x:v>
      </x:c>
    </x:row>
    <x:row r="5">
      <x:c r="A5" t="str">
        <x:v>2026-07-11</x:v>
      </x:c>
      <x:c r="B5" t="str">
        <x:v>449281783851362</x:v>
      </x:c>
      <x:c r="C5" t="str">
        <x:v>Doruk Hastaneleri - SİNA ÖZEL Sağlık Hizmetleri A.ş</x:v>
      </x:c>
      <x:c r="D5" t="str">
        <x:v>120211732243050399</x:v>
      </x:c>
      <x:c r="E5" t="str">
        <x:v>ABO /Kepçe Kulak / plastik cerrahi / lead</x:v>
      </x:c>
      <x:c r="F5" t="str">
        <x:v>OUTCOME_LEADS</x:v>
      </x:c>
      <x:c r="G5" t="n">
        <x:v>2366</x:v>
      </x:c>
      <x:c r="H5" s="28" t="n">
        <x:v>82.01</x:v>
      </x:c>
      <x:c r="I5" t="n">
        <x:v>2366</x:v>
      </x:c>
      <x:c r="J5" t="n">
        <x:v>13</x:v>
      </x:c>
      <x:c r="K5" t="n">
        <x:v>9</x:v>
      </x:c>
      <x:c r="L5" s="27" t="n">
        <x:f>IFERROR(K5/I5,0)</x:f>
        <x:v>0.0038038884192730348</x:v>
      </x:c>
      <x:c r="M5" s="28" t="n">
        <x:f>IFERROR(H5/K5,0)</x:f>
        <x:v>9.112222222222222</x:v>
      </x:c>
      <x:c r="N5" s="28" t="n">
        <x:f>IFERROR(H5/I5*1000,0)</x:f>
        <x:v>34.66187658495351</x:v>
      </x:c>
      <x:c r="O5" t="n">
        <x:v>1</x:v>
      </x:c>
      <x:c r="P5" t="n">
        <x:v>0</x:v>
      </x:c>
      <x:c r="Q5" s="28" t="n">
        <x:v>0</x:v>
      </x:c>
      <x:c r="R5" s="28" t="n">
        <x:v>0</x:v>
      </x:c>
    </x:row>
    <x:row r="6">
      <x:c r="A6" t="str">
        <x:v>2026-07-11</x:v>
      </x:c>
      <x:c r="B6" t="str">
        <x:v>449281783851362</x:v>
      </x:c>
      <x:c r="C6" t="str">
        <x:v>Doruk Hastaneleri - SİNA ÖZEL Sağlık Hizmetleri A.ş</x:v>
      </x:c>
      <x:c r="D6" t="str">
        <x:v>120211732311210399</x:v>
      </x:c>
      <x:c r="E6" t="str">
        <x:v>ABO / Meme Estetiği / plastik cerrahi / lead</x:v>
      </x:c>
      <x:c r="F6" t="str">
        <x:v>OUTCOME_LEADS</x:v>
      </x:c>
      <x:c r="G6" t="n">
        <x:v>1567</x:v>
      </x:c>
      <x:c r="H6" s="28" t="n">
        <x:v>250.4</x:v>
      </x:c>
      <x:c r="I6" t="n">
        <x:v>1859</x:v>
      </x:c>
      <x:c r="J6" t="n">
        <x:v>10</x:v>
      </x:c>
      <x:c r="K6" t="n">
        <x:v>6</x:v>
      </x:c>
      <x:c r="L6" s="27" t="n">
        <x:f>IFERROR(K6/I6,0)</x:f>
        <x:v>0.0032275416890801506</x:v>
      </x:c>
      <x:c r="M6" s="28" t="n">
        <x:f>IFERROR(H6/K6,0)</x:f>
        <x:v>41.733333333333334</x:v>
      </x:c>
      <x:c r="N6" s="28" t="n">
        <x:f>IFERROR(H6/I6*1000,0)</x:f>
        <x:v>134.6960731576116</x:v>
      </x:c>
      <x:c r="O6" t="n">
        <x:v>1.186343</x:v>
      </x:c>
      <x:c r="P6" t="n">
        <x:v>1</x:v>
      </x:c>
      <x:c r="Q6" s="28" t="n">
        <x:v>0</x:v>
      </x:c>
      <x:c r="R6" s="28" t="n">
        <x:v>0</x:v>
      </x:c>
    </x:row>
    <x:row r="7">
      <x:c r="A7" t="str">
        <x:v>2026-07-11</x:v>
      </x:c>
      <x:c r="B7" t="str">
        <x:v>449281783851362</x:v>
      </x:c>
      <x:c r="C7" t="str">
        <x:v>Doruk Hastaneleri - SİNA ÖZEL Sağlık Hizmetleri A.ş</x:v>
      </x:c>
      <x:c r="D7" t="str">
        <x:v>120211732618490399</x:v>
      </x:c>
      <x:c r="E7" t="str">
        <x:v>ABO /Jinekomasti / plastik cerrahi / lead</x:v>
      </x:c>
      <x:c r="F7" t="str">
        <x:v>OUTCOME_LEADS</x:v>
      </x:c>
      <x:c r="G7" t="n">
        <x:v>769</x:v>
      </x:c>
      <x:c r="H7" s="28" t="n">
        <x:v>71.02</x:v>
      </x:c>
      <x:c r="I7" t="n">
        <x:v>874</x:v>
      </x:c>
      <x:c r="J7" t="n">
        <x:v>3</x:v>
      </x:c>
      <x:c r="K7" t="n">
        <x:v>2</x:v>
      </x:c>
      <x:c r="L7" s="27" t="n">
        <x:f>IFERROR(K7/I7,0)</x:f>
        <x:v>0.002288329519450801</x:v>
      </x:c>
      <x:c r="M7" s="28" t="n">
        <x:f>IFERROR(H7/K7,0)</x:f>
        <x:v>35.51</x:v>
      </x:c>
      <x:c r="N7" s="28" t="n">
        <x:f>IFERROR(H7/I7*1000,0)</x:f>
        <x:v>81.25858123569793</x:v>
      </x:c>
      <x:c r="O7" t="n">
        <x:v>1.136541</x:v>
      </x:c>
      <x:c r="P7" t="n">
        <x:v>0</x:v>
      </x:c>
      <x:c r="Q7" s="28" t="n">
        <x:v>0</x:v>
      </x:c>
      <x:c r="R7" s="28" t="n">
        <x:v>0</x:v>
      </x:c>
    </x:row>
    <x:row r="8">
      <x:c r="A8" t="str">
        <x:v>2026-07-11</x:v>
      </x:c>
      <x:c r="B8" t="str">
        <x:v>449281783851362</x:v>
      </x:c>
      <x:c r="C8" t="str">
        <x:v>Doruk Hastaneleri - SİNA ÖZEL Sağlık Hizmetleri A.ş</x:v>
      </x:c>
      <x:c r="D8" t="str">
        <x:v>120211732654260399</x:v>
      </x:c>
      <x:c r="E8" t="str">
        <x:v>ABO / Rinoplasti / plastik cerrahi / lead</x:v>
      </x:c>
      <x:c r="F8" t="str">
        <x:v>OUTCOME_LEADS</x:v>
      </x:c>
      <x:c r="G8" t="n">
        <x:v>829</x:v>
      </x:c>
      <x:c r="H8" s="28" t="n">
        <x:v>128.98</x:v>
      </x:c>
      <x:c r="I8" t="n">
        <x:v>1004</x:v>
      </x:c>
      <x:c r="J8" t="n">
        <x:v>9</x:v>
      </x:c>
      <x:c r="K8" t="n">
        <x:v>6</x:v>
      </x:c>
      <x:c r="L8" s="27" t="n">
        <x:f>IFERROR(K8/I8,0)</x:f>
        <x:v>0.00597609561752988</x:v>
      </x:c>
      <x:c r="M8" s="28" t="n">
        <x:f>IFERROR(H8/K8,0)</x:f>
        <x:v>21.496666666666666</x:v>
      </x:c>
      <x:c r="N8" s="28" t="n">
        <x:f>IFERROR(H8/I8*1000,0)</x:f>
        <x:v>128.46613545816732</x:v>
      </x:c>
      <x:c r="O8" t="n">
        <x:v>1.211098</x:v>
      </x:c>
      <x:c r="P8" t="n">
        <x:v>1</x:v>
      </x:c>
      <x:c r="Q8" s="28" t="n">
        <x:v>0</x:v>
      </x:c>
      <x:c r="R8" s="28" t="n">
        <x:v>0</x:v>
      </x:c>
    </x:row>
    <x:row r="9">
      <x:c r="A9" t="str">
        <x:v>2026-07-11</x:v>
      </x:c>
      <x:c r="B9" t="str">
        <x:v>449281783851362</x:v>
      </x:c>
      <x:c r="C9" t="str">
        <x:v>Doruk Hastaneleri - SİNA ÖZEL Sağlık Hizmetleri A.ş</x:v>
      </x:c>
      <x:c r="D9" t="str">
        <x:v>120211732712890399</x:v>
      </x:c>
      <x:c r="E9" t="str">
        <x:v>ABO / Vücut Şekillendirme / plastik cerrahi / lead</x:v>
      </x:c>
      <x:c r="F9" t="str">
        <x:v>OUTCOME_LEADS</x:v>
      </x:c>
      <x:c r="G9" t="n">
        <x:v>183</x:v>
      </x:c>
      <x:c r="H9" s="28" t="n">
        <x:v>87.08</x:v>
      </x:c>
      <x:c r="I9" t="n">
        <x:v>225</x:v>
      </x:c>
      <x:c r="J9" t="n">
        <x:v>8</x:v>
      </x:c>
      <x:c r="K9" t="n">
        <x:v>2</x:v>
      </x:c>
      <x:c r="L9" s="27" t="n">
        <x:f>IFERROR(K9/I9,0)</x:f>
        <x:v>0.008888888888888889</x:v>
      </x:c>
      <x:c r="M9" s="28" t="n">
        <x:f>IFERROR(H9/K9,0)</x:f>
        <x:v>43.54</x:v>
      </x:c>
      <x:c r="N9" s="28" t="n">
        <x:f>IFERROR(H9/I9*1000,0)</x:f>
        <x:v>387.02222222222224</x:v>
      </x:c>
      <x:c r="O9" t="n">
        <x:v>1.229508</x:v>
      </x:c>
      <x:c r="P9" t="n">
        <x:v>2</x:v>
      </x:c>
      <x:c r="Q9" s="28" t="n">
        <x:v>0</x:v>
      </x:c>
      <x:c r="R9" s="28" t="n">
        <x:v>0</x:v>
      </x:c>
    </x:row>
    <x:row r="10">
      <x:c r="A10" t="str">
        <x:v>2026-07-11</x:v>
      </x:c>
      <x:c r="B10" t="str">
        <x:v>449281783851362</x:v>
      </x:c>
      <x:c r="C10" t="str">
        <x:v>Doruk Hastaneleri - SİNA ÖZEL Sağlık Hizmetleri A.ş</x:v>
      </x:c>
      <x:c r="D10" t="str">
        <x:v>120211732754080399</x:v>
      </x:c>
      <x:c r="E10" t="str">
        <x:v>ABO / Yüz Germe (Facelift) / plastik cerrahi / lead</x:v>
      </x:c>
      <x:c r="F10" t="str">
        <x:v>OUTCOME_LEADS</x:v>
      </x:c>
      <x:c r="G10" t="n">
        <x:v>144</x:v>
      </x:c>
      <x:c r="H10" s="28" t="n">
        <x:v>56.7</x:v>
      </x:c>
      <x:c r="I10" t="n">
        <x:v>161</x:v>
      </x:c>
      <x:c r="J10" t="n">
        <x:v>5</x:v>
      </x:c>
      <x:c r="K10" t="n">
        <x:v>2</x:v>
      </x:c>
      <x:c r="L10" s="27" t="n">
        <x:f>IFERROR(K10/I10,0)</x:f>
        <x:v>0.012422360248447204</x:v>
      </x:c>
      <x:c r="M10" s="28" t="n">
        <x:f>IFERROR(H10/K10,0)</x:f>
        <x:v>28.35</x:v>
      </x:c>
      <x:c r="N10" s="28" t="n">
        <x:f>IFERROR(H10/I10*1000,0)</x:f>
        <x:v>352.1739130434783</x:v>
      </x:c>
      <x:c r="O10" t="n">
        <x:v>1.118056</x:v>
      </x:c>
      <x:c r="P10" t="n">
        <x:v>0</x:v>
      </x:c>
      <x:c r="Q10" s="28" t="n">
        <x:v>0</x:v>
      </x:c>
      <x:c r="R10" s="28" t="n">
        <x:v>0</x:v>
      </x:c>
    </x:row>
    <x:row r="11">
      <x:c r="A11" t="str">
        <x:v>2026-07-11</x:v>
      </x:c>
      <x:c r="B11" t="str">
        <x:v>449281783851362</x:v>
      </x:c>
      <x:c r="C11" t="str">
        <x:v>Doruk Hastaneleri - SİNA ÖZEL Sağlık Hizmetleri A.ş</x:v>
      </x:c>
      <x:c r="D11" t="str">
        <x:v>120214167265870399</x:v>
      </x:c>
      <x:c r="E11" t="str">
        <x:v>Baş Dönmesi ve Denge Ünitesi / lead</x:v>
      </x:c>
      <x:c r="F11" t="str">
        <x:v>OUTCOME_LEADS</x:v>
      </x:c>
      <x:c r="G11" t="n">
        <x:v>2257</x:v>
      </x:c>
      <x:c r="H11" s="28" t="n">
        <x:v>125.69</x:v>
      </x:c>
      <x:c r="I11" t="n">
        <x:v>2606</x:v>
      </x:c>
      <x:c r="J11" t="n">
        <x:v>22</x:v>
      </x:c>
      <x:c r="K11" t="n">
        <x:v>8</x:v>
      </x:c>
      <x:c r="L11" s="27" t="n">
        <x:f>IFERROR(K11/I11,0)</x:f>
        <x:v>0.0030698388334612432</x:v>
      </x:c>
      <x:c r="M11" s="28" t="n">
        <x:f>IFERROR(H11/K11,0)</x:f>
        <x:v>15.71125</x:v>
      </x:c>
      <x:c r="N11" s="28" t="n">
        <x:f>IFERROR(H11/I11*1000,0)</x:f>
        <x:v>48.23100537221796</x:v>
      </x:c>
      <x:c r="O11" t="n">
        <x:v>1.15463</x:v>
      </x:c>
      <x:c r="P11" t="n">
        <x:v>1</x:v>
      </x:c>
      <x:c r="Q11" s="28" t="n">
        <x:v>0</x:v>
      </x:c>
      <x:c r="R11" s="28" t="n">
        <x:v>0</x:v>
      </x:c>
    </x:row>
    <x:row r="12">
      <x:c r="A12" t="str">
        <x:v>2026-07-11</x:v>
      </x:c>
      <x:c r="B12" t="str">
        <x:v>449281783851362</x:v>
      </x:c>
      <x:c r="C12" t="str">
        <x:v>Doruk Hastaneleri - SİNA ÖZEL Sağlık Hizmetleri A.ş</x:v>
      </x:c>
      <x:c r="D12" t="str">
        <x:v>120220089108220399</x:v>
      </x:c>
      <x:c r="E12" t="str">
        <x:v>Checkup - genel - lead</x:v>
      </x:c>
      <x:c r="F12" t="str">
        <x:v>OUTCOME_LEADS</x:v>
      </x:c>
      <x:c r="G12" t="n">
        <x:v>2594</x:v>
      </x:c>
      <x:c r="H12" s="28" t="n">
        <x:v>376.18</x:v>
      </x:c>
      <x:c r="I12" t="n">
        <x:v>2889</x:v>
      </x:c>
      <x:c r="J12" t="n">
        <x:v>41</x:v>
      </x:c>
      <x:c r="K12" t="n">
        <x:v>16</x:v>
      </x:c>
      <x:c r="L12" s="27" t="n">
        <x:f>IFERROR(K12/I12,0)</x:f>
        <x:v>0.005538248528902735</x:v>
      </x:c>
      <x:c r="M12" s="28" t="n">
        <x:f>IFERROR(H12/K12,0)</x:f>
        <x:v>23.51125</x:v>
      </x:c>
      <x:c r="N12" s="28" t="n">
        <x:f>IFERROR(H12/I12*1000,0)</x:f>
        <x:v>130.21114572516444</x:v>
      </x:c>
      <x:c r="O12" t="n">
        <x:v>1.113724</x:v>
      </x:c>
      <x:c r="P12" t="n">
        <x:v>1</x:v>
      </x:c>
      <x:c r="Q12" s="28" t="n">
        <x:v>0</x:v>
      </x:c>
      <x:c r="R12" s="28" t="n">
        <x:v>0</x:v>
      </x:c>
    </x:row>
    <x:row r="13">
      <x:c r="A13" t="str">
        <x:v>2026-07-11</x:v>
      </x:c>
      <x:c r="B13" t="str">
        <x:v>449281783851362</x:v>
      </x:c>
      <x:c r="C13" t="str">
        <x:v>Doruk Hastaneleri - SİNA ÖZEL Sağlık Hizmetleri A.ş</x:v>
      </x:c>
      <x:c r="D13" t="str">
        <x:v>120242415465180399</x:v>
      </x:c>
      <x:c r="E13" t="str">
        <x:v>Gebe-Doğum Form Kampanyası</x:v>
      </x:c>
      <x:c r="F13" t="str">
        <x:v>OUTCOME_LEADS</x:v>
      </x:c>
      <x:c r="G13" t="n">
        <x:v>15415</x:v>
      </x:c>
      <x:c r="H13" s="28" t="n">
        <x:v>1565.73</x:v>
      </x:c>
      <x:c r="I13" t="n">
        <x:v>21496</x:v>
      </x:c>
      <x:c r="J13" t="n">
        <x:v>117</x:v>
      </x:c>
      <x:c r="K13" t="n">
        <x:v>71</x:v>
      </x:c>
      <x:c r="L13" s="27" t="n">
        <x:f>IFERROR(K13/I13,0)</x:f>
        <x:v>0.003302940081875698</x:v>
      </x:c>
      <x:c r="M13" s="28" t="n">
        <x:f>IFERROR(H13/K13,0)</x:f>
        <x:v>22.052535211267607</x:v>
      </x:c>
      <x:c r="N13" s="28" t="n">
        <x:f>IFERROR(H13/I13*1000,0)</x:f>
        <x:v>72.83820245627093</x:v>
      </x:c>
      <x:c r="O13" t="n">
        <x:v>1.394486</x:v>
      </x:c>
      <x:c r="P13" t="n">
        <x:v>4</x:v>
      </x:c>
      <x:c r="Q13" s="28" t="n">
        <x:v>0</x:v>
      </x:c>
      <x:c r="R13" s="28" t="n">
        <x:v>0</x:v>
      </x:c>
    </x:row>
    <x:row r="14">
      <x:c r="A14" t="str">
        <x:v>2026-07-11</x:v>
      </x:c>
      <x:c r="B14" t="str">
        <x:v>449281783851362</x:v>
      </x:c>
      <x:c r="C14" t="str">
        <x:v>Doruk Hastaneleri - SİNA ÖZEL Sağlık Hizmetleri A.ş</x:v>
      </x:c>
      <x:c r="D14" t="str">
        <x:v>120244050701710399</x:v>
      </x:c>
      <x:c r="E14" t="str">
        <x:v>Uzman Hekim Başvuru</x:v>
      </x:c>
      <x:c r="F14" t="str">
        <x:v>OUTCOME_LEADS</x:v>
      </x:c>
      <x:c r="G14" t="n">
        <x:v>1673</x:v>
      </x:c>
      <x:c r="H14" s="28" t="n">
        <x:v>252.02</x:v>
      </x:c>
      <x:c r="I14" t="n">
        <x:v>1848</x:v>
      </x:c>
      <x:c r="J14" t="n">
        <x:v>31</x:v>
      </x:c>
      <x:c r="K14" t="n">
        <x:v>15</x:v>
      </x:c>
      <x:c r="L14" s="27" t="n">
        <x:f>IFERROR(K14/I14,0)</x:f>
        <x:v>0.008116883116883116</x:v>
      </x:c>
      <x:c r="M14" s="28" t="n">
        <x:f>IFERROR(H14/K14,0)</x:f>
        <x:v>16.801333333333336</x:v>
      </x:c>
      <x:c r="N14" s="28" t="n">
        <x:f>IFERROR(H14/I14*1000,0)</x:f>
        <x:v>136.37445887445887</x:v>
      </x:c>
      <x:c r="O14" t="n">
        <x:v>1.104603</x:v>
      </x:c>
      <x:c r="P14" t="n">
        <x:v>1</x:v>
      </x:c>
      <x:c r="Q14" s="28" t="n">
        <x:v>0</x:v>
      </x:c>
      <x:c r="R14" s="28" t="n">
        <x:v>0</x:v>
      </x:c>
    </x:row>
    <x:row r="15">
      <x:c r="A15" t="str">
        <x:v>2026-07-11</x:v>
      </x:c>
      <x:c r="B15" t="str">
        <x:v>449281783851362</x:v>
      </x:c>
      <x:c r="C15" t="str">
        <x:v>Doruk Hastaneleri - SİNA ÖZEL Sağlık Hizmetleri A.ş</x:v>
      </x:c>
      <x:c r="D15" t="str">
        <x:v>120246476228800399</x:v>
      </x:c>
      <x:c r="E15" t="str">
        <x:v>FTR Yatılı - lead</x:v>
      </x:c>
      <x:c r="F15" t="str">
        <x:v>OUTCOME_LEADS</x:v>
      </x:c>
      <x:c r="G15" t="n">
        <x:v>14844</x:v>
      </x:c>
      <x:c r="H15" s="28" t="n">
        <x:v>1144.57</x:v>
      </x:c>
      <x:c r="I15" t="n">
        <x:v>15706</x:v>
      </x:c>
      <x:c r="J15" t="n">
        <x:v>101</x:v>
      </x:c>
      <x:c r="K15" t="n">
        <x:v>54</x:v>
      </x:c>
      <x:c r="L15" s="27" t="n">
        <x:f>IFERROR(K15/I15,0)</x:f>
        <x:v>0.003438176493059977</x:v>
      </x:c>
      <x:c r="M15" s="28" t="n">
        <x:f>IFERROR(H15/K15,0)</x:f>
        <x:v>21.19574074074074</x:v>
      </x:c>
      <x:c r="N15" s="28" t="n">
        <x:f>IFERROR(H15/I15*1000,0)</x:f>
        <x:v>72.87469756780848</x:v>
      </x:c>
      <x:c r="O15" t="n">
        <x:v>1.058071</x:v>
      </x:c>
      <x:c r="P15" t="n">
        <x:v>1</x:v>
      </x:c>
      <x:c r="Q15" s="28" t="n">
        <x:v>0</x:v>
      </x:c>
      <x:c r="R15" s="28" t="n">
        <x:v>0</x:v>
      </x:c>
    </x:row>
    <x:row r="16">
      <x:c r="A16" t="str">
        <x:v>2026-07-11</x:v>
      </x:c>
      <x:c r="B16" t="str">
        <x:v>449281783851362</x:v>
      </x:c>
      <x:c r="C16" t="str">
        <x:v>Doruk Hastaneleri - SİNA ÖZEL Sağlık Hizmetleri A.ş</x:v>
      </x:c>
      <x:c r="D16" t="str">
        <x:v>120246691590090399</x:v>
      </x:c>
      <x:c r="E16" t="str">
        <x:v>Hemşire İş Başvuru - lead</x:v>
      </x:c>
      <x:c r="F16" t="str">
        <x:v>OUTCOME_LEADS</x:v>
      </x:c>
      <x:c r="G16" t="n">
        <x:v>3234</x:v>
      </x:c>
      <x:c r="H16" s="28" t="n">
        <x:v>257.17</x:v>
      </x:c>
      <x:c r="I16" t="n">
        <x:v>3999</x:v>
      </x:c>
      <x:c r="J16" t="n">
        <x:v>27</x:v>
      </x:c>
      <x:c r="K16" t="n">
        <x:v>17</x:v>
      </x:c>
      <x:c r="L16" s="27" t="n">
        <x:f>IFERROR(K16/I16,0)</x:f>
        <x:v>0.0042510627656914225</x:v>
      </x:c>
      <x:c r="M16" s="28" t="n">
        <x:f>IFERROR(H16/K16,0)</x:f>
        <x:v>15.12764705882353</x:v>
      </x:c>
      <x:c r="N16" s="28" t="n">
        <x:f>IFERROR(H16/I16*1000,0)</x:f>
        <x:v>64.30857714428608</x:v>
      </x:c>
      <x:c r="O16" t="n">
        <x:v>1.236549</x:v>
      </x:c>
      <x:c r="P16" t="n">
        <x:v>0</x:v>
      </x:c>
      <x:c r="Q16" s="28" t="n">
        <x:v>0</x:v>
      </x:c>
      <x:c r="R16" s="28" t="n">
        <x:v>0</x:v>
      </x:c>
    </x:row>
    <x:row r="17">
      <x:c r="A17" t="str">
        <x:v>2026-07-11</x:v>
      </x:c>
      <x:c r="B17" t="str">
        <x:v>449281783851362</x:v>
      </x:c>
      <x:c r="C17" t="str">
        <x:v>Doruk Hastaneleri - SİNA ÖZEL Sağlık Hizmetleri A.ş</x:v>
      </x:c>
      <x:c r="D17" t="str">
        <x:v>120246924981440399</x:v>
      </x:c>
      <x:c r="E17" t="str">
        <x:v>ÖSS-TSS - marka bilinirliği</x:v>
      </x:c>
      <x:c r="F17" t="str">
        <x:v>OUTCOME_AWARENESS</x:v>
      </x:c>
      <x:c r="G17" t="n">
        <x:v>33031</x:v>
      </x:c>
      <x:c r="H17" s="28" t="n">
        <x:v>430.39</x:v>
      </x:c>
      <x:c r="I17" t="n">
        <x:v>35052</x:v>
      </x:c>
      <x:c r="J17" t="n">
        <x:v>28</x:v>
      </x:c>
      <x:c r="K17" t="n">
        <x:v>15</x:v>
      </x:c>
      <x:c r="L17" s="27" t="n">
        <x:f>IFERROR(K17/I17,0)</x:f>
        <x:v>0.0004279356384799726</x:v>
      </x:c>
      <x:c r="M17" s="28" t="n">
        <x:f>IFERROR(H17/K17,0)</x:f>
        <x:v>28.692666666666664</x:v>
      </x:c>
      <x:c r="N17" s="28" t="n">
        <x:f>IFERROR(H17/I17*1000,0)</x:f>
        <x:v>12.278614629693028</x:v>
      </x:c>
      <x:c r="O17" t="n">
        <x:v>1.061185</x:v>
      </x:c>
      <x:c r="P17" t="n">
        <x:v>0</x:v>
      </x:c>
      <x:c r="Q17" s="28" t="n">
        <x:v>0</x:v>
      </x:c>
      <x:c r="R17" s="28" t="n">
        <x:v>0</x:v>
      </x:c>
    </x:row>
    <x:row r="18">
      <x:c r="A18" t="str">
        <x:v>2026-07-11</x:v>
      </x:c>
      <x:c r="B18" t="str">
        <x:v>449281783851362</x:v>
      </x:c>
      <x:c r="C18" t="str">
        <x:v>Doruk Hastaneleri - SİNA ÖZEL Sağlık Hizmetleri A.ş</x:v>
      </x:c>
      <x:c r="D18" t="str">
        <x:v>120247034876600399</x:v>
      </x:c>
      <x:c r="E18" t="str">
        <x:v>Gebe-Doğum Bilinirlik</x:v>
      </x:c>
      <x:c r="F18" t="str">
        <x:v>OUTCOME_AWARENESS</x:v>
      </x:c>
      <x:c r="G18" t="n">
        <x:v>26611</x:v>
      </x:c>
      <x:c r="H18" s="28" t="n">
        <x:v>243.23</x:v>
      </x:c>
      <x:c r="I18" t="n">
        <x:v>27388</x:v>
      </x:c>
      <x:c r="J18" t="n">
        <x:v>19</x:v>
      </x:c>
      <x:c r="K18" t="n">
        <x:v>0</x:v>
      </x:c>
      <x:c r="L18" s="27" t="n">
        <x:f>IFERROR(K18/I18,0)</x:f>
        <x:v>0</x:v>
      </x:c>
      <x:c r="M18" s="28" t="n">
        <x:f>IFERROR(H18/K18,0)</x:f>
        <x:v>0</x:v>
      </x:c>
      <x:c r="N18" s="28" t="n">
        <x:f>IFERROR(H18/I18*1000,0)</x:f>
        <x:v>8.880896743099166</x:v>
      </x:c>
      <x:c r="O18" t="n">
        <x:v>1.029198</x:v>
      </x:c>
      <x:c r="P18" t="n">
        <x:v>0</x:v>
      </x:c>
      <x:c r="Q18" s="28" t="n">
        <x:v>0</x:v>
      </x:c>
      <x:c r="R18" s="28" t="n">
        <x:v>0</x:v>
      </x:c>
    </x:row>
    <x:row r="19">
      <x:c r="A19" t="str">
        <x:v>2026-07-11</x:v>
      </x:c>
      <x:c r="B19" t="str">
        <x:v>449281783851362</x:v>
      </x:c>
      <x:c r="C19" t="str">
        <x:v>Doruk Hastaneleri - SİNA ÖZEL Sağlık Hizmetleri A.ş</x:v>
      </x:c>
      <x:c r="D19" t="str">
        <x:v>120248812698040399</x:v>
      </x:c>
      <x:c r="E19" t="str">
        <x:v>ABO / Medikal Estetik lead / 16.04.2026</x:v>
      </x:c>
      <x:c r="F19" t="str">
        <x:v>OUTCOME_LEADS</x:v>
      </x:c>
      <x:c r="G19" t="n">
        <x:v>6224</x:v>
      </x:c>
      <x:c r="H19" s="28" t="n">
        <x:v>781.6</x:v>
      </x:c>
      <x:c r="I19" t="n">
        <x:v>7063</x:v>
      </x:c>
      <x:c r="J19" t="n">
        <x:v>74</x:v>
      </x:c>
      <x:c r="K19" t="n">
        <x:v>33</x:v>
      </x:c>
      <x:c r="L19" s="27" t="n">
        <x:f>IFERROR(K19/I19,0)</x:f>
        <x:v>0.004672235593940252</x:v>
      </x:c>
      <x:c r="M19" s="28" t="n">
        <x:f>IFERROR(H19/K19,0)</x:f>
        <x:v>23.684848484848487</x:v>
      </x:c>
      <x:c r="N19" s="28" t="n">
        <x:f>IFERROR(H19/I19*1000,0)</x:f>
        <x:v>110.66119212799094</x:v>
      </x:c>
      <x:c r="O19" t="n">
        <x:v>1.134801</x:v>
      </x:c>
      <x:c r="P19" t="n">
        <x:v>10</x:v>
      </x:c>
      <x:c r="Q19" s="28" t="n">
        <x:v>0</x:v>
      </x:c>
      <x:c r="R19" s="28" t="n">
        <x:v>0</x:v>
      </x:c>
    </x:row>
    <x:row r="20">
      <x:c r="A20" t="str">
        <x:v>2026-07-11</x:v>
      </x:c>
      <x:c r="B20" t="str">
        <x:v>449281783851362</x:v>
      </x:c>
      <x:c r="C20" t="str">
        <x:v>Doruk Hastaneleri - SİNA ÖZEL Sağlık Hizmetleri A.ş</x:v>
      </x:c>
      <x:c r="D20" t="str">
        <x:v>120249061996540399</x:v>
      </x:c>
      <x:c r="E20" t="str">
        <x:v>Doktor - Bilinirlik Kampanyası - Nilüfer</x:v>
      </x:c>
      <x:c r="F20" t="str">
        <x:v>OUTCOME_AWARENESS</x:v>
      </x:c>
      <x:c r="G20" t="n">
        <x:v>103395</x:v>
      </x:c>
      <x:c r="H20" s="28" t="n">
        <x:v>1004.04</x:v>
      </x:c>
      <x:c r="I20" t="n">
        <x:v>115427</x:v>
      </x:c>
      <x:c r="J20" t="n">
        <x:v>63</x:v>
      </x:c>
      <x:c r="K20" t="n">
        <x:v>0</x:v>
      </x:c>
      <x:c r="L20" s="27" t="n">
        <x:f>IFERROR(K20/I20,0)</x:f>
        <x:v>0</x:v>
      </x:c>
      <x:c r="M20" s="28" t="n">
        <x:f>IFERROR(H20/K20,0)</x:f>
        <x:v>0</x:v>
      </x:c>
      <x:c r="N20" s="28" t="n">
        <x:f>IFERROR(H20/I20*1000,0)</x:f>
        <x:v>8.69848475659941</x:v>
      </x:c>
      <x:c r="O20" t="n">
        <x:v>1.116369</x:v>
      </x:c>
      <x:c r="P20" t="n">
        <x:v>0</x:v>
      </x:c>
      <x:c r="Q20" s="28" t="n">
        <x:v>0</x:v>
      </x:c>
      <x:c r="R20" s="28" t="n">
        <x:v>0</x:v>
      </x:c>
    </x:row>
    <x:row r="21">
      <x:c r="A21" t="str">
        <x:v>2026-07-11</x:v>
      </x:c>
      <x:c r="B21" t="str">
        <x:v>449281783851362</x:v>
      </x:c>
      <x:c r="C21" t="str">
        <x:v>Doruk Hastaneleri - SİNA ÖZEL Sağlık Hizmetleri A.ş</x:v>
      </x:c>
      <x:c r="D21" t="str">
        <x:v>120249614228610399</x:v>
      </x:c>
      <x:c r="E21" t="str">
        <x:v>Instagram gönderisi: Bir sezon boyunca ortaya...</x:v>
      </x:c>
      <x:c r="F21" t="str">
        <x:v>LINK_CLICKS</x:v>
      </x:c>
      <x:c r="G21" t="n">
        <x:v>21085</x:v>
      </x:c>
      <x:c r="H21" s="28" t="n">
        <x:v>1178.48</x:v>
      </x:c>
      <x:c r="I21" t="n">
        <x:v>21685</x:v>
      </x:c>
      <x:c r="J21" t="n">
        <x:v>287</x:v>
      </x:c>
      <x:c r="K21" t="n">
        <x:v>293</x:v>
      </x:c>
      <x:c r="L21" s="27" t="n">
        <x:f>IFERROR(K21/I21,0)</x:f>
        <x:v>0.013511643993543924</x:v>
      </x:c>
      <x:c r="M21" s="28" t="n">
        <x:f>IFERROR(H21/K21,0)</x:f>
        <x:v>4.022116040955631</x:v>
      </x:c>
      <x:c r="N21" s="28" t="n">
        <x:f>IFERROR(H21/I21*1000,0)</x:f>
        <x:v>54.34540004611483</x:v>
      </x:c>
      <x:c r="O21" t="n">
        <x:v>1.028456</x:v>
      </x:c>
      <x:c r="P21" t="n">
        <x:v>0</x:v>
      </x:c>
      <x:c r="Q21" s="28" t="n">
        <x:v>0</x:v>
      </x:c>
      <x:c r="R21" s="28" t="n">
        <x:v>0</x:v>
      </x:c>
    </x:row>
    <x:row r="22">
      <x:c r="A22" t="str">
        <x:v>2026-07-11</x:v>
      </x:c>
      <x:c r="B22" t="str">
        <x:v>449281783851362</x:v>
      </x:c>
      <x:c r="C22" t="str">
        <x:v>Doruk Hastaneleri - SİNA ÖZEL Sağlık Hizmetleri A.ş</x:v>
      </x:c>
      <x:c r="D22" t="str">
        <x:v>120251414264130399</x:v>
      </x:c>
      <x:c r="E22" t="str">
        <x:v>Prostat Checkup - lead</x:v>
      </x:c>
      <x:c r="F22" t="str">
        <x:v>OUTCOME_LEADS</x:v>
      </x:c>
      <x:c r="G22" t="n">
        <x:v>2218</x:v>
      </x:c>
      <x:c r="H22" s="28" t="n">
        <x:v>186.03</x:v>
      </x:c>
      <x:c r="I22" t="n">
        <x:v>2675</x:v>
      </x:c>
      <x:c r="J22" t="n">
        <x:v>68</x:v>
      </x:c>
      <x:c r="K22" t="n">
        <x:v>30</x:v>
      </x:c>
      <x:c r="L22" s="27" t="n">
        <x:f>IFERROR(K22/I22,0)</x:f>
        <x:v>0.011214953271028037</x:v>
      </x:c>
      <x:c r="M22" s="28" t="n">
        <x:f>IFERROR(H22/K22,0)</x:f>
        <x:v>6.201</x:v>
      </x:c>
      <x:c r="N22" s="28" t="n">
        <x:f>IFERROR(H22/I22*1000,0)</x:f>
        <x:v>69.54392523364486</x:v>
      </x:c>
      <x:c r="O22" t="n">
        <x:v>1.206041</x:v>
      </x:c>
      <x:c r="P22" t="n">
        <x:v>2</x:v>
      </x:c>
      <x:c r="Q22" s="28" t="n">
        <x:v>0</x:v>
      </x:c>
      <x:c r="R22" s="28" t="n">
        <x:v>0</x:v>
      </x:c>
    </x:row>
    <x:row r="23">
      <x:c r="A23" t="str">
        <x:v>2026-07-11</x:v>
      </x:c>
      <x:c r="B23" t="str">
        <x:v>449281783851362</x:v>
      </x:c>
      <x:c r="C23" t="str">
        <x:v>Doruk Hastaneleri - SİNA ÖZEL Sağlık Hizmetleri A.ş</x:v>
      </x:c>
      <x:c r="D23" t="str">
        <x:v>120252323141170399</x:v>
      </x:c>
      <x:c r="E23" t="str">
        <x:v>Instagram gönderisi: Medikal estetik alanındaki...</x:v>
      </x:c>
      <x:c r="F23" t="str">
        <x:v>LINK_CLICKS</x:v>
      </x:c>
      <x:c r="G23" t="n">
        <x:v>2546</x:v>
      </x:c>
      <x:c r="H23" s="28" t="n">
        <x:v>138.83</x:v>
      </x:c>
      <x:c r="I23" t="n">
        <x:v>2618</x:v>
      </x:c>
      <x:c r="J23" t="n">
        <x:v>36</x:v>
      </x:c>
      <x:c r="K23" t="n">
        <x:v>35</x:v>
      </x:c>
      <x:c r="L23" s="27" t="n">
        <x:f>IFERROR(K23/I23,0)</x:f>
        <x:v>0.013368983957219251</x:v>
      </x:c>
      <x:c r="M23" s="28" t="n">
        <x:f>IFERROR(H23/K23,0)</x:f>
        <x:v>3.966571428571429</x:v>
      </x:c>
      <x:c r="N23" s="28" t="n">
        <x:f>IFERROR(H23/I23*1000,0)</x:f>
        <x:v>53.02902979373568</x:v>
      </x:c>
      <x:c r="O23" t="n">
        <x:v>1.02828</x:v>
      </x:c>
      <x:c r="P23" t="n">
        <x:v>0</x:v>
      </x:c>
      <x:c r="Q23" s="28" t="n">
        <x:v>0</x:v>
      </x:c>
      <x:c r="R23" s="28" t="n">
        <x:v>0</x:v>
      </x:c>
    </x:row>
    <x:row r="24">
      <x:c r="A24" t="str">
        <x:v>2026-07-11</x:v>
      </x:c>
      <x:c r="B24" t="str">
        <x:v>449281783851362</x:v>
      </x:c>
      <x:c r="C24" t="str">
        <x:v>Doruk Hastaneleri - SİNA ÖZEL Sağlık Hizmetleri A.ş</x:v>
      </x:c>
      <x:c r="D24" t="str">
        <x:v>120254956478750399</x:v>
      </x:c>
      <x:c r="E24" t="str">
        <x:v>Instagram gönderisi: 👨‍⚕️ Jinekomasti Ameliyatı...</x:v>
      </x:c>
      <x:c r="F24" t="str">
        <x:v>LINK_CLICKS</x:v>
      </x:c>
      <x:c r="G24" t="n">
        <x:v>8440</x:v>
      </x:c>
      <x:c r="H24" s="28" t="n">
        <x:v>303.78</x:v>
      </x:c>
      <x:c r="I24" t="n">
        <x:v>8560</x:v>
      </x:c>
      <x:c r="J24" t="n">
        <x:v>317</x:v>
      </x:c>
      <x:c r="K24" t="n">
        <x:v>343</x:v>
      </x:c>
      <x:c r="L24" s="27" t="n">
        <x:f>IFERROR(K24/I24,0)</x:f>
        <x:v>0.04007009345794393</x:v>
      </x:c>
      <x:c r="M24" s="28" t="n">
        <x:f>IFERROR(H24/K24,0)</x:f>
        <x:v>0.8856559766763847</x:v>
      </x:c>
      <x:c r="N24" s="28" t="n">
        <x:f>IFERROR(H24/I24*1000,0)</x:f>
        <x:v>35.48831775700934</x:v>
      </x:c>
      <x:c r="O24" t="n">
        <x:v>1.014218</x:v>
      </x:c>
      <x:c r="P24" t="n">
        <x:v>0</x:v>
      </x:c>
      <x:c r="Q24" s="28" t="n">
        <x:v>0</x:v>
      </x:c>
      <x:c r="R24" s="28" t="n">
        <x:v>0</x:v>
      </x:c>
    </x:row>
    <x:row r="25">
      <x:c r="A25" t="str">
        <x:v>2026-07-11</x:v>
      </x:c>
      <x:c r="B25" t="str">
        <x:v>449281783851362</x:v>
      </x:c>
      <x:c r="C25" t="str">
        <x:v>Doruk Hastaneleri - SİNA ÖZEL Sağlık Hizmetleri A.ş</x:v>
      </x:c>
      <x:c r="D25" t="str">
        <x:v>120254956634040399</x:v>
      </x:c>
      <x:c r="E25" t="str">
        <x:v>Instagram gönderisi: Yüz bölgesine yapılan...</x:v>
      </x:c>
      <x:c r="F25" t="str">
        <x:v>LINK_CLICKS</x:v>
      </x:c>
      <x:c r="G25" t="n">
        <x:v>975</x:v>
      </x:c>
      <x:c r="H25" s="28" t="n">
        <x:v>152.48</x:v>
      </x:c>
      <x:c r="I25" t="n">
        <x:v>1024</x:v>
      </x:c>
      <x:c r="J25" t="n">
        <x:v>35</x:v>
      </x:c>
      <x:c r="K25" t="n">
        <x:v>33</x:v>
      </x:c>
      <x:c r="L25" s="27" t="n">
        <x:f>IFERROR(K25/I25,0)</x:f>
        <x:v>0.0322265625</x:v>
      </x:c>
      <x:c r="M25" s="28" t="n">
        <x:f>IFERROR(H25/K25,0)</x:f>
        <x:v>4.62060606060606</x:v>
      </x:c>
      <x:c r="N25" s="28" t="n">
        <x:f>IFERROR(H25/I25*1000,0)</x:f>
        <x:v>148.90625</x:v>
      </x:c>
      <x:c r="O25" t="n">
        <x:v>1.050256</x:v>
      </x:c>
      <x:c r="P25" t="n">
        <x:v>0</x:v>
      </x:c>
      <x:c r="Q25" s="28" t="n">
        <x:v>0</x:v>
      </x:c>
      <x:c r="R25" s="28" t="n">
        <x:v>0</x:v>
      </x:c>
    </x:row>
    <x:row r="26">
      <x:c r="A26" t="str">
        <x:v>2026-07-11</x:v>
      </x:c>
      <x:c r="B26" t="str">
        <x:v>449281783851362</x:v>
      </x:c>
      <x:c r="C26" t="str">
        <x:v>Doruk Hastaneleri - SİNA ÖZEL Sağlık Hizmetleri A.ş</x:v>
      </x:c>
      <x:c r="D26" t="str">
        <x:v>120254956751670399</x:v>
      </x:c>
      <x:c r="E26" t="str">
        <x:v>Instagram gönderisi: Kilo verirken yüzünüzde...</x:v>
      </x:c>
      <x:c r="F26" t="str">
        <x:v>LINK_CLICKS</x:v>
      </x:c>
      <x:c r="G26" t="n">
        <x:v>1410</x:v>
      </x:c>
      <x:c r="H26" s="28" t="n">
        <x:v>168.97</x:v>
      </x:c>
      <x:c r="I26" t="n">
        <x:v>1496</x:v>
      </x:c>
      <x:c r="J26" t="n">
        <x:v>39</x:v>
      </x:c>
      <x:c r="K26" t="n">
        <x:v>37</x:v>
      </x:c>
      <x:c r="L26" s="27" t="n">
        <x:f>IFERROR(K26/I26,0)</x:f>
        <x:v>0.024732620320855617</x:v>
      </x:c>
      <x:c r="M26" s="28" t="n">
        <x:f>IFERROR(H26/K26,0)</x:f>
        <x:v>4.566756756756757</x:v>
      </x:c>
      <x:c r="N26" s="28" t="n">
        <x:f>IFERROR(H26/I26*1000,0)</x:f>
        <x:v>112.94786096256685</x:v>
      </x:c>
      <x:c r="O26" t="n">
        <x:v>1.060993</x:v>
      </x:c>
      <x:c r="P26" t="n">
        <x:v>0</x:v>
      </x:c>
      <x:c r="Q26" s="28" t="n">
        <x:v>0</x:v>
      </x:c>
      <x:c r="R26" s="28" t="n">
        <x:v>0</x:v>
      </x:c>
    </x:row>
    <x:row r="27">
      <x:c r="A27" t="str">
        <x:v>2026-07-11</x:v>
      </x:c>
      <x:c r="B27" t="str">
        <x:v>449281783851362</x:v>
      </x:c>
      <x:c r="C27" t="str">
        <x:v>Doruk Hastaneleri - SİNA ÖZEL Sağlık Hizmetleri A.ş</x:v>
      </x:c>
      <x:c r="D27" t="str">
        <x:v>120254956820270399</x:v>
      </x:c>
      <x:c r="E27" t="str">
        <x:v>Instagram gönderisi: Jinekomasti her zaman...</x:v>
      </x:c>
      <x:c r="F27" t="str">
        <x:v>LINK_CLICKS</x:v>
      </x:c>
      <x:c r="G27" t="n">
        <x:v>1528</x:v>
      </x:c>
      <x:c r="H27" s="28" t="n">
        <x:v>169.06</x:v>
      </x:c>
      <x:c r="I27" t="n">
        <x:v>1566</x:v>
      </x:c>
      <x:c r="J27" t="n">
        <x:v>30</x:v>
      </x:c>
      <x:c r="K27" t="n">
        <x:v>34</x:v>
      </x:c>
      <x:c r="L27" s="27" t="n">
        <x:f>IFERROR(K27/I27,0)</x:f>
        <x:v>0.021711366538952746</x:v>
      </x:c>
      <x:c r="M27" s="28" t="n">
        <x:f>IFERROR(H27/K27,0)</x:f>
        <x:v>4.972352941176471</x:v>
      </x:c>
      <x:c r="N27" s="28" t="n">
        <x:f>IFERROR(H27/I27*1000,0)</x:f>
        <x:v>107.9565772669221</x:v>
      </x:c>
      <x:c r="O27" t="n">
        <x:v>1.024869</x:v>
      </x:c>
      <x:c r="P27" t="n">
        <x:v>0</x:v>
      </x:c>
      <x:c r="Q27" s="28" t="n">
        <x:v>0</x:v>
      </x:c>
      <x:c r="R27" s="28" t="n">
        <x:v>0</x:v>
      </x:c>
    </x:row>
    <x:row r="28">
      <x:c r="A28" t="str">
        <x:v>2026-07-11</x:v>
      </x:c>
      <x:c r="B28" t="str">
        <x:v>449281783851362</x:v>
      </x:c>
      <x:c r="C28" t="str">
        <x:v>Doruk Hastaneleri - SİNA ÖZEL Sağlık Hizmetleri A.ş</x:v>
      </x:c>
      <x:c r="D28" t="str">
        <x:v>120254956881500399</x:v>
      </x:c>
      <x:c r="E28" t="str">
        <x:v>Instagram gönderisi: Kulak görünümünüz nedeniyle...</x:v>
      </x:c>
      <x:c r="F28" t="str">
        <x:v>LINK_CLICKS</x:v>
      </x:c>
      <x:c r="G28" t="n">
        <x:v>3369</x:v>
      </x:c>
      <x:c r="H28" s="28" t="n">
        <x:v>144.23</x:v>
      </x:c>
      <x:c r="I28" t="n">
        <x:v>3369</x:v>
      </x:c>
      <x:c r="J28" t="n">
        <x:v>23</x:v>
      </x:c>
      <x:c r="K28" t="n">
        <x:v>22</x:v>
      </x:c>
      <x:c r="L28" s="27" t="n">
        <x:f>IFERROR(K28/I28,0)</x:f>
        <x:v>0.006530127634312852</x:v>
      </x:c>
      <x:c r="M28" s="28" t="n">
        <x:f>IFERROR(H28/K28,0)</x:f>
        <x:v>6.555909090909091</x:v>
      </x:c>
      <x:c r="N28" s="28" t="n">
        <x:f>IFERROR(H28/I28*1000,0)</x:f>
        <x:v>42.8109231225883</x:v>
      </x:c>
      <x:c r="O28" t="n">
        <x:v>1</x:v>
      </x:c>
      <x:c r="P28" t="n">
        <x:v>0</x:v>
      </x:c>
      <x:c r="Q28" s="28" t="n">
        <x:v>0</x:v>
      </x:c>
      <x:c r="R28" s="28" t="n">
        <x:v>0</x:v>
      </x:c>
    </x:row>
    <x:row r="29">
      <x:c r="A29" t="str">
        <x:v>2026-07-11</x:v>
      </x:c>
      <x:c r="B29" t="str">
        <x:v>449281783851362</x:v>
      </x:c>
      <x:c r="C29" t="str">
        <x:v>Doruk Hastaneleri - SİNA ÖZEL Sağlık Hizmetleri A.ş</x:v>
      </x:c>
      <x:c r="D29" t="str">
        <x:v>120255099624540399</x:v>
      </x:c>
      <x:c r="E29" t="str">
        <x:v>Instagram gönderisi: Doruk Sağlık Grubu olarak,...</x:v>
      </x:c>
      <x:c r="F29" t="str">
        <x:v>LINK_CLICKS</x:v>
      </x:c>
      <x:c r="G29" t="n">
        <x:v>15901</x:v>
      </x:c>
      <x:c r="H29" s="28" t="n">
        <x:v>923.66</x:v>
      </x:c>
      <x:c r="I29" t="n">
        <x:v>16125</x:v>
      </x:c>
      <x:c r="J29" t="n">
        <x:v>244</x:v>
      </x:c>
      <x:c r="K29" t="n">
        <x:v>245</x:v>
      </x:c>
      <x:c r="L29" s="27" t="n">
        <x:f>IFERROR(K29/I29,0)</x:f>
        <x:v>0.015193798449612403</x:v>
      </x:c>
      <x:c r="M29" s="28" t="n">
        <x:f>IFERROR(H29/K29,0)</x:f>
        <x:v>3.7700408163265307</x:v>
      </x:c>
      <x:c r="N29" s="28" t="n">
        <x:f>IFERROR(H29/I29*1000,0)</x:f>
        <x:v>57.281240310077514</x:v>
      </x:c>
      <x:c r="O29" t="n">
        <x:v>1.014087</x:v>
      </x:c>
      <x:c r="P29" t="n">
        <x:v>0</x:v>
      </x:c>
      <x:c r="Q29" s="28" t="n">
        <x:v>0</x:v>
      </x:c>
      <x:c r="R29" s="28" t="n">
        <x:v>0</x:v>
      </x:c>
    </x:row>
    <x:row r="30">
      <x:c r="A30" t="str">
        <x:v>2026-07-11</x:v>
      </x:c>
      <x:c r="B30" t="str">
        <x:v>449281783851362</x:v>
      </x:c>
      <x:c r="C30" t="str">
        <x:v>Doruk Hastaneleri - SİNA ÖZEL Sağlık Hizmetleri A.ş</x:v>
      </x:c>
      <x:c r="D30" t="str">
        <x:v>120255158812950399</x:v>
      </x:c>
      <x:c r="E30" t="str">
        <x:v>Doktor - Bilinirlik Kampanyası - Yıldırım</x:v>
      </x:c>
      <x:c r="F30" t="str">
        <x:v>OUTCOME_AWARENESS</x:v>
      </x:c>
      <x:c r="G30" t="n">
        <x:v>10532</x:v>
      </x:c>
      <x:c r="H30" s="28" t="n">
        <x:v>93.72</x:v>
      </x:c>
      <x:c r="I30" t="n">
        <x:v>10985</x:v>
      </x:c>
      <x:c r="J30" t="n">
        <x:v>1</x:v>
      </x:c>
      <x:c r="K30" t="n">
        <x:v>0</x:v>
      </x:c>
      <x:c r="L30" s="27" t="n">
        <x:f>IFERROR(K30/I30,0)</x:f>
        <x:v>0</x:v>
      </x:c>
      <x:c r="M30" s="28" t="n">
        <x:f>IFERROR(H30/K30,0)</x:f>
        <x:v>0</x:v>
      </x:c>
      <x:c r="N30" s="28" t="n">
        <x:f>IFERROR(H30/I30*1000,0)</x:f>
        <x:v>8.531634046426946</x:v>
      </x:c>
      <x:c r="O30" t="n">
        <x:v>1.043012</x:v>
      </x:c>
      <x:c r="P30" t="n">
        <x:v>0</x:v>
      </x:c>
      <x:c r="Q30" s="28" t="n">
        <x:v>0</x:v>
      </x:c>
      <x:c r="R30" s="28" t="n">
        <x:v>0</x:v>
      </x:c>
    </x:row>
    <x:row r="31">
      <x:c r="A31" t="str">
        <x:v>2026-07-13</x:v>
      </x:c>
      <x:c r="B31" t="str">
        <x:v>449281783851362</x:v>
      </x:c>
      <x:c r="C31" t="str">
        <x:v>Doruk Hastaneleri - SİNA ÖZEL Sağlık Hizmetleri A.ş</x:v>
      </x:c>
      <x:c r="D31" t="str">
        <x:v>120202624613730399</x:v>
      </x:c>
      <x:c r="E31" t="str">
        <x:v>CBO / Saç Ekimi - lead / soğuk</x:v>
      </x:c>
      <x:c r="F31" t="str">
        <x:v>OUTCOME_LEADS</x:v>
      </x:c>
      <x:c r="G31" t="n">
        <x:v>5569</x:v>
      </x:c>
      <x:c r="H31" s="28" t="n">
        <x:v>1153.21</x:v>
      </x:c>
      <x:c r="I31" t="n">
        <x:v>8456</x:v>
      </x:c>
      <x:c r="J31" t="n">
        <x:v>43</x:v>
      </x:c>
      <x:c r="K31" t="n">
        <x:v>19</x:v>
      </x:c>
      <x:c r="L31" s="27" t="n">
        <x:f>IFERROR(K31/I31,0)</x:f>
        <x:v>0.002246925260170293</x:v>
      </x:c>
      <x:c r="M31" s="28" t="n">
        <x:f>IFERROR(H31/K31,0)</x:f>
        <x:v>60.695263157894736</x:v>
      </x:c>
      <x:c r="N31" s="28" t="n">
        <x:f>IFERROR(H31/I31*1000,0)</x:f>
        <x:v>136.37771996215704</x:v>
      </x:c>
      <x:c r="O31" t="n">
        <x:v>1.518405</x:v>
      </x:c>
      <x:c r="P31" t="n">
        <x:v>1</x:v>
      </x:c>
      <x:c r="Q31" s="28" t="n">
        <x:v>0</x:v>
      </x:c>
      <x:c r="R31" s="28" t="n">
        <x:v>0</x:v>
      </x:c>
    </x:row>
    <x:row r="32">
      <x:c r="A32" t="str">
        <x:v>2026-07-13</x:v>
      </x:c>
      <x:c r="B32" t="str">
        <x:v>449281783851362</x:v>
      </x:c>
      <x:c r="C32" t="str">
        <x:v>Doruk Hastaneleri - SİNA ÖZEL Sağlık Hizmetleri A.ş</x:v>
      </x:c>
      <x:c r="D32" t="str">
        <x:v>120211731920800399</x:v>
      </x:c>
      <x:c r="E32" t="str">
        <x:v>ABO / Göz Kapağı Estetiği / plastik cerrahi / lead</x:v>
      </x:c>
      <x:c r="F32" t="str">
        <x:v>OUTCOME_LEADS</x:v>
      </x:c>
      <x:c r="G32" t="n">
        <x:v>2291</x:v>
      </x:c>
      <x:c r="H32" s="28" t="n">
        <x:v>285.43</x:v>
      </x:c>
      <x:c r="I32" t="n">
        <x:v>2947</x:v>
      </x:c>
      <x:c r="J32" t="n">
        <x:v>10</x:v>
      </x:c>
      <x:c r="K32" t="n">
        <x:v>5</x:v>
      </x:c>
      <x:c r="L32" s="27" t="n">
        <x:f>IFERROR(K32/I32,0)</x:f>
        <x:v>0.0016966406515100101</x:v>
      </x:c>
      <x:c r="M32" s="28" t="n">
        <x:f>IFERROR(H32/K32,0)</x:f>
        <x:v>57.086</x:v>
      </x:c>
      <x:c r="N32" s="28" t="n">
        <x:f>IFERROR(H32/I32*1000,0)</x:f>
        <x:v>96.85442823210045</x:v>
      </x:c>
      <x:c r="O32" t="n">
        <x:v>1.286338</x:v>
      </x:c>
      <x:c r="P32" t="n">
        <x:v>0</x:v>
      </x:c>
      <x:c r="Q32" s="28" t="n">
        <x:v>0</x:v>
      </x:c>
      <x:c r="R32" s="28" t="n">
        <x:v>0</x:v>
      </x:c>
    </x:row>
    <x:row r="33">
      <x:c r="A33" t="str">
        <x:v>2026-07-13</x:v>
      </x:c>
      <x:c r="B33" t="str">
        <x:v>449281783851362</x:v>
      </x:c>
      <x:c r="C33" t="str">
        <x:v>Doruk Hastaneleri - SİNA ÖZEL Sağlık Hizmetleri A.ş</x:v>
      </x:c>
      <x:c r="D33" t="str">
        <x:v>120211732243050399</x:v>
      </x:c>
      <x:c r="E33" t="str">
        <x:v>ABO /Kepçe Kulak / plastik cerrahi / lead</x:v>
      </x:c>
      <x:c r="F33" t="str">
        <x:v>OUTCOME_LEADS</x:v>
      </x:c>
      <x:c r="G33" t="n">
        <x:v>9038</x:v>
      </x:c>
      <x:c r="H33" s="28" t="n">
        <x:v>364.09</x:v>
      </x:c>
      <x:c r="I33" t="n">
        <x:v>9699</x:v>
      </x:c>
      <x:c r="J33" t="n">
        <x:v>36</x:v>
      </x:c>
      <x:c r="K33" t="n">
        <x:v>22</x:v>
      </x:c>
      <x:c r="L33" s="27" t="n">
        <x:f>IFERROR(K33/I33,0)</x:f>
        <x:v>0.0022682750799051447</x:v>
      </x:c>
      <x:c r="M33" s="28" t="n">
        <x:f>IFERROR(H33/K33,0)</x:f>
        <x:v>16.549545454545452</x:v>
      </x:c>
      <x:c r="N33" s="28" t="n">
        <x:f>IFERROR(H33/I33*1000,0)</x:f>
        <x:v>37.538921538302915</x:v>
      </x:c>
      <x:c r="O33" t="n">
        <x:v>1.073136</x:v>
      </x:c>
      <x:c r="P33" t="n">
        <x:v>2</x:v>
      </x:c>
      <x:c r="Q33" s="28" t="n">
        <x:v>0</x:v>
      </x:c>
      <x:c r="R33" s="28" t="n">
        <x:v>0</x:v>
      </x:c>
    </x:row>
    <x:row r="34">
      <x:c r="A34" t="str">
        <x:v>2026-07-13</x:v>
      </x:c>
      <x:c r="B34" t="str">
        <x:v>449281783851362</x:v>
      </x:c>
      <x:c r="C34" t="str">
        <x:v>Doruk Hastaneleri - SİNA ÖZEL Sağlık Hizmetleri A.ş</x:v>
      </x:c>
      <x:c r="D34" t="str">
        <x:v>120211732311210399</x:v>
      </x:c>
      <x:c r="E34" t="str">
        <x:v>ABO / Meme Estetiği / plastik cerrahi / lead</x:v>
      </x:c>
      <x:c r="F34" t="str">
        <x:v>OUTCOME_LEADS</x:v>
      </x:c>
      <x:c r="G34" t="n">
        <x:v>5737</x:v>
      </x:c>
      <x:c r="H34" s="28" t="n">
        <x:v>1074.15</x:v>
      </x:c>
      <x:c r="I34" t="n">
        <x:v>8359</x:v>
      </x:c>
      <x:c r="J34" t="n">
        <x:v>53</x:v>
      </x:c>
      <x:c r="K34" t="n">
        <x:v>25</x:v>
      </x:c>
      <x:c r="L34" s="27" t="n">
        <x:f>IFERROR(K34/I34,0)</x:f>
        <x:v>0.0029907883718148106</x:v>
      </x:c>
      <x:c r="M34" s="28" t="n">
        <x:f>IFERROR(H34/K34,0)</x:f>
        <x:v>42.966</x:v>
      </x:c>
      <x:c r="N34" s="28" t="n">
        <x:f>IFERROR(H34/I34*1000,0)</x:f>
        <x:v>128.50221318339516</x:v>
      </x:c>
      <x:c r="O34" t="n">
        <x:v>1.457033</x:v>
      </x:c>
      <x:c r="P34" t="n">
        <x:v>4</x:v>
      </x:c>
      <x:c r="Q34" s="28" t="n">
        <x:v>0</x:v>
      </x:c>
      <x:c r="R34" s="28" t="n">
        <x:v>0</x:v>
      </x:c>
    </x:row>
    <x:row r="35">
      <x:c r="A35" t="str">
        <x:v>2026-07-13</x:v>
      </x:c>
      <x:c r="B35" t="str">
        <x:v>449281783851362</x:v>
      </x:c>
      <x:c r="C35" t="str">
        <x:v>Doruk Hastaneleri - SİNA ÖZEL Sağlık Hizmetleri A.ş</x:v>
      </x:c>
      <x:c r="D35" t="str">
        <x:v>120211732618490399</x:v>
      </x:c>
      <x:c r="E35" t="str">
        <x:v>ABO /Jinekomasti / plastik cerrahi / lead</x:v>
      </x:c>
      <x:c r="F35" t="str">
        <x:v>OUTCOME_LEADS</x:v>
      </x:c>
      <x:c r="G35" t="n">
        <x:v>2583</x:v>
      </x:c>
      <x:c r="H35" s="28" t="n">
        <x:v>317.43</x:v>
      </x:c>
      <x:c r="I35" t="n">
        <x:v>3573</x:v>
      </x:c>
      <x:c r="J35" t="n">
        <x:v>18</x:v>
      </x:c>
      <x:c r="K35" t="n">
        <x:v>12</x:v>
      </x:c>
      <x:c r="L35" s="27" t="n">
        <x:f>IFERROR(K35/I35,0)</x:f>
        <x:v>0.0033585222502099076</x:v>
      </x:c>
      <x:c r="M35" s="28" t="n">
        <x:f>IFERROR(H35/K35,0)</x:f>
        <x:v>26.4525</x:v>
      </x:c>
      <x:c r="N35" s="28" t="n">
        <x:f>IFERROR(H35/I35*1000,0)</x:f>
        <x:v>88.84130982367758</x:v>
      </x:c>
      <x:c r="O35" t="n">
        <x:v>1.383275</x:v>
      </x:c>
      <x:c r="P35" t="n">
        <x:v>1</x:v>
      </x:c>
      <x:c r="Q35" s="28" t="n">
        <x:v>0</x:v>
      </x:c>
      <x:c r="R35" s="28" t="n">
        <x:v>0</x:v>
      </x:c>
    </x:row>
    <x:row r="36">
      <x:c r="A36" t="str">
        <x:v>2026-07-13</x:v>
      </x:c>
      <x:c r="B36" t="str">
        <x:v>449281783851362</x:v>
      </x:c>
      <x:c r="C36" t="str">
        <x:v>Doruk Hastaneleri - SİNA ÖZEL Sağlık Hizmetleri A.ş</x:v>
      </x:c>
      <x:c r="D36" t="str">
        <x:v>120211732654260399</x:v>
      </x:c>
      <x:c r="E36" t="str">
        <x:v>ABO / Rinoplasti / plastik cerrahi / lead</x:v>
      </x:c>
      <x:c r="F36" t="str">
        <x:v>OUTCOME_LEADS</x:v>
      </x:c>
      <x:c r="G36" t="n">
        <x:v>4186</x:v>
      </x:c>
      <x:c r="H36" s="28" t="n">
        <x:v>863.45</x:v>
      </x:c>
      <x:c r="I36" t="n">
        <x:v>6447</x:v>
      </x:c>
      <x:c r="J36" t="n">
        <x:v>45</x:v>
      </x:c>
      <x:c r="K36" t="n">
        <x:v>31</x:v>
      </x:c>
      <x:c r="L36" s="27" t="n">
        <x:f>IFERROR(K36/I36,0)</x:f>
        <x:v>0.004808438033193733</x:v>
      </x:c>
      <x:c r="M36" s="28" t="n">
        <x:f>IFERROR(H36/K36,0)</x:f>
        <x:v>27.853225806451615</x:v>
      </x:c>
      <x:c r="N36" s="28" t="n">
        <x:f>IFERROR(H36/I36*1000,0)</x:f>
        <x:v>133.93051031487516</x:v>
      </x:c>
      <x:c r="O36" t="n">
        <x:v>1.540134</x:v>
      </x:c>
      <x:c r="P36" t="n">
        <x:v>2</x:v>
      </x:c>
      <x:c r="Q36" s="28" t="n">
        <x:v>0</x:v>
      </x:c>
      <x:c r="R36" s="28" t="n">
        <x:v>0</x:v>
      </x:c>
    </x:row>
    <x:row r="37">
      <x:c r="A37" t="str">
        <x:v>2026-07-13</x:v>
      </x:c>
      <x:c r="B37" t="str">
        <x:v>449281783851362</x:v>
      </x:c>
      <x:c r="C37" t="str">
        <x:v>Doruk Hastaneleri - SİNA ÖZEL Sağlık Hizmetleri A.ş</x:v>
      </x:c>
      <x:c r="D37" t="str">
        <x:v>120211732712890399</x:v>
      </x:c>
      <x:c r="E37" t="str">
        <x:v>ABO / Vücut Şekillendirme / plastik cerrahi / lead</x:v>
      </x:c>
      <x:c r="F37" t="str">
        <x:v>OUTCOME_LEADS</x:v>
      </x:c>
      <x:c r="G37" t="n">
        <x:v>843</x:v>
      </x:c>
      <x:c r="H37" s="28" t="n">
        <x:v>321.23</x:v>
      </x:c>
      <x:c r="I37" t="n">
        <x:v>1269</x:v>
      </x:c>
      <x:c r="J37" t="n">
        <x:v>16</x:v>
      </x:c>
      <x:c r="K37" t="n">
        <x:v>10</x:v>
      </x:c>
      <x:c r="L37" s="27" t="n">
        <x:f>IFERROR(K37/I37,0)</x:f>
        <x:v>0.007880220646178092</x:v>
      </x:c>
      <x:c r="M37" s="28" t="n">
        <x:f>IFERROR(H37/K37,0)</x:f>
        <x:v>32.123000000000005</x:v>
      </x:c>
      <x:c r="N37" s="28" t="n">
        <x:f>IFERROR(H37/I37*1000,0)</x:f>
        <x:v>253.13632781717888</x:v>
      </x:c>
      <x:c r="O37" t="n">
        <x:v>1.505338</x:v>
      </x:c>
      <x:c r="P37" t="n">
        <x:v>2</x:v>
      </x:c>
      <x:c r="Q37" s="28" t="n">
        <x:v>0</x:v>
      </x:c>
      <x:c r="R37" s="28" t="n">
        <x:v>0</x:v>
      </x:c>
    </x:row>
    <x:row r="38">
      <x:c r="A38" t="str">
        <x:v>2026-07-13</x:v>
      </x:c>
      <x:c r="B38" t="str">
        <x:v>449281783851362</x:v>
      </x:c>
      <x:c r="C38" t="str">
        <x:v>Doruk Hastaneleri - SİNA ÖZEL Sağlık Hizmetleri A.ş</x:v>
      </x:c>
      <x:c r="D38" t="str">
        <x:v>120211732754080399</x:v>
      </x:c>
      <x:c r="E38" t="str">
        <x:v>ABO / Yüz Germe (Facelift) / plastik cerrahi / lead</x:v>
      </x:c>
      <x:c r="F38" t="str">
        <x:v>OUTCOME_LEADS</x:v>
      </x:c>
      <x:c r="G38" t="n">
        <x:v>791</x:v>
      </x:c>
      <x:c r="H38" s="28" t="n">
        <x:v>339.64</x:v>
      </x:c>
      <x:c r="I38" t="n">
        <x:v>1089</x:v>
      </x:c>
      <x:c r="J38" t="n">
        <x:v>16</x:v>
      </x:c>
      <x:c r="K38" t="n">
        <x:v>7</x:v>
      </x:c>
      <x:c r="L38" s="27" t="n">
        <x:f>IFERROR(K38/I38,0)</x:f>
        <x:v>0.006427915518824609</x:v>
      </x:c>
      <x:c r="M38" s="28" t="n">
        <x:f>IFERROR(H38/K38,0)</x:f>
        <x:v>48.519999999999996</x:v>
      </x:c>
      <x:c r="N38" s="28" t="n">
        <x:f>IFERROR(H38/I38*1000,0)</x:f>
        <x:v>311.8824609733701</x:v>
      </x:c>
      <x:c r="O38" t="n">
        <x:v>1.376738</x:v>
      </x:c>
      <x:c r="P38" t="n">
        <x:v>0</x:v>
      </x:c>
      <x:c r="Q38" s="28" t="n">
        <x:v>0</x:v>
      </x:c>
      <x:c r="R38" s="28" t="n">
        <x:v>0</x:v>
      </x:c>
    </x:row>
    <x:row r="39">
      <x:c r="A39" t="str">
        <x:v>2026-07-13</x:v>
      </x:c>
      <x:c r="B39" t="str">
        <x:v>449281783851362</x:v>
      </x:c>
      <x:c r="C39" t="str">
        <x:v>Doruk Hastaneleri - SİNA ÖZEL Sağlık Hizmetleri A.ş</x:v>
      </x:c>
      <x:c r="D39" t="str">
        <x:v>120214167265870399</x:v>
      </x:c>
      <x:c r="E39" t="str">
        <x:v>Baş Dönmesi ve Denge Ünitesi / lead</x:v>
      </x:c>
      <x:c r="F39" t="str">
        <x:v>OUTCOME_LEADS</x:v>
      </x:c>
      <x:c r="G39" t="n">
        <x:v>6294</x:v>
      </x:c>
      <x:c r="H39" s="28" t="n">
        <x:v>343.83</x:v>
      </x:c>
      <x:c r="I39" t="n">
        <x:v>7811</x:v>
      </x:c>
      <x:c r="J39" t="n">
        <x:v>104</x:v>
      </x:c>
      <x:c r="K39" t="n">
        <x:v>40</x:v>
      </x:c>
      <x:c r="L39" s="27" t="n">
        <x:f>IFERROR(K39/I39,0)</x:f>
        <x:v>0.0051209832287799255</x:v>
      </x:c>
      <x:c r="M39" s="28" t="n">
        <x:f>IFERROR(H39/K39,0)</x:f>
        <x:v>8.595749999999999</x:v>
      </x:c>
      <x:c r="N39" s="28" t="n">
        <x:f>IFERROR(H39/I39*1000,0)</x:f>
        <x:v>44.018691588785046</x:v>
      </x:c>
      <x:c r="O39" t="n">
        <x:v>1.241023</x:v>
      </x:c>
      <x:c r="P39" t="n">
        <x:v>2</x:v>
      </x:c>
      <x:c r="Q39" s="28" t="n">
        <x:v>0</x:v>
      </x:c>
      <x:c r="R39" s="28" t="n">
        <x:v>0</x:v>
      </x:c>
    </x:row>
    <x:row r="40">
      <x:c r="A40" t="str">
        <x:v>2026-07-13</x:v>
      </x:c>
      <x:c r="B40" t="str">
        <x:v>449281783851362</x:v>
      </x:c>
      <x:c r="C40" t="str">
        <x:v>Doruk Hastaneleri - SİNA ÖZEL Sağlık Hizmetleri A.ş</x:v>
      </x:c>
      <x:c r="D40" t="str">
        <x:v>120220089108220399</x:v>
      </x:c>
      <x:c r="E40" t="str">
        <x:v>Checkup - genel - lead</x:v>
      </x:c>
      <x:c r="F40" t="str">
        <x:v>OUTCOME_LEADS</x:v>
      </x:c>
      <x:c r="G40" t="n">
        <x:v>7206</x:v>
      </x:c>
      <x:c r="H40" s="28" t="n">
        <x:v>927.31</x:v>
      </x:c>
      <x:c r="I40" t="n">
        <x:v>9769</x:v>
      </x:c>
      <x:c r="J40" t="n">
        <x:v>84</x:v>
      </x:c>
      <x:c r="K40" t="n">
        <x:v>44</x:v>
      </x:c>
      <x:c r="L40" s="27" t="n">
        <x:f>IFERROR(K40/I40,0)</x:f>
        <x:v>0.004504043402600061</x:v>
      </x:c>
      <x:c r="M40" s="28" t="n">
        <x:f>IFERROR(H40/K40,0)</x:f>
        <x:v>21.075227272727272</x:v>
      </x:c>
      <x:c r="N40" s="28" t="n">
        <x:f>IFERROR(H40/I40*1000,0)</x:f>
        <x:v>94.92373835602415</x:v>
      </x:c>
      <x:c r="O40" t="n">
        <x:v>1.355676</x:v>
      </x:c>
      <x:c r="P40" t="n">
        <x:v>0</x:v>
      </x:c>
      <x:c r="Q40" s="28" t="n">
        <x:v>0</x:v>
      </x:c>
      <x:c r="R40" s="28" t="n">
        <x:v>0</x:v>
      </x:c>
    </x:row>
    <x:row r="41">
      <x:c r="A41" t="str">
        <x:v>2026-07-13</x:v>
      </x:c>
      <x:c r="B41" t="str">
        <x:v>170008509278498</x:v>
      </x:c>
      <x:c r="C41" t="str">
        <x:v>Doruk Hospital</x:v>
      </x:c>
      <x:c r="D41" t="str">
        <x:v>120232382033210080</x:v>
      </x:c>
      <x:c r="E41" t="str">
        <x:v>Fizik Tedavi - Intensive FTR - Türki Cumhuriyetler - Tümü - RU - Lechenie v Turtsii - lead</x:v>
      </x:c>
      <x:c r="F41" t="str">
        <x:v>OUTCOME_LEADS</x:v>
      </x:c>
      <x:c r="G41" t="n">
        <x:v>120463</x:v>
      </x:c>
      <x:c r="H41" s="28" t="n">
        <x:v>13291.38</x:v>
      </x:c>
      <x:c r="I41" t="n">
        <x:v>130046</x:v>
      </x:c>
      <x:c r="J41" t="n">
        <x:v>616</x:v>
      </x:c>
      <x:c r="K41" t="n">
        <x:v>440</x:v>
      </x:c>
      <x:c r="L41" s="27" t="n">
        <x:f>IFERROR(K41/I41,0)</x:f>
        <x:v>0.00338341817510727</x:v>
      </x:c>
      <x:c r="M41" s="28" t="n">
        <x:f>IFERROR(H41/K41,0)</x:f>
        <x:v>30.207681818181815</x:v>
      </x:c>
      <x:c r="N41" s="28" t="n">
        <x:f>IFERROR(H41/I41*1000,0)</x:f>
        <x:v>102.20521969149378</x:v>
      </x:c>
      <x:c r="O41" t="n">
        <x:v>1.079551</x:v>
      </x:c>
      <x:c r="P41" t="n">
        <x:v>5</x:v>
      </x:c>
      <x:c r="Q41" s="28" t="n">
        <x:v>0</x:v>
      </x:c>
      <x:c r="R41" s="28" t="n">
        <x:v>0</x:v>
      </x:c>
    </x:row>
    <x:row r="42">
      <x:c r="A42" t="str">
        <x:v>2026-07-13</x:v>
      </x:c>
      <x:c r="B42" t="str">
        <x:v>170008509278498</x:v>
      </x:c>
      <x:c r="C42" t="str">
        <x:v>Doruk Hospital</x:v>
      </x:c>
      <x:c r="D42" t="str">
        <x:v>120238651325780080</x:v>
      </x:c>
      <x:c r="E42" t="str">
        <x:v>Whatsapp - Fizik Tedavi - Intensive FTR - Arap Bölgesi - Tümü - AR - Doruk İlaj Turkia</x:v>
      </x:c>
      <x:c r="F42" t="str">
        <x:v>OUTCOME_LEADS</x:v>
      </x:c>
      <x:c r="G42" t="n">
        <x:v>86988</x:v>
      </x:c>
      <x:c r="H42" s="28" t="n">
        <x:v>13735.1</x:v>
      </x:c>
      <x:c r="I42" t="n">
        <x:v>98144</x:v>
      </x:c>
      <x:c r="J42" t="n">
        <x:v>424</x:v>
      </x:c>
      <x:c r="K42" t="n">
        <x:v>183</x:v>
      </x:c>
      <x:c r="L42" s="27" t="n">
        <x:f>IFERROR(K42/I42,0)</x:f>
        <x:v>0.001864607107923052</x:v>
      </x:c>
      <x:c r="M42" s="28" t="n">
        <x:f>IFERROR(H42/K42,0)</x:f>
        <x:v>75.0551912568306</x:v>
      </x:c>
      <x:c r="N42" s="28" t="n">
        <x:f>IFERROR(H42/I42*1000,0)</x:f>
        <x:v>139.94844310401044</x:v>
      </x:c>
      <x:c r="O42" t="n">
        <x:v>1.128248</x:v>
      </x:c>
      <x:c r="P42" t="n">
        <x:v>0</x:v>
      </x:c>
      <x:c r="Q42" s="28" t="n">
        <x:v>0</x:v>
      </x:c>
      <x:c r="R42" s="28" t="n">
        <x:v>0</x:v>
      </x:c>
    </x:row>
    <x:row r="43">
      <x:c r="A43" t="str">
        <x:v>2026-07-13</x:v>
      </x:c>
      <x:c r="B43" t="str">
        <x:v>449281783851362</x:v>
      </x:c>
      <x:c r="C43" t="str">
        <x:v>Doruk Hastaneleri - SİNA ÖZEL Sağlık Hizmetleri A.ş</x:v>
      </x:c>
      <x:c r="D43" t="str">
        <x:v>120242415465180399</x:v>
      </x:c>
      <x:c r="E43" t="str">
        <x:v>Gebe-Doğum Form Kampanyası</x:v>
      </x:c>
      <x:c r="F43" t="str">
        <x:v>OUTCOME_LEADS</x:v>
      </x:c>
      <x:c r="G43" t="n">
        <x:v>51044</x:v>
      </x:c>
      <x:c r="H43" s="28" t="n">
        <x:v>7870.08</x:v>
      </x:c>
      <x:c r="I43" t="n">
        <x:v>114393</x:v>
      </x:c>
      <x:c r="J43" t="n">
        <x:v>531</x:v>
      </x:c>
      <x:c r="K43" t="n">
        <x:v>316</x:v>
      </x:c>
      <x:c r="L43" s="27" t="n">
        <x:f>IFERROR(K43/I43,0)</x:f>
        <x:v>0.0027624067906253007</x:v>
      </x:c>
      <x:c r="M43" s="28" t="n">
        <x:f>IFERROR(H43/K43,0)</x:f>
        <x:v>24.9053164556962</x:v>
      </x:c>
      <x:c r="N43" s="28" t="n">
        <x:f>IFERROR(H43/I43*1000,0)</x:f>
        <x:v>68.79861529988723</x:v>
      </x:c>
      <x:c r="O43" t="n">
        <x:v>2.241067</x:v>
      </x:c>
      <x:c r="P43" t="n">
        <x:v>35</x:v>
      </x:c>
      <x:c r="Q43" s="28" t="n">
        <x:v>0</x:v>
      </x:c>
      <x:c r="R43" s="28" t="n">
        <x:v>0</x:v>
      </x:c>
    </x:row>
    <x:row r="44">
      <x:c r="A44" t="str">
        <x:v>2026-07-13</x:v>
      </x:c>
      <x:c r="B44" t="str">
        <x:v>170008509278498</x:v>
      </x:c>
      <x:c r="C44" t="str">
        <x:v>Doruk Hospital</x:v>
      </x:c>
      <x:c r="D44" t="str">
        <x:v>120242709752170080</x:v>
      </x:c>
      <x:c r="E44" t="str">
        <x:v>Instagram gönderisi: Аппарат TrueBeam — одна из...</x:v>
      </x:c>
      <x:c r="F44" t="str">
        <x:v>LINK_CLICKS</x:v>
      </x:c>
      <x:c r="G44" t="n">
        <x:v>58953</x:v>
      </x:c>
      <x:c r="H44" s="28" t="n">
        <x:v>2117.04</x:v>
      </x:c>
      <x:c r="I44" t="n">
        <x:v>62720</x:v>
      </x:c>
      <x:c r="J44" t="n">
        <x:v>759</x:v>
      </x:c>
      <x:c r="K44" t="n">
        <x:v>737</x:v>
      </x:c>
      <x:c r="L44" s="27" t="n">
        <x:f>IFERROR(K44/I44,0)</x:f>
        <x:v>0.011750637755102041</x:v>
      </x:c>
      <x:c r="M44" s="28" t="n">
        <x:f>IFERROR(H44/K44,0)</x:f>
        <x:v>2.872510176390773</x:v>
      </x:c>
      <x:c r="N44" s="28" t="n">
        <x:f>IFERROR(H44/I44*1000,0)</x:f>
        <x:v>33.753826530612244</x:v>
      </x:c>
      <x:c r="O44" t="n">
        <x:v>1.063898</x:v>
      </x:c>
      <x:c r="P44" t="n">
        <x:v>0</x:v>
      </x:c>
      <x:c r="Q44" s="28" t="n">
        <x:v>0</x:v>
      </x:c>
      <x:c r="R44" s="28" t="n">
        <x:v>0</x:v>
      </x:c>
    </x:row>
    <x:row r="45">
      <x:c r="A45" t="str">
        <x:v>2026-07-13</x:v>
      </x:c>
      <x:c r="B45" t="str">
        <x:v>449281783851362</x:v>
      </x:c>
      <x:c r="C45" t="str">
        <x:v>Doruk Hastaneleri - SİNA ÖZEL Sağlık Hizmetleri A.ş</x:v>
      </x:c>
      <x:c r="D45" t="str">
        <x:v>120244050701710399</x:v>
      </x:c>
      <x:c r="E45" t="str">
        <x:v>Uzman Hekim Başvuru</x:v>
      </x:c>
      <x:c r="F45" t="str">
        <x:v>OUTCOME_LEADS</x:v>
      </x:c>
      <x:c r="G45" t="n">
        <x:v>7573</x:v>
      </x:c>
      <x:c r="H45" s="28" t="n">
        <x:v>1032.95</x:v>
      </x:c>
      <x:c r="I45" t="n">
        <x:v>10048</x:v>
      </x:c>
      <x:c r="J45" t="n">
        <x:v>112</x:v>
      </x:c>
      <x:c r="K45" t="n">
        <x:v>56</x:v>
      </x:c>
      <x:c r="L45" s="27" t="n">
        <x:f>IFERROR(K45/I45,0)</x:f>
        <x:v>0.005573248407643312</x:v>
      </x:c>
      <x:c r="M45" s="28" t="n">
        <x:f>IFERROR(H45/K45,0)</x:f>
        <x:v>18.445535714285715</x:v>
      </x:c>
      <x:c r="N45" s="28" t="n">
        <x:f>IFERROR(H45/I45*1000,0)</x:f>
        <x:v>102.80155254777071</x:v>
      </x:c>
      <x:c r="O45" t="n">
        <x:v>1.326819</x:v>
      </x:c>
      <x:c r="P45" t="n">
        <x:v>2</x:v>
      </x:c>
      <x:c r="Q45" s="28" t="n">
        <x:v>0</x:v>
      </x:c>
      <x:c r="R45" s="28" t="n">
        <x:v>0</x:v>
      </x:c>
    </x:row>
    <x:row r="46">
      <x:c r="A46" t="str">
        <x:v>2026-07-13</x:v>
      </x:c>
      <x:c r="B46" t="str">
        <x:v>449281783851362</x:v>
      </x:c>
      <x:c r="C46" t="str">
        <x:v>Doruk Hastaneleri - SİNA ÖZEL Sağlık Hizmetleri A.ş</x:v>
      </x:c>
      <x:c r="D46" t="str">
        <x:v>120246476228800399</x:v>
      </x:c>
      <x:c r="E46" t="str">
        <x:v>FTR Yatılı - lead</x:v>
      </x:c>
      <x:c r="F46" t="str">
        <x:v>OUTCOME_LEADS</x:v>
      </x:c>
      <x:c r="G46" t="n">
        <x:v>43111</x:v>
      </x:c>
      <x:c r="H46" s="28" t="n">
        <x:v>4366.16</x:v>
      </x:c>
      <x:c r="I46" t="n">
        <x:v>50551</x:v>
      </x:c>
      <x:c r="J46" t="n">
        <x:v>378</x:v>
      </x:c>
      <x:c r="K46" t="n">
        <x:v>198</x:v>
      </x:c>
      <x:c r="L46" s="27" t="n">
        <x:f>IFERROR(K46/I46,0)</x:f>
        <x:v>0.003916836462186703</x:v>
      </x:c>
      <x:c r="M46" s="28" t="n">
        <x:f>IFERROR(H46/K46,0)</x:f>
        <x:v>22.05131313131313</x:v>
      </x:c>
      <x:c r="N46" s="28" t="n">
        <x:f>IFERROR(H46/I46*1000,0)</x:f>
        <x:v>86.3713873118237</x:v>
      </x:c>
      <x:c r="O46" t="n">
        <x:v>1.172578</x:v>
      </x:c>
      <x:c r="P46" t="n">
        <x:v>4</x:v>
      </x:c>
      <x:c r="Q46" s="28" t="n">
        <x:v>0</x:v>
      </x:c>
      <x:c r="R46" s="28" t="n">
        <x:v>0</x:v>
      </x:c>
    </x:row>
    <x:row r="47">
      <x:c r="A47" t="str">
        <x:v>2026-07-13</x:v>
      </x:c>
      <x:c r="B47" t="str">
        <x:v>449281783851362</x:v>
      </x:c>
      <x:c r="C47" t="str">
        <x:v>Doruk Hastaneleri - SİNA ÖZEL Sağlık Hizmetleri A.ş</x:v>
      </x:c>
      <x:c r="D47" t="str">
        <x:v>120246691590090399</x:v>
      </x:c>
      <x:c r="E47" t="str">
        <x:v>Hemşire İş Başvuru - lead</x:v>
      </x:c>
      <x:c r="F47" t="str">
        <x:v>OUTCOME_LEADS</x:v>
      </x:c>
      <x:c r="G47" t="n">
        <x:v>14617</x:v>
      </x:c>
      <x:c r="H47" s="28" t="n">
        <x:v>1239.56</x:v>
      </x:c>
      <x:c r="I47" t="n">
        <x:v>23999</x:v>
      </x:c>
      <x:c r="J47" t="n">
        <x:v>133</x:v>
      </x:c>
      <x:c r="K47" t="n">
        <x:v>88</x:v>
      </x:c>
      <x:c r="L47" s="27" t="n">
        <x:f>IFERROR(K47/I47,0)</x:f>
        <x:v>0.0036668194508104506</x:v>
      </x:c>
      <x:c r="M47" s="28" t="n">
        <x:f>IFERROR(H47/K47,0)</x:f>
        <x:v>14.085909090909091</x:v>
      </x:c>
      <x:c r="N47" s="28" t="n">
        <x:f>IFERROR(H47/I47*1000,0)</x:f>
        <x:v>51.6504854368932</x:v>
      </x:c>
      <x:c r="O47" t="n">
        <x:v>1.641855</x:v>
      </x:c>
      <x:c r="P47" t="n">
        <x:v>9</x:v>
      </x:c>
      <x:c r="Q47" s="28" t="n">
        <x:v>0</x:v>
      </x:c>
      <x:c r="R47" s="28" t="n">
        <x:v>0</x:v>
      </x:c>
    </x:row>
    <x:row r="48">
      <x:c r="A48" t="str">
        <x:v>2026-07-13</x:v>
      </x:c>
      <x:c r="B48" t="str">
        <x:v>449281783851362</x:v>
      </x:c>
      <x:c r="C48" t="str">
        <x:v>Doruk Hastaneleri - SİNA ÖZEL Sağlık Hizmetleri A.ş</x:v>
      </x:c>
      <x:c r="D48" t="str">
        <x:v>120246924981440399</x:v>
      </x:c>
      <x:c r="E48" t="str">
        <x:v>ÖSS-TSS - marka bilinirliği</x:v>
      </x:c>
      <x:c r="F48" t="str">
        <x:v>OUTCOME_AWARENESS</x:v>
      </x:c>
      <x:c r="G48" t="n">
        <x:v>132961</x:v>
      </x:c>
      <x:c r="H48" s="28" t="n">
        <x:v>1897.98</x:v>
      </x:c>
      <x:c r="I48" t="n">
        <x:v>139523</x:v>
      </x:c>
      <x:c r="J48" t="n">
        <x:v>134</x:v>
      </x:c>
      <x:c r="K48" t="n">
        <x:v>34</x:v>
      </x:c>
      <x:c r="L48" s="27" t="n">
        <x:f>IFERROR(K48/I48,0)</x:f>
        <x:v>0.0002436874207119973</x:v>
      </x:c>
      <x:c r="M48" s="28" t="n">
        <x:f>IFERROR(H48/K48,0)</x:f>
        <x:v>55.822941176470586</x:v>
      </x:c>
      <x:c r="N48" s="28" t="n">
        <x:f>IFERROR(H48/I48*1000,0)</x:f>
        <x:v>13.603348551851667</x:v>
      </x:c>
      <x:c r="O48" t="n">
        <x:v>1.049353</x:v>
      </x:c>
      <x:c r="P48" t="n">
        <x:v>0</x:v>
      </x:c>
      <x:c r="Q48" s="28" t="n">
        <x:v>0</x:v>
      </x:c>
      <x:c r="R48" s="28" t="n">
        <x:v>0</x:v>
      </x:c>
    </x:row>
    <x:row r="49">
      <x:c r="A49" t="str">
        <x:v>2026-07-13</x:v>
      </x:c>
      <x:c r="B49" t="str">
        <x:v>449281783851362</x:v>
      </x:c>
      <x:c r="C49" t="str">
        <x:v>Doruk Hastaneleri - SİNA ÖZEL Sağlık Hizmetleri A.ş</x:v>
      </x:c>
      <x:c r="D49" t="str">
        <x:v>120247034876600399</x:v>
      </x:c>
      <x:c r="E49" t="str">
        <x:v>Gebe-Doğum Bilinirlik</x:v>
      </x:c>
      <x:c r="F49" t="str">
        <x:v>OUTCOME_AWARENESS</x:v>
      </x:c>
      <x:c r="G49" t="n">
        <x:v>106345</x:v>
      </x:c>
      <x:c r="H49" s="28" t="n">
        <x:v>964.29</x:v>
      </x:c>
      <x:c r="I49" t="n">
        <x:v>106345</x:v>
      </x:c>
      <x:c r="J49" t="n">
        <x:v>104</x:v>
      </x:c>
      <x:c r="K49" t="n">
        <x:v>0</x:v>
      </x:c>
      <x:c r="L49" s="27" t="n">
        <x:f>IFERROR(K49/I49,0)</x:f>
        <x:v>0</x:v>
      </x:c>
      <x:c r="M49" s="28" t="n">
        <x:f>IFERROR(H49/K49,0)</x:f>
        <x:v>0</x:v>
      </x:c>
      <x:c r="N49" s="28" t="n">
        <x:f>IFERROR(H49/I49*1000,0)</x:f>
        <x:v>9.067563120033851</x:v>
      </x:c>
      <x:c r="O49" t="n">
        <x:v>1</x:v>
      </x:c>
      <x:c r="P49" t="n">
        <x:v>0</x:v>
      </x:c>
      <x:c r="Q49" s="28" t="n">
        <x:v>0</x:v>
      </x:c>
      <x:c r="R49" s="28" t="n">
        <x:v>0</x:v>
      </x:c>
    </x:row>
    <x:row r="50">
      <x:c r="A50" t="str">
        <x:v>2026-07-13</x:v>
      </x:c>
      <x:c r="B50" t="str">
        <x:v>449281783851362</x:v>
      </x:c>
      <x:c r="C50" t="str">
        <x:v>Doruk Hastaneleri - SİNA ÖZEL Sağlık Hizmetleri A.ş</x:v>
      </x:c>
      <x:c r="D50" t="str">
        <x:v>120248812698040399</x:v>
      </x:c>
      <x:c r="E50" t="str">
        <x:v>ABO / Medikal Estetik lead / 16.04.2026</x:v>
      </x:c>
      <x:c r="F50" t="str">
        <x:v>OUTCOME_LEADS</x:v>
      </x:c>
      <x:c r="G50" t="n">
        <x:v>17705</x:v>
      </x:c>
      <x:c r="H50" s="28" t="n">
        <x:v>2666.55</x:v>
      </x:c>
      <x:c r="I50" t="n">
        <x:v>23081</x:v>
      </x:c>
      <x:c r="J50" t="n">
        <x:v>210</x:v>
      </x:c>
      <x:c r="K50" t="n">
        <x:v>93</x:v>
      </x:c>
      <x:c r="L50" s="27" t="n">
        <x:f>IFERROR(K50/I50,0)</x:f>
        <x:v>0.004029288159091894</x:v>
      </x:c>
      <x:c r="M50" s="28" t="n">
        <x:f>IFERROR(H50/K50,0)</x:f>
        <x:v>28.672580645161293</x:v>
      </x:c>
      <x:c r="N50" s="28" t="n">
        <x:f>IFERROR(H50/I50*1000,0)</x:f>
        <x:v>115.5300896841558</x:v>
      </x:c>
      <x:c r="O50" t="n">
        <x:v>1.303643</x:v>
      </x:c>
      <x:c r="P50" t="n">
        <x:v>23</x:v>
      </x:c>
      <x:c r="Q50" s="28" t="n">
        <x:v>0</x:v>
      </x:c>
      <x:c r="R50" s="28" t="n">
        <x:v>0</x:v>
      </x:c>
    </x:row>
    <x:row r="51">
      <x:c r="A51" t="str">
        <x:v>2026-07-13</x:v>
      </x:c>
      <x:c r="B51" t="str">
        <x:v>449281783851362</x:v>
      </x:c>
      <x:c r="C51" t="str">
        <x:v>Doruk Hastaneleri - SİNA ÖZEL Sağlık Hizmetleri A.ş</x:v>
      </x:c>
      <x:c r="D51" t="str">
        <x:v>120249061996540399</x:v>
      </x:c>
      <x:c r="E51" t="str">
        <x:v>Doktor - Bilinirlik Kampanyası - Nilüfer</x:v>
      </x:c>
      <x:c r="F51" t="str">
        <x:v>OUTCOME_AWARENESS</x:v>
      </x:c>
      <x:c r="G51" t="n">
        <x:v>491054</x:v>
      </x:c>
      <x:c r="H51" s="28" t="n">
        <x:v>5036.82</x:v>
      </x:c>
      <x:c r="I51" t="n">
        <x:v>595264</x:v>
      </x:c>
      <x:c r="J51" t="n">
        <x:v>342</x:v>
      </x:c>
      <x:c r="K51" t="n">
        <x:v>0</x:v>
      </x:c>
      <x:c r="L51" s="27" t="n">
        <x:f>IFERROR(K51/I51,0)</x:f>
        <x:v>0</x:v>
      </x:c>
      <x:c r="M51" s="28" t="n">
        <x:f>IFERROR(H51/K51,0)</x:f>
        <x:v>0</x:v>
      </x:c>
      <x:c r="N51" s="28" t="n">
        <x:f>IFERROR(H51/I51*1000,0)</x:f>
        <x:v>8.461489355983227</x:v>
      </x:c>
      <x:c r="O51" t="n">
        <x:v>1.212217</x:v>
      </x:c>
      <x:c r="P51" t="n">
        <x:v>0</x:v>
      </x:c>
      <x:c r="Q51" s="28" t="n">
        <x:v>0</x:v>
      </x:c>
      <x:c r="R51" s="28" t="n">
        <x:v>0</x:v>
      </x:c>
    </x:row>
    <x:row r="52">
      <x:c r="A52" t="str">
        <x:v>2026-07-13</x:v>
      </x:c>
      <x:c r="B52" t="str">
        <x:v>449281783851362</x:v>
      </x:c>
      <x:c r="C52" t="str">
        <x:v>Doruk Hastaneleri - SİNA ÖZEL Sağlık Hizmetleri A.ş</x:v>
      </x:c>
      <x:c r="D52" t="str">
        <x:v>120249614228610399</x:v>
      </x:c>
      <x:c r="E52" t="str">
        <x:v>Instagram gönderisi: Bir sezon boyunca ortaya...</x:v>
      </x:c>
      <x:c r="F52" t="str">
        <x:v>LINK_CLICKS</x:v>
      </x:c>
      <x:c r="G52" t="n">
        <x:v>55744</x:v>
      </x:c>
      <x:c r="H52" s="28" t="n">
        <x:v>3192.47</x:v>
      </x:c>
      <x:c r="I52" t="n">
        <x:v>63360</x:v>
      </x:c>
      <x:c r="J52" t="n">
        <x:v>700</x:v>
      </x:c>
      <x:c r="K52" t="n">
        <x:v>714</x:v>
      </x:c>
      <x:c r="L52" s="27" t="n">
        <x:f>IFERROR(K52/I52,0)</x:f>
        <x:v>0.011268939393939394</x:v>
      </x:c>
      <x:c r="M52" s="28" t="n">
        <x:f>IFERROR(H52/K52,0)</x:f>
        <x:v>4.47124649859944</x:v>
      </x:c>
      <x:c r="N52" s="28" t="n">
        <x:f>IFERROR(H52/I52*1000,0)</x:f>
        <x:v>50.38620580808081</x:v>
      </x:c>
      <x:c r="O52" t="n">
        <x:v>1.136625</x:v>
      </x:c>
      <x:c r="P52" t="n">
        <x:v>0</x:v>
      </x:c>
      <x:c r="Q52" s="28" t="n">
        <x:v>0</x:v>
      </x:c>
      <x:c r="R52" s="28" t="n">
        <x:v>0</x:v>
      </x:c>
    </x:row>
    <x:row r="53">
      <x:c r="A53" t="str">
        <x:v>2026-07-13</x:v>
      </x:c>
      <x:c r="B53" t="str">
        <x:v>449281783851362</x:v>
      </x:c>
      <x:c r="C53" t="str">
        <x:v>Doruk Hastaneleri - SİNA ÖZEL Sağlık Hizmetleri A.ş</x:v>
      </x:c>
      <x:c r="D53" t="str">
        <x:v>120251414264130399</x:v>
      </x:c>
      <x:c r="E53" t="str">
        <x:v>Prostat Checkup - lead</x:v>
      </x:c>
      <x:c r="F53" t="str">
        <x:v>OUTCOME_LEADS</x:v>
      </x:c>
      <x:c r="G53" t="n">
        <x:v>4329</x:v>
      </x:c>
      <x:c r="H53" s="28" t="n">
        <x:v>452.09</x:v>
      </x:c>
      <x:c r="I53" t="n">
        <x:v>5688</x:v>
      </x:c>
      <x:c r="J53" t="n">
        <x:v>120</x:v>
      </x:c>
      <x:c r="K53" t="n">
        <x:v>63</x:v>
      </x:c>
      <x:c r="L53" s="27" t="n">
        <x:f>IFERROR(K53/I53,0)</x:f>
        <x:v>0.011075949367088608</x:v>
      </x:c>
      <x:c r="M53" s="28" t="n">
        <x:f>IFERROR(H53/K53,0)</x:f>
        <x:v>7.176031746031746</x:v>
      </x:c>
      <x:c r="N53" s="28" t="n">
        <x:f>IFERROR(H53/I53*1000,0)</x:f>
        <x:v>79.48136427566807</x:v>
      </x:c>
      <x:c r="O53" t="n">
        <x:v>1.313929</x:v>
      </x:c>
      <x:c r="P53" t="n">
        <x:v>3</x:v>
      </x:c>
      <x:c r="Q53" s="28" t="n">
        <x:v>0</x:v>
      </x:c>
      <x:c r="R53" s="28" t="n">
        <x:v>0</x:v>
      </x:c>
    </x:row>
    <x:row r="54">
      <x:c r="A54" t="str">
        <x:v>2026-07-13</x:v>
      </x:c>
      <x:c r="B54" t="str">
        <x:v>449281783851362</x:v>
      </x:c>
      <x:c r="C54" t="str">
        <x:v>Doruk Hastaneleri - SİNA ÖZEL Sağlık Hizmetleri A.ş</x:v>
      </x:c>
      <x:c r="D54" t="str">
        <x:v>120252323141170399</x:v>
      </x:c>
      <x:c r="E54" t="str">
        <x:v>Instagram gönderisi: Medikal estetik alanındaki...</x:v>
      </x:c>
      <x:c r="F54" t="str">
        <x:v>LINK_CLICKS</x:v>
      </x:c>
      <x:c r="G54" t="n">
        <x:v>7483</x:v>
      </x:c>
      <x:c r="H54" s="28" t="n">
        <x:v>397.66</x:v>
      </x:c>
      <x:c r="I54" t="n">
        <x:v>7942</x:v>
      </x:c>
      <x:c r="J54" t="n">
        <x:v>98</x:v>
      </x:c>
      <x:c r="K54" t="n">
        <x:v>100</x:v>
      </x:c>
      <x:c r="L54" s="27" t="n">
        <x:f>IFERROR(K54/I54,0)</x:f>
        <x:v>0.012591286829513977</x:v>
      </x:c>
      <x:c r="M54" s="28" t="n">
        <x:f>IFERROR(H54/K54,0)</x:f>
        <x:v>3.9766000000000004</x:v>
      </x:c>
      <x:c r="N54" s="28" t="n">
        <x:f>IFERROR(H54/I54*1000,0)</x:f>
        <x:v>50.070511206245286</x:v>
      </x:c>
      <x:c r="O54" t="n">
        <x:v>1.061339</x:v>
      </x:c>
      <x:c r="P54" t="n">
        <x:v>0</x:v>
      </x:c>
      <x:c r="Q54" s="28" t="n">
        <x:v>0</x:v>
      </x:c>
      <x:c r="R54" s="28" t="n">
        <x:v>0</x:v>
      </x:c>
    </x:row>
    <x:row r="55">
      <x:c r="A55" t="str">
        <x:v>2026-07-13</x:v>
      </x:c>
      <x:c r="B55" t="str">
        <x:v>449281783851362</x:v>
      </x:c>
      <x:c r="C55" t="str">
        <x:v>Doruk Hastaneleri - SİNA ÖZEL Sağlık Hizmetleri A.ş</x:v>
      </x:c>
      <x:c r="D55" t="str">
        <x:v>120254956478750399</x:v>
      </x:c>
      <x:c r="E55" t="str">
        <x:v>Instagram gönderisi: 👨‍⚕️ Jinekomasti Ameliyatı...</x:v>
      </x:c>
      <x:c r="F55" t="str">
        <x:v>LINK_CLICKS</x:v>
      </x:c>
      <x:c r="G55" t="n">
        <x:v>42542</x:v>
      </x:c>
      <x:c r="H55" s="28" t="n">
        <x:v>1542.27</x:v>
      </x:c>
      <x:c r="I55" t="n">
        <x:v>46881</x:v>
      </x:c>
      <x:c r="J55" t="n">
        <x:v>1419</x:v>
      </x:c>
      <x:c r="K55" t="n">
        <x:v>1564</x:v>
      </x:c>
      <x:c r="L55" s="27" t="n">
        <x:f>IFERROR(K55/I55,0)</x:f>
        <x:v>0.03336106311725433</x:v>
      </x:c>
      <x:c r="M55" s="28" t="n">
        <x:f>IFERROR(H55/K55,0)</x:f>
        <x:v>0.9861061381074169</x:v>
      </x:c>
      <x:c r="N55" s="28" t="n">
        <x:f>IFERROR(H55/I55*1000,0)</x:f>
        <x:v>32.897549113713445</x:v>
      </x:c>
      <x:c r="O55" t="n">
        <x:v>1.101993</x:v>
      </x:c>
      <x:c r="P55" t="n">
        <x:v>0</x:v>
      </x:c>
      <x:c r="Q55" s="28" t="n">
        <x:v>0</x:v>
      </x:c>
      <x:c r="R55" s="28" t="n">
        <x:v>0</x:v>
      </x:c>
    </x:row>
    <x:row r="56">
      <x:c r="A56" t="str">
        <x:v>2026-07-13</x:v>
      </x:c>
      <x:c r="B56" t="str">
        <x:v>449281783851362</x:v>
      </x:c>
      <x:c r="C56" t="str">
        <x:v>Doruk Hastaneleri - SİNA ÖZEL Sağlık Hizmetleri A.ş</x:v>
      </x:c>
      <x:c r="D56" t="str">
        <x:v>120254956634040399</x:v>
      </x:c>
      <x:c r="E56" t="str">
        <x:v>Instagram gönderisi: Yüz bölgesine yapılan...</x:v>
      </x:c>
      <x:c r="F56" t="str">
        <x:v>LINK_CLICKS</x:v>
      </x:c>
      <x:c r="G56" t="n">
        <x:v>5972</x:v>
      </x:c>
      <x:c r="H56" s="28" t="n">
        <x:v>758.11</x:v>
      </x:c>
      <x:c r="I56" t="n">
        <x:v>6371</x:v>
      </x:c>
      <x:c r="J56" t="n">
        <x:v>165</x:v>
      </x:c>
      <x:c r="K56" t="n">
        <x:v>165</x:v>
      </x:c>
      <x:c r="L56" s="27" t="n">
        <x:f>IFERROR(K56/I56,0)</x:f>
        <x:v>0.025898603045047874</x:v>
      </x:c>
      <x:c r="M56" s="28" t="n">
        <x:f>IFERROR(H56/K56,0)</x:f>
        <x:v>4.59460606060606</x:v>
      </x:c>
      <x:c r="N56" s="28" t="n">
        <x:f>IFERROR(H56/I56*1000,0)</x:f>
        <x:v>118.99387851200753</x:v>
      </x:c>
      <x:c r="O56" t="n">
        <x:v>1.066812</x:v>
      </x:c>
      <x:c r="P56" t="n">
        <x:v>0</x:v>
      </x:c>
      <x:c r="Q56" s="28" t="n">
        <x:v>0</x:v>
      </x:c>
      <x:c r="R56" s="28" t="n">
        <x:v>0</x:v>
      </x:c>
    </x:row>
    <x:row r="57">
      <x:c r="A57" t="str">
        <x:v>2026-07-13</x:v>
      </x:c>
      <x:c r="B57" t="str">
        <x:v>449281783851362</x:v>
      </x:c>
      <x:c r="C57" t="str">
        <x:v>Doruk Hastaneleri - SİNA ÖZEL Sağlık Hizmetleri A.ş</x:v>
      </x:c>
      <x:c r="D57" t="str">
        <x:v>120254956751670399</x:v>
      </x:c>
      <x:c r="E57" t="str">
        <x:v>Instagram gönderisi: Kilo verirken yüzünüzde...</x:v>
      </x:c>
      <x:c r="F57" t="str">
        <x:v>LINK_CLICKS</x:v>
      </x:c>
      <x:c r="G57" t="n">
        <x:v>10153</x:v>
      </x:c>
      <x:c r="H57" s="28" t="n">
        <x:v>775.68</x:v>
      </x:c>
      <x:c r="I57" t="n">
        <x:v>10561</x:v>
      </x:c>
      <x:c r="J57" t="n">
        <x:v>168</x:v>
      </x:c>
      <x:c r="K57" t="n">
        <x:v>165</x:v>
      </x:c>
      <x:c r="L57" s="27" t="n">
        <x:f>IFERROR(K57/I57,0)</x:f>
        <x:v>0.015623520499952656</x:v>
      </x:c>
      <x:c r="M57" s="28" t="n">
        <x:f>IFERROR(H57/K57,0)</x:f>
        <x:v>4.701090909090909</x:v>
      </x:c>
      <x:c r="N57" s="28" t="n">
        <x:f>IFERROR(H57/I57*1000,0)</x:f>
        <x:v>73.44759019032287</x:v>
      </x:c>
      <x:c r="O57" t="n">
        <x:v>1.040185</x:v>
      </x:c>
      <x:c r="P57" t="n">
        <x:v>0</x:v>
      </x:c>
      <x:c r="Q57" s="28" t="n">
        <x:v>0</x:v>
      </x:c>
      <x:c r="R57" s="28" t="n">
        <x:v>0</x:v>
      </x:c>
    </x:row>
    <x:row r="58">
      <x:c r="A58" t="str">
        <x:v>2026-07-13</x:v>
      </x:c>
      <x:c r="B58" t="str">
        <x:v>449281783851362</x:v>
      </x:c>
      <x:c r="C58" t="str">
        <x:v>Doruk Hastaneleri - SİNA ÖZEL Sağlık Hizmetleri A.ş</x:v>
      </x:c>
      <x:c r="D58" t="str">
        <x:v>120254956820270399</x:v>
      </x:c>
      <x:c r="E58" t="str">
        <x:v>Instagram gönderisi: Jinekomasti her zaman...</x:v>
      </x:c>
      <x:c r="F58" t="str">
        <x:v>LINK_CLICKS</x:v>
      </x:c>
      <x:c r="G58" t="n">
        <x:v>8442</x:v>
      </x:c>
      <x:c r="H58" s="28" t="n">
        <x:v>780.14</x:v>
      </x:c>
      <x:c r="I58" t="n">
        <x:v>9303</x:v>
      </x:c>
      <x:c r="J58" t="n">
        <x:v>117</x:v>
      </x:c>
      <x:c r="K58" t="n">
        <x:v>117</x:v>
      </x:c>
      <x:c r="L58" s="27" t="n">
        <x:f>IFERROR(K58/I58,0)</x:f>
        <x:v>0.012576588197355692</x:v>
      </x:c>
      <x:c r="M58" s="28" t="n">
        <x:f>IFERROR(H58/K58,0)</x:f>
        <x:v>6.667863247863248</x:v>
      </x:c>
      <x:c r="N58" s="28" t="n">
        <x:f>IFERROR(H58/I58*1000,0)</x:f>
        <x:v>83.85897022465872</x:v>
      </x:c>
      <x:c r="O58" t="n">
        <x:v>1.10199</x:v>
      </x:c>
      <x:c r="P58" t="n">
        <x:v>0</x:v>
      </x:c>
      <x:c r="Q58" s="28" t="n">
        <x:v>0</x:v>
      </x:c>
      <x:c r="R58" s="28" t="n">
        <x:v>0</x:v>
      </x:c>
    </x:row>
    <x:row r="59">
      <x:c r="A59" t="str">
        <x:v>2026-07-13</x:v>
      </x:c>
      <x:c r="B59" t="str">
        <x:v>449281783851362</x:v>
      </x:c>
      <x:c r="C59" t="str">
        <x:v>Doruk Hastaneleri - SİNA ÖZEL Sağlık Hizmetleri A.ş</x:v>
      </x:c>
      <x:c r="D59" t="str">
        <x:v>120254956881500399</x:v>
      </x:c>
      <x:c r="E59" t="str">
        <x:v>Instagram gönderisi: Kulak görünümünüz nedeniyle...</x:v>
      </x:c>
      <x:c r="F59" t="str">
        <x:v>LINK_CLICKS</x:v>
      </x:c>
      <x:c r="G59" t="n">
        <x:v>17715</x:v>
      </x:c>
      <x:c r="H59" s="28" t="n">
        <x:v>770.24</x:v>
      </x:c>
      <x:c r="I59" t="n">
        <x:v>18785</x:v>
      </x:c>
      <x:c r="J59" t="n">
        <x:v>135</x:v>
      </x:c>
      <x:c r="K59" t="n">
        <x:v>136</x:v>
      </x:c>
      <x:c r="L59" s="27" t="n">
        <x:f>IFERROR(K59/I59,0)</x:f>
        <x:v>0.007239819004524887</x:v>
      </x:c>
      <x:c r="M59" s="28" t="n">
        <x:f>IFERROR(H59/K59,0)</x:f>
        <x:v>5.663529411764706</x:v>
      </x:c>
      <x:c r="N59" s="28" t="n">
        <x:f>IFERROR(H59/I59*1000,0)</x:f>
        <x:v>41.00292786797977</x:v>
      </x:c>
      <x:c r="O59" t="n">
        <x:v>1.060401</x:v>
      </x:c>
      <x:c r="P59" t="n">
        <x:v>0</x:v>
      </x:c>
      <x:c r="Q59" s="28" t="n">
        <x:v>0</x:v>
      </x:c>
      <x:c r="R59" s="28" t="n">
        <x:v>0</x:v>
      </x:c>
    </x:row>
    <x:row r="60">
      <x:c r="A60" t="str">
        <x:v>2026-07-13</x:v>
      </x:c>
      <x:c r="B60" t="str">
        <x:v>449281783851362</x:v>
      </x:c>
      <x:c r="C60" t="str">
        <x:v>Doruk Hastaneleri - SİNA ÖZEL Sağlık Hizmetleri A.ş</x:v>
      </x:c>
      <x:c r="D60" t="str">
        <x:v>120255099624540399</x:v>
      </x:c>
      <x:c r="E60" t="str">
        <x:v>Instagram gönderisi: Doruk Sağlık Grubu olarak,...</x:v>
      </x:c>
      <x:c r="F60" t="str">
        <x:v>LINK_CLICKS</x:v>
      </x:c>
      <x:c r="G60" t="n">
        <x:v>31356</x:v>
      </x:c>
      <x:c r="H60" s="28" t="n">
        <x:v>2663.78</x:v>
      </x:c>
      <x:c r="I60" t="n">
        <x:v>34389</x:v>
      </x:c>
      <x:c r="J60" t="n">
        <x:v>653</x:v>
      </x:c>
      <x:c r="K60" t="n">
        <x:v>652</x:v>
      </x:c>
      <x:c r="L60" s="27" t="n">
        <x:f>IFERROR(K60/I60,0)</x:f>
        <x:v>0.01895955101922126</x:v>
      </x:c>
      <x:c r="M60" s="28" t="n">
        <x:f>IFERROR(H60/K60,0)</x:f>
        <x:v>4.085552147239264</x:v>
      </x:c>
      <x:c r="N60" s="28" t="n">
        <x:f>IFERROR(H60/I60*1000,0)</x:f>
        <x:v>77.46023437727182</x:v>
      </x:c>
      <x:c r="O60" t="n">
        <x:v>1.096728</x:v>
      </x:c>
      <x:c r="P60" t="n">
        <x:v>0</x:v>
      </x:c>
      <x:c r="Q60" s="28" t="n">
        <x:v>0</x:v>
      </x:c>
      <x:c r="R60" s="28" t="n">
        <x:v>0</x:v>
      </x:c>
    </x:row>
    <x:row r="61">
      <x:c r="A61" t="str">
        <x:v>2026-07-13</x:v>
      </x:c>
      <x:c r="B61" t="str">
        <x:v>449281783851362</x:v>
      </x:c>
      <x:c r="C61" t="str">
        <x:v>Doruk Hastaneleri - SİNA ÖZEL Sağlık Hizmetleri A.ş</x:v>
      </x:c>
      <x:c r="D61" t="str">
        <x:v>120255158812950399</x:v>
      </x:c>
      <x:c r="E61" t="str">
        <x:v>Doktor - Bilinirlik Kampanyası - Yıldırım</x:v>
      </x:c>
      <x:c r="F61" t="str">
        <x:v>OUTCOME_AWARENESS</x:v>
      </x:c>
      <x:c r="G61" t="n">
        <x:v>163731</x:v>
      </x:c>
      <x:c r="H61" s="28" t="n">
        <x:v>1494.73</x:v>
      </x:c>
      <x:c r="I61" t="n">
        <x:v>178032</x:v>
      </x:c>
      <x:c r="J61" t="n">
        <x:v>101</x:v>
      </x:c>
      <x:c r="K61" t="n">
        <x:v>0</x:v>
      </x:c>
      <x:c r="L61" s="27" t="n">
        <x:f>IFERROR(K61/I61,0)</x:f>
        <x:v>0</x:v>
      </x:c>
      <x:c r="M61" s="28" t="n">
        <x:f>IFERROR(H61/K61,0)</x:f>
        <x:v>0</x:v>
      </x:c>
      <x:c r="N61" s="28" t="n">
        <x:f>IFERROR(H61/I61*1000,0)</x:f>
        <x:v>8.395850184236542</x:v>
      </x:c>
      <x:c r="O61" t="n">
        <x:v>1.087344</x:v>
      </x:c>
      <x:c r="P61" t="n">
        <x:v>0</x:v>
      </x:c>
      <x:c r="Q61" s="28" t="n">
        <x:v>0</x:v>
      </x:c>
      <x:c r="R61" s="28" t="n">
        <x:v>0</x:v>
      </x:c>
    </x:row>
    <x:row r="62">
      <x:c r="A62" t="str">
        <x:v>2026-07-14</x:v>
      </x:c>
      <x:c r="B62" t="str">
        <x:v>449281783851362</x:v>
      </x:c>
      <x:c r="C62" t="str">
        <x:v>Doruk Hastaneleri - SİNA ÖZEL Sağlık Hizmetleri A.ş</x:v>
      </x:c>
      <x:c r="D62" t="str">
        <x:v>120202624613730399</x:v>
      </x:c>
      <x:c r="E62" t="str">
        <x:v>CBO / Saç Ekimi - lead / soğuk</x:v>
      </x:c>
      <x:c r="F62" t="str">
        <x:v>OUTCOME_LEADS</x:v>
      </x:c>
      <x:c r="G62" t="n">
        <x:v>1591</x:v>
      </x:c>
      <x:c r="H62" s="28" t="n">
        <x:v>270.32</x:v>
      </x:c>
      <x:c r="I62" t="n">
        <x:v>2108</x:v>
      </x:c>
      <x:c r="J62" t="n">
        <x:v>11</x:v>
      </x:c>
      <x:c r="K62" t="n">
        <x:v>6</x:v>
      </x:c>
      <x:c r="L62" s="27" t="n">
        <x:f>IFERROR(K62/I62,0)</x:f>
        <x:v>0.0028462998102466793</x:v>
      </x:c>
      <x:c r="M62" s="28" t="n">
        <x:f>IFERROR(H62/K62,0)</x:f>
        <x:v>45.053333333333335</x:v>
      </x:c>
      <x:c r="N62" s="28" t="n">
        <x:f>IFERROR(H62/I62*1000,0)</x:f>
        <x:v>128.23529411764707</x:v>
      </x:c>
      <x:c r="O62" t="n">
        <x:v>1.324953</x:v>
      </x:c>
      <x:c r="P62" t="n">
        <x:v>1</x:v>
      </x:c>
      <x:c r="Q62" s="28" t="n">
        <x:v>0</x:v>
      </x:c>
      <x:c r="R62" s="28" t="n">
        <x:v>0</x:v>
      </x:c>
    </x:row>
    <x:row r="63">
      <x:c r="A63" t="str">
        <x:v>2026-07-14</x:v>
      </x:c>
      <x:c r="B63" t="str">
        <x:v>449281783851362</x:v>
      </x:c>
      <x:c r="C63" t="str">
        <x:v>Doruk Hastaneleri - SİNA ÖZEL Sağlık Hizmetleri A.ş</x:v>
      </x:c>
      <x:c r="D63" t="str">
        <x:v>120211731920800399</x:v>
      </x:c>
      <x:c r="E63" t="str">
        <x:v>ABO / Göz Kapağı Estetiği / plastik cerrahi / lead</x:v>
      </x:c>
      <x:c r="F63" t="str">
        <x:v>OUTCOME_LEADS</x:v>
      </x:c>
      <x:c r="G63" t="n">
        <x:v>571</x:v>
      </x:c>
      <x:c r="H63" s="28" t="n">
        <x:v>63.84</x:v>
      </x:c>
      <x:c r="I63" t="n">
        <x:v>630</x:v>
      </x:c>
      <x:c r="J63" t="n">
        <x:v>3</x:v>
      </x:c>
      <x:c r="K63" t="n">
        <x:v>1</x:v>
      </x:c>
      <x:c r="L63" s="27" t="n">
        <x:f>IFERROR(K63/I63,0)</x:f>
        <x:v>0.0015873015873015873</x:v>
      </x:c>
      <x:c r="M63" s="28" t="n">
        <x:f>IFERROR(H63/K63,0)</x:f>
        <x:v>63.84</x:v>
      </x:c>
      <x:c r="N63" s="28" t="n">
        <x:f>IFERROR(H63/I63*1000,0)</x:f>
        <x:v>101.33333333333334</x:v>
      </x:c>
      <x:c r="O63" t="n">
        <x:v>1.103328</x:v>
      </x:c>
      <x:c r="P63" t="n">
        <x:v>0</x:v>
      </x:c>
      <x:c r="Q63" s="28" t="n">
        <x:v>0</x:v>
      </x:c>
      <x:c r="R63" s="28" t="n">
        <x:v>0</x:v>
      </x:c>
    </x:row>
    <x:row r="64">
      <x:c r="A64" t="str">
        <x:v>2026-07-14</x:v>
      </x:c>
      <x:c r="B64" t="str">
        <x:v>449281783851362</x:v>
      </x:c>
      <x:c r="C64" t="str">
        <x:v>Doruk Hastaneleri - SİNA ÖZEL Sağlık Hizmetleri A.ş</x:v>
      </x:c>
      <x:c r="D64" t="str">
        <x:v>120211732243050399</x:v>
      </x:c>
      <x:c r="E64" t="str">
        <x:v>ABO /Kepçe Kulak / plastik cerrahi / lead</x:v>
      </x:c>
      <x:c r="F64" t="str">
        <x:v>OUTCOME_LEADS</x:v>
      </x:c>
      <x:c r="G64" t="n">
        <x:v>3402</x:v>
      </x:c>
      <x:c r="H64" s="28" t="n">
        <x:v>140.77</x:v>
      </x:c>
      <x:c r="I64" t="n">
        <x:v>3505</x:v>
      </x:c>
      <x:c r="J64" t="n">
        <x:v>21</x:v>
      </x:c>
      <x:c r="K64" t="n">
        <x:v>13</x:v>
      </x:c>
      <x:c r="L64" s="27" t="n">
        <x:f>IFERROR(K64/I64,0)</x:f>
        <x:v>0.003708987161198288</x:v>
      </x:c>
      <x:c r="M64" s="28" t="n">
        <x:f>IFERROR(H64/K64,0)</x:f>
        <x:v>10.82846153846154</x:v>
      </x:c>
      <x:c r="N64" s="28" t="n">
        <x:f>IFERROR(H64/I64*1000,0)</x:f>
        <x:v>40.16262482168331</x:v>
      </x:c>
      <x:c r="O64" t="n">
        <x:v>1.030276</x:v>
      </x:c>
      <x:c r="P64" t="n">
        <x:v>4</x:v>
      </x:c>
      <x:c r="Q64" s="28" t="n">
        <x:v>0</x:v>
      </x:c>
      <x:c r="R64" s="28" t="n">
        <x:v>0</x:v>
      </x:c>
    </x:row>
    <x:row r="65">
      <x:c r="A65" t="str">
        <x:v>2026-07-14</x:v>
      </x:c>
      <x:c r="B65" t="str">
        <x:v>449281783851362</x:v>
      </x:c>
      <x:c r="C65" t="str">
        <x:v>Doruk Hastaneleri - SİNA ÖZEL Sağlık Hizmetleri A.ş</x:v>
      </x:c>
      <x:c r="D65" t="str">
        <x:v>120211732311210399</x:v>
      </x:c>
      <x:c r="E65" t="str">
        <x:v>ABO / Meme Estetiği / plastik cerrahi / lead</x:v>
      </x:c>
      <x:c r="F65" t="str">
        <x:v>OUTCOME_LEADS</x:v>
      </x:c>
      <x:c r="G65" t="n">
        <x:v>2152</x:v>
      </x:c>
      <x:c r="H65" s="28" t="n">
        <x:v>318.56</x:v>
      </x:c>
      <x:c r="I65" t="n">
        <x:v>2543</x:v>
      </x:c>
      <x:c r="J65" t="n">
        <x:v>21</x:v>
      </x:c>
      <x:c r="K65" t="n">
        <x:v>9</x:v>
      </x:c>
      <x:c r="L65" s="27" t="n">
        <x:f>IFERROR(K65/I65,0)</x:f>
        <x:v>0.003539127015336217</x:v>
      </x:c>
      <x:c r="M65" s="28" t="n">
        <x:f>IFERROR(H65/K65,0)</x:f>
        <x:v>35.39555555555555</x:v>
      </x:c>
      <x:c r="N65" s="28" t="n">
        <x:f>IFERROR(H65/I65*1000,0)</x:f>
        <x:v>125.26936688950057</x:v>
      </x:c>
      <x:c r="O65" t="n">
        <x:v>1.181691</x:v>
      </x:c>
      <x:c r="P65" t="n">
        <x:v>1</x:v>
      </x:c>
      <x:c r="Q65" s="28" t="n">
        <x:v>0</x:v>
      </x:c>
      <x:c r="R65" s="28" t="n">
        <x:v>0</x:v>
      </x:c>
    </x:row>
    <x:row r="66">
      <x:c r="A66" t="str">
        <x:v>2026-07-14</x:v>
      </x:c>
      <x:c r="B66" t="str">
        <x:v>449281783851362</x:v>
      </x:c>
      <x:c r="C66" t="str">
        <x:v>Doruk Hastaneleri - SİNA ÖZEL Sağlık Hizmetleri A.ş</x:v>
      </x:c>
      <x:c r="D66" t="str">
        <x:v>120211732618490399</x:v>
      </x:c>
      <x:c r="E66" t="str">
        <x:v>ABO /Jinekomasti / plastik cerrahi / lead</x:v>
      </x:c>
      <x:c r="F66" t="str">
        <x:v>OUTCOME_LEADS</x:v>
      </x:c>
      <x:c r="G66" t="n">
        <x:v>662</x:v>
      </x:c>
      <x:c r="H66" s="28" t="n">
        <x:v>57.97</x:v>
      </x:c>
      <x:c r="I66" t="n">
        <x:v>739</x:v>
      </x:c>
      <x:c r="J66" t="n">
        <x:v>3</x:v>
      </x:c>
      <x:c r="K66" t="n">
        <x:v>3</x:v>
      </x:c>
      <x:c r="L66" s="27" t="n">
        <x:f>IFERROR(K66/I66,0)</x:f>
        <x:v>0.0040595399188092015</x:v>
      </x:c>
      <x:c r="M66" s="28" t="n">
        <x:f>IFERROR(H66/K66,0)</x:f>
        <x:v>19.323333333333334</x:v>
      </x:c>
      <x:c r="N66" s="28" t="n">
        <x:f>IFERROR(H66/I66*1000,0)</x:f>
        <x:v>78.44384303112314</x:v>
      </x:c>
      <x:c r="O66" t="n">
        <x:v>1.116314</x:v>
      </x:c>
      <x:c r="P66" t="n">
        <x:v>0</x:v>
      </x:c>
      <x:c r="Q66" s="28" t="n">
        <x:v>0</x:v>
      </x:c>
      <x:c r="R66" s="28" t="n">
        <x:v>0</x:v>
      </x:c>
    </x:row>
    <x:row r="67">
      <x:c r="A67" t="str">
        <x:v>2026-07-14</x:v>
      </x:c>
      <x:c r="B67" t="str">
        <x:v>449281783851362</x:v>
      </x:c>
      <x:c r="C67" t="str">
        <x:v>Doruk Hastaneleri - SİNA ÖZEL Sağlık Hizmetleri A.ş</x:v>
      </x:c>
      <x:c r="D67" t="str">
        <x:v>120211732654260399</x:v>
      </x:c>
      <x:c r="E67" t="str">
        <x:v>ABO / Rinoplasti / plastik cerrahi / lead</x:v>
      </x:c>
      <x:c r="F67" t="str">
        <x:v>OUTCOME_LEADS</x:v>
      </x:c>
      <x:c r="G67" t="n">
        <x:v>1531</x:v>
      </x:c>
      <x:c r="H67" s="28" t="n">
        <x:v>215.8</x:v>
      </x:c>
      <x:c r="I67" t="n">
        <x:v>1761</x:v>
      </x:c>
      <x:c r="J67" t="n">
        <x:v>13</x:v>
      </x:c>
      <x:c r="K67" t="n">
        <x:v>8</x:v>
      </x:c>
      <x:c r="L67" s="27" t="n">
        <x:f>IFERROR(K67/I67,0)</x:f>
        <x:v>0.004542873367404884</x:v>
      </x:c>
      <x:c r="M67" s="28" t="n">
        <x:f>IFERROR(H67/K67,0)</x:f>
        <x:v>26.975</x:v>
      </x:c>
      <x:c r="N67" s="28" t="n">
        <x:f>IFERROR(H67/I67*1000,0)</x:f>
        <x:v>122.54400908574674</x:v>
      </x:c>
      <x:c r="O67" t="n">
        <x:v>1.150229</x:v>
      </x:c>
      <x:c r="P67" t="n">
        <x:v>0</x:v>
      </x:c>
      <x:c r="Q67" s="28" t="n">
        <x:v>0</x:v>
      </x:c>
      <x:c r="R67" s="28" t="n">
        <x:v>0</x:v>
      </x:c>
    </x:row>
    <x:row r="68">
      <x:c r="A68" t="str">
        <x:v>2026-07-14</x:v>
      </x:c>
      <x:c r="B68" t="str">
        <x:v>449281783851362</x:v>
      </x:c>
      <x:c r="C68" t="str">
        <x:v>Doruk Hastaneleri - SİNA ÖZEL Sağlık Hizmetleri A.ş</x:v>
      </x:c>
      <x:c r="D68" t="str">
        <x:v>120211732712890399</x:v>
      </x:c>
      <x:c r="E68" t="str">
        <x:v>ABO / Vücut Şekillendirme / plastik cerrahi / lead</x:v>
      </x:c>
      <x:c r="F68" t="str">
        <x:v>OUTCOME_LEADS</x:v>
      </x:c>
      <x:c r="G68" t="n">
        <x:v>281</x:v>
      </x:c>
      <x:c r="H68" s="28" t="n">
        <x:v>73.8</x:v>
      </x:c>
      <x:c r="I68" t="n">
        <x:v>327</x:v>
      </x:c>
      <x:c r="J68" t="n">
        <x:v>2</x:v>
      </x:c>
      <x:c r="K68" t="n">
        <x:v>1</x:v>
      </x:c>
      <x:c r="L68" s="27" t="n">
        <x:f>IFERROR(K68/I68,0)</x:f>
        <x:v>0.0030581039755351682</x:v>
      </x:c>
      <x:c r="M68" s="28" t="n">
        <x:f>IFERROR(H68/K68,0)</x:f>
        <x:v>73.8</x:v>
      </x:c>
      <x:c r="N68" s="28" t="n">
        <x:f>IFERROR(H68/I68*1000,0)</x:f>
        <x:v>225.6880733944954</x:v>
      </x:c>
      <x:c r="O68" t="n">
        <x:v>1.163701</x:v>
      </x:c>
      <x:c r="P68" t="n">
        <x:v>0</x:v>
      </x:c>
      <x:c r="Q68" s="28" t="n">
        <x:v>0</x:v>
      </x:c>
      <x:c r="R68" s="28" t="n">
        <x:v>0</x:v>
      </x:c>
    </x:row>
    <x:row r="69">
      <x:c r="A69" t="str">
        <x:v>2026-07-14</x:v>
      </x:c>
      <x:c r="B69" t="str">
        <x:v>449281783851362</x:v>
      </x:c>
      <x:c r="C69" t="str">
        <x:v>Doruk Hastaneleri - SİNA ÖZEL Sağlık Hizmetleri A.ş</x:v>
      </x:c>
      <x:c r="D69" t="str">
        <x:v>120211732754080399</x:v>
      </x:c>
      <x:c r="E69" t="str">
        <x:v>ABO / Yüz Germe (Facelift) / plastik cerrahi / lead</x:v>
      </x:c>
      <x:c r="F69" t="str">
        <x:v>OUTCOME_LEADS</x:v>
      </x:c>
      <x:c r="G69" t="n">
        <x:v>184</x:v>
      </x:c>
      <x:c r="H69" s="28" t="n">
        <x:v>91.52</x:v>
      </x:c>
      <x:c r="I69" t="n">
        <x:v>218</x:v>
      </x:c>
      <x:c r="J69" t="n">
        <x:v>7</x:v>
      </x:c>
      <x:c r="K69" t="n">
        <x:v>3</x:v>
      </x:c>
      <x:c r="L69" s="27" t="n">
        <x:f>IFERROR(K69/I69,0)</x:f>
        <x:v>0.013761467889908258</x:v>
      </x:c>
      <x:c r="M69" s="28" t="n">
        <x:f>IFERROR(H69/K69,0)</x:f>
        <x:v>30.506666666666664</x:v>
      </x:c>
      <x:c r="N69" s="28" t="n">
        <x:f>IFERROR(H69/I69*1000,0)</x:f>
        <x:v>419.8165137614679</x:v>
      </x:c>
      <x:c r="O69" t="n">
        <x:v>1.184783</x:v>
      </x:c>
      <x:c r="P69" t="n">
        <x:v>0</x:v>
      </x:c>
      <x:c r="Q69" s="28" t="n">
        <x:v>0</x:v>
      </x:c>
      <x:c r="R69" s="28" t="n">
        <x:v>0</x:v>
      </x:c>
    </x:row>
    <x:row r="70">
      <x:c r="A70" t="str">
        <x:v>2026-07-14</x:v>
      </x:c>
      <x:c r="B70" t="str">
        <x:v>449281783851362</x:v>
      </x:c>
      <x:c r="C70" t="str">
        <x:v>Doruk Hastaneleri - SİNA ÖZEL Sağlık Hizmetleri A.ş</x:v>
      </x:c>
      <x:c r="D70" t="str">
        <x:v>120214167265870399</x:v>
      </x:c>
      <x:c r="E70" t="str">
        <x:v>Baş Dönmesi ve Denge Ünitesi / lead</x:v>
      </x:c>
      <x:c r="F70" t="str">
        <x:v>OUTCOME_LEADS</x:v>
      </x:c>
      <x:c r="G70" t="n">
        <x:v>1370</x:v>
      </x:c>
      <x:c r="H70" s="28" t="n">
        <x:v>72.05</x:v>
      </x:c>
      <x:c r="I70" t="n">
        <x:v>1528</x:v>
      </x:c>
      <x:c r="J70" t="n">
        <x:v>21</x:v>
      </x:c>
      <x:c r="K70" t="n">
        <x:v>11</x:v>
      </x:c>
      <x:c r="L70" s="27" t="n">
        <x:f>IFERROR(K70/I70,0)</x:f>
        <x:v>0.007198952879581152</x:v>
      </x:c>
      <x:c r="M70" s="28" t="n">
        <x:f>IFERROR(H70/K70,0)</x:f>
        <x:v>6.55</x:v>
      </x:c>
      <x:c r="N70" s="28" t="n">
        <x:f>IFERROR(H70/I70*1000,0)</x:f>
        <x:v>47.153141361256544</x:v>
      </x:c>
      <x:c r="O70" t="n">
        <x:v>1.115328</x:v>
      </x:c>
      <x:c r="P70" t="n">
        <x:v>1</x:v>
      </x:c>
      <x:c r="Q70" s="28" t="n">
        <x:v>0</x:v>
      </x:c>
      <x:c r="R70" s="28" t="n">
        <x:v>0</x:v>
      </x:c>
    </x:row>
    <x:row r="71">
      <x:c r="A71" t="str">
        <x:v>2026-07-14</x:v>
      </x:c>
      <x:c r="B71" t="str">
        <x:v>449281783851362</x:v>
      </x:c>
      <x:c r="C71" t="str">
        <x:v>Doruk Hastaneleri - SİNA ÖZEL Sağlık Hizmetleri A.ş</x:v>
      </x:c>
      <x:c r="D71" t="str">
        <x:v>120220089108220399</x:v>
      </x:c>
      <x:c r="E71" t="str">
        <x:v>Checkup - genel - lead</x:v>
      </x:c>
      <x:c r="F71" t="str">
        <x:v>OUTCOME_LEADS</x:v>
      </x:c>
      <x:c r="G71" t="n">
        <x:v>1668</x:v>
      </x:c>
      <x:c r="H71" s="28" t="n">
        <x:v>195.79</x:v>
      </x:c>
      <x:c r="I71" t="n">
        <x:v>1866</x:v>
      </x:c>
      <x:c r="J71" t="n">
        <x:v>13</x:v>
      </x:c>
      <x:c r="K71" t="n">
        <x:v>8</x:v>
      </x:c>
      <x:c r="L71" s="27" t="n">
        <x:f>IFERROR(K71/I71,0)</x:f>
        <x:v>0.004287245444801715</x:v>
      </x:c>
      <x:c r="M71" s="28" t="n">
        <x:f>IFERROR(H71/K71,0)</x:f>
        <x:v>24.47375</x:v>
      </x:c>
      <x:c r="N71" s="28" t="n">
        <x:f>IFERROR(H71/I71*1000,0)</x:f>
        <x:v>104.92497320471597</x:v>
      </x:c>
      <x:c r="O71" t="n">
        <x:v>1.118705</x:v>
      </x:c>
      <x:c r="P71" t="n">
        <x:v>0</x:v>
      </x:c>
      <x:c r="Q71" s="28" t="n">
        <x:v>0</x:v>
      </x:c>
      <x:c r="R71" s="28" t="n">
        <x:v>0</x:v>
      </x:c>
    </x:row>
    <x:row r="72">
      <x:c r="A72" t="str">
        <x:v>2026-07-14</x:v>
      </x:c>
      <x:c r="B72" t="str">
        <x:v>170008509278498</x:v>
      </x:c>
      <x:c r="C72" t="str">
        <x:v>Doruk Hospital</x:v>
      </x:c>
      <x:c r="D72" t="str">
        <x:v>120232382033210080</x:v>
      </x:c>
      <x:c r="E72" t="str">
        <x:v>Fizik Tedavi - Intensive FTR - Türki Cumhuriyetler - Tümü - RU - Lechenie v Turtsii - lead</x:v>
      </x:c>
      <x:c r="F72" t="str">
        <x:v>OUTCOME_LEADS</x:v>
      </x:c>
      <x:c r="G72" t="n">
        <x:v>165808</x:v>
      </x:c>
      <x:c r="H72" s="28" t="n">
        <x:v>34963.65</x:v>
      </x:c>
      <x:c r="I72" t="n">
        <x:v>217662</x:v>
      </x:c>
      <x:c r="J72" t="n">
        <x:v>1612</x:v>
      </x:c>
      <x:c r="K72" t="n">
        <x:v>1145</x:v>
      </x:c>
      <x:c r="L72" s="27" t="n">
        <x:f>IFERROR(K72/I72,0)</x:f>
        <x:v>0.005260449688048442</x:v>
      </x:c>
      <x:c r="M72" s="28" t="n">
        <x:f>IFERROR(H72/K72,0)</x:f>
        <x:v>30.53593886462882</x:v>
      </x:c>
      <x:c r="N72" s="28" t="n">
        <x:f>IFERROR(H72/I72*1000,0)</x:f>
        <x:v>160.63277007470296</x:v>
      </x:c>
      <x:c r="O72" t="n">
        <x:v>1.312735</x:v>
      </x:c>
      <x:c r="P72" t="n">
        <x:v>25</x:v>
      </x:c>
      <x:c r="Q72" s="28" t="n">
        <x:v>0</x:v>
      </x:c>
      <x:c r="R72" s="28" t="n">
        <x:v>0</x:v>
      </x:c>
    </x:row>
    <x:row r="73">
      <x:c r="A73" t="str">
        <x:v>2026-07-14</x:v>
      </x:c>
      <x:c r="B73" t="str">
        <x:v>170008509278498</x:v>
      </x:c>
      <x:c r="C73" t="str">
        <x:v>Doruk Hospital</x:v>
      </x:c>
      <x:c r="D73" t="str">
        <x:v>120238651325780080</x:v>
      </x:c>
      <x:c r="E73" t="str">
        <x:v>Whatsapp - Fizik Tedavi - Intensive FTR - Arap Bölgesi - Tümü - AR - Doruk İlaj Turkia</x:v>
      </x:c>
      <x:c r="F73" t="str">
        <x:v>OUTCOME_LEADS</x:v>
      </x:c>
      <x:c r="G73" t="n">
        <x:v>98026</x:v>
      </x:c>
      <x:c r="H73" s="28" t="n">
        <x:v>37839.71</x:v>
      </x:c>
      <x:c r="I73" t="n">
        <x:v>131535</x:v>
      </x:c>
      <x:c r="J73" t="n">
        <x:v>970</x:v>
      </x:c>
      <x:c r="K73" t="n">
        <x:v>422</x:v>
      </x:c>
      <x:c r="L73" s="27" t="n">
        <x:f>IFERROR(K73/I73,0)</x:f>
        <x:v>0.0032082715627019423</x:v>
      </x:c>
      <x:c r="M73" s="28" t="n">
        <x:f>IFERROR(H73/K73,0)</x:f>
        <x:v>89.66755924170616</x:v>
      </x:c>
      <x:c r="N73" s="28" t="n">
        <x:f>IFERROR(H73/I73*1000,0)</x:f>
        <x:v>287.6778804120576</x:v>
      </x:c>
      <x:c r="O73" t="n">
        <x:v>1.341838</x:v>
      </x:c>
      <x:c r="P73" t="n">
        <x:v>0</x:v>
      </x:c>
      <x:c r="Q73" s="28" t="n">
        <x:v>0</x:v>
      </x:c>
      <x:c r="R73" s="28" t="n">
        <x:v>0</x:v>
      </x:c>
    </x:row>
    <x:row r="74">
      <x:c r="A74" t="str">
        <x:v>2026-07-14</x:v>
      </x:c>
      <x:c r="B74" t="str">
        <x:v>449281783851362</x:v>
      </x:c>
      <x:c r="C74" t="str">
        <x:v>Doruk Hastaneleri - SİNA ÖZEL Sağlık Hizmetleri A.ş</x:v>
      </x:c>
      <x:c r="D74" t="str">
        <x:v>120242415465180399</x:v>
      </x:c>
      <x:c r="E74" t="str">
        <x:v>Gebe-Doğum Form Kampanyası</x:v>
      </x:c>
      <x:c r="F74" t="str">
        <x:v>OUTCOME_LEADS</x:v>
      </x:c>
      <x:c r="G74" t="n">
        <x:v>23635</x:v>
      </x:c>
      <x:c r="H74" s="28" t="n">
        <x:v>1856.63</x:v>
      </x:c>
      <x:c r="I74" t="n">
        <x:v>32581</x:v>
      </x:c>
      <x:c r="J74" t="n">
        <x:v>142</x:v>
      </x:c>
      <x:c r="K74" t="n">
        <x:v>94</x:v>
      </x:c>
      <x:c r="L74" s="27" t="n">
        <x:f>IFERROR(K74/I74,0)</x:f>
        <x:v>0.002885117092784138</x:v>
      </x:c>
      <x:c r="M74" s="28" t="n">
        <x:f>IFERROR(H74/K74,0)</x:f>
        <x:v>19.751382978723406</x:v>
      </x:c>
      <x:c r="N74" s="28" t="n">
        <x:f>IFERROR(H74/I74*1000,0)</x:f>
        <x:v>56.98505263804058</x:v>
      </x:c>
      <x:c r="O74" t="n">
        <x:v>1.378506</x:v>
      </x:c>
      <x:c r="P74" t="n">
        <x:v>3</x:v>
      </x:c>
      <x:c r="Q74" s="28" t="n">
        <x:v>0</x:v>
      </x:c>
      <x:c r="R74" s="28" t="n">
        <x:v>0</x:v>
      </x:c>
    </x:row>
    <x:row r="75">
      <x:c r="A75" t="str">
        <x:v>2026-07-14</x:v>
      </x:c>
      <x:c r="B75" t="str">
        <x:v>170008509278498</x:v>
      </x:c>
      <x:c r="C75" t="str">
        <x:v>Doruk Hospital</x:v>
      </x:c>
      <x:c r="D75" t="str">
        <x:v>120242709752170080</x:v>
      </x:c>
      <x:c r="E75" t="str">
        <x:v>Instagram gönderisi: Аппарат TrueBeam — одна из...</x:v>
      </x:c>
      <x:c r="F75" t="str">
        <x:v>LINK_CLICKS</x:v>
      </x:c>
      <x:c r="G75" t="n">
        <x:v>87688</x:v>
      </x:c>
      <x:c r="H75" s="28" t="n">
        <x:v>5081.16</x:v>
      </x:c>
      <x:c r="I75" t="n">
        <x:v>98474</x:v>
      </x:c>
      <x:c r="J75" t="n">
        <x:v>1832</x:v>
      </x:c>
      <x:c r="K75" t="n">
        <x:v>1801</x:v>
      </x:c>
      <x:c r="L75" s="27" t="n">
        <x:f>IFERROR(K75/I75,0)</x:f>
        <x:v>0.01828909153685237</x:v>
      </x:c>
      <x:c r="M75" s="28" t="n">
        <x:f>IFERROR(H75/K75,0)</x:f>
        <x:v>2.8212992781787896</x:v>
      </x:c>
      <x:c r="N75" s="28" t="n">
        <x:f>IFERROR(H75/I75*1000,0)</x:f>
        <x:v>51.59900075146739</x:v>
      </x:c>
      <x:c r="O75" t="n">
        <x:v>1.123004</x:v>
      </x:c>
      <x:c r="P75" t="n">
        <x:v>0</x:v>
      </x:c>
      <x:c r="Q75" s="28" t="n">
        <x:v>0</x:v>
      </x:c>
      <x:c r="R75" s="28" t="n">
        <x:v>0</x:v>
      </x:c>
    </x:row>
    <x:row r="76">
      <x:c r="A76" t="str">
        <x:v>2026-07-14</x:v>
      </x:c>
      <x:c r="B76" t="str">
        <x:v>449281783851362</x:v>
      </x:c>
      <x:c r="C76" t="str">
        <x:v>Doruk Hastaneleri - SİNA ÖZEL Sağlık Hizmetleri A.ş</x:v>
      </x:c>
      <x:c r="D76" t="str">
        <x:v>120244050701710399</x:v>
      </x:c>
      <x:c r="E76" t="str">
        <x:v>Uzman Hekim Başvuru</x:v>
      </x:c>
      <x:c r="F76" t="str">
        <x:v>OUTCOME_LEADS</x:v>
      </x:c>
      <x:c r="G76" t="n">
        <x:v>1225</x:v>
      </x:c>
      <x:c r="H76" s="28" t="n">
        <x:v>148.29</x:v>
      </x:c>
      <x:c r="I76" t="n">
        <x:v>1362</x:v>
      </x:c>
      <x:c r="J76" t="n">
        <x:v>12</x:v>
      </x:c>
      <x:c r="K76" t="n">
        <x:v>7</x:v>
      </x:c>
      <x:c r="L76" s="27" t="n">
        <x:f>IFERROR(K76/I76,0)</x:f>
        <x:v>0.005139500734214391</x:v>
      </x:c>
      <x:c r="M76" s="28" t="n">
        <x:f>IFERROR(H76/K76,0)</x:f>
        <x:v>21.184285714285714</x:v>
      </x:c>
      <x:c r="N76" s="28" t="n">
        <x:f>IFERROR(H76/I76*1000,0)</x:f>
        <x:v>108.87665198237885</x:v>
      </x:c>
      <x:c r="O76" t="n">
        <x:v>1.111837</x:v>
      </x:c>
      <x:c r="P76" t="n">
        <x:v>0</x:v>
      </x:c>
      <x:c r="Q76" s="28" t="n">
        <x:v>0</x:v>
      </x:c>
      <x:c r="R76" s="28" t="n">
        <x:v>0</x:v>
      </x:c>
    </x:row>
    <x:row r="77">
      <x:c r="A77" t="str">
        <x:v>2026-07-14</x:v>
      </x:c>
      <x:c r="B77" t="str">
        <x:v>449281783851362</x:v>
      </x:c>
      <x:c r="C77" t="str">
        <x:v>Doruk Hastaneleri - SİNA ÖZEL Sağlık Hizmetleri A.ş</x:v>
      </x:c>
      <x:c r="D77" t="str">
        <x:v>120246476228800399</x:v>
      </x:c>
      <x:c r="E77" t="str">
        <x:v>FTR Yatılı - lead</x:v>
      </x:c>
      <x:c r="F77" t="str">
        <x:v>OUTCOME_LEADS</x:v>
      </x:c>
      <x:c r="G77" t="n">
        <x:v>64628</x:v>
      </x:c>
      <x:c r="H77" s="28" t="n">
        <x:v>3054.46</x:v>
      </x:c>
      <x:c r="I77" t="n">
        <x:v>65680</x:v>
      </x:c>
      <x:c r="J77" t="n">
        <x:v>270</x:v>
      </x:c>
      <x:c r="K77" t="n">
        <x:v>120</x:v>
      </x:c>
      <x:c r="L77" s="27" t="n">
        <x:f>IFERROR(K77/I77,0)</x:f>
        <x:v>0.0018270401948842874</x:v>
      </x:c>
      <x:c r="M77" s="28" t="n">
        <x:f>IFERROR(H77/K77,0)</x:f>
        <x:v>25.453833333333332</x:v>
      </x:c>
      <x:c r="N77" s="28" t="n">
        <x:f>IFERROR(H77/I77*1000,0)</x:f>
        <x:v>46.50517661388551</x:v>
      </x:c>
      <x:c r="O77" t="n">
        <x:v>1.016278</x:v>
      </x:c>
      <x:c r="P77" t="n">
        <x:v>3</x:v>
      </x:c>
      <x:c r="Q77" s="28" t="n">
        <x:v>0</x:v>
      </x:c>
      <x:c r="R77" s="28" t="n">
        <x:v>0</x:v>
      </x:c>
    </x:row>
    <x:row r="78">
      <x:c r="A78" t="str">
        <x:v>2026-07-14</x:v>
      </x:c>
      <x:c r="B78" t="str">
        <x:v>449281783851362</x:v>
      </x:c>
      <x:c r="C78" t="str">
        <x:v>Doruk Hastaneleri - SİNA ÖZEL Sağlık Hizmetleri A.ş</x:v>
      </x:c>
      <x:c r="D78" t="str">
        <x:v>120246691590090399</x:v>
      </x:c>
      <x:c r="E78" t="str">
        <x:v>Hemşire İş Başvuru - lead</x:v>
      </x:c>
      <x:c r="F78" t="str">
        <x:v>OUTCOME_LEADS</x:v>
      </x:c>
      <x:c r="G78" t="n">
        <x:v>6128</x:v>
      </x:c>
      <x:c r="H78" s="28" t="n">
        <x:v>354.09</x:v>
      </x:c>
      <x:c r="I78" t="n">
        <x:v>7815</x:v>
      </x:c>
      <x:c r="J78" t="n">
        <x:v>45</x:v>
      </x:c>
      <x:c r="K78" t="n">
        <x:v>33</x:v>
      </x:c>
      <x:c r="L78" s="27" t="n">
        <x:f>IFERROR(K78/I78,0)</x:f>
        <x:v>0.004222648752399232</x:v>
      </x:c>
      <x:c r="M78" s="28" t="n">
        <x:f>IFERROR(H78/K78,0)</x:f>
        <x:v>10.729999999999999</x:v>
      </x:c>
      <x:c r="N78" s="28" t="n">
        <x:f>IFERROR(H78/I78*1000,0)</x:f>
        <x:v>45.30902111324376</x:v>
      </x:c>
      <x:c r="O78" t="n">
        <x:v>1.275294</x:v>
      </x:c>
      <x:c r="P78" t="n">
        <x:v>0</x:v>
      </x:c>
      <x:c r="Q78" s="28" t="n">
        <x:v>0</x:v>
      </x:c>
      <x:c r="R78" s="28" t="n">
        <x:v>0</x:v>
      </x:c>
    </x:row>
    <x:row r="79">
      <x:c r="A79" t="str">
        <x:v>2026-07-14</x:v>
      </x:c>
      <x:c r="B79" t="str">
        <x:v>449281783851362</x:v>
      </x:c>
      <x:c r="C79" t="str">
        <x:v>Doruk Hastaneleri - SİNA ÖZEL Sağlık Hizmetleri A.ş</x:v>
      </x:c>
      <x:c r="D79" t="str">
        <x:v>120246924981440399</x:v>
      </x:c>
      <x:c r="E79" t="str">
        <x:v>ÖSS-TSS - marka bilinirliği</x:v>
      </x:c>
      <x:c r="F79" t="str">
        <x:v>OUTCOME_AWARENESS</x:v>
      </x:c>
      <x:c r="G79" t="n">
        <x:v>31763</x:v>
      </x:c>
      <x:c r="H79" s="28" t="n">
        <x:v>432.96</x:v>
      </x:c>
      <x:c r="I79" t="n">
        <x:v>31787</x:v>
      </x:c>
      <x:c r="J79" t="n">
        <x:v>24</x:v>
      </x:c>
      <x:c r="K79" t="n">
        <x:v>4</x:v>
      </x:c>
      <x:c r="L79" s="27" t="n">
        <x:f>IFERROR(K79/I79,0)</x:f>
        <x:v>0.00012583760656872307</x:v>
      </x:c>
      <x:c r="M79" s="28" t="n">
        <x:f>IFERROR(H79/K79,0)</x:f>
        <x:v>108.24</x:v>
      </x:c>
      <x:c r="N79" s="28" t="n">
        <x:f>IFERROR(H79/I79*1000,0)</x:f>
        <x:v>13.620662534998583</x:v>
      </x:c>
      <x:c r="O79" t="n">
        <x:v>1.000756</x:v>
      </x:c>
      <x:c r="P79" t="n">
        <x:v>0</x:v>
      </x:c>
      <x:c r="Q79" s="28" t="n">
        <x:v>0</x:v>
      </x:c>
      <x:c r="R79" s="28" t="n">
        <x:v>0</x:v>
      </x:c>
    </x:row>
    <x:row r="80">
      <x:c r="A80" t="str">
        <x:v>2026-07-14</x:v>
      </x:c>
      <x:c r="B80" t="str">
        <x:v>449281783851362</x:v>
      </x:c>
      <x:c r="C80" t="str">
        <x:v>Doruk Hastaneleri - SİNA ÖZEL Sağlık Hizmetleri A.ş</x:v>
      </x:c>
      <x:c r="D80" t="str">
        <x:v>120247034876600399</x:v>
      </x:c>
      <x:c r="E80" t="str">
        <x:v>Gebe-Doğum Bilinirlik</x:v>
      </x:c>
      <x:c r="F80" t="str">
        <x:v>OUTCOME_AWARENESS</x:v>
      </x:c>
      <x:c r="G80" t="n">
        <x:v>24362</x:v>
      </x:c>
      <x:c r="H80" s="28" t="n">
        <x:v>219.15</x:v>
      </x:c>
      <x:c r="I80" t="n">
        <x:v>25117</x:v>
      </x:c>
      <x:c r="J80" t="n">
        <x:v>11</x:v>
      </x:c>
      <x:c r="K80" t="n">
        <x:v>0</x:v>
      </x:c>
      <x:c r="L80" s="27" t="n">
        <x:f>IFERROR(K80/I80,0)</x:f>
        <x:v>0</x:v>
      </x:c>
      <x:c r="M80" s="28" t="n">
        <x:f>IFERROR(H80/K80,0)</x:f>
        <x:v>0</x:v>
      </x:c>
      <x:c r="N80" s="28" t="n">
        <x:f>IFERROR(H80/I80*1000,0)</x:f>
        <x:v>8.725166222080663</x:v>
      </x:c>
      <x:c r="O80" t="n">
        <x:v>1.030991</x:v>
      </x:c>
      <x:c r="P80" t="n">
        <x:v>0</x:v>
      </x:c>
      <x:c r="Q80" s="28" t="n">
        <x:v>0</x:v>
      </x:c>
      <x:c r="R80" s="28" t="n">
        <x:v>0</x:v>
      </x:c>
    </x:row>
    <x:row r="81">
      <x:c r="A81" t="str">
        <x:v>2026-07-14</x:v>
      </x:c>
      <x:c r="B81" t="str">
        <x:v>449281783851362</x:v>
      </x:c>
      <x:c r="C81" t="str">
        <x:v>Doruk Hastaneleri - SİNA ÖZEL Sağlık Hizmetleri A.ş</x:v>
      </x:c>
      <x:c r="D81" t="str">
        <x:v>120248812698040399</x:v>
      </x:c>
      <x:c r="E81" t="str">
        <x:v>ABO / Medikal Estetik lead / 16.04.2026</x:v>
      </x:c>
      <x:c r="F81" t="str">
        <x:v>OUTCOME_LEADS</x:v>
      </x:c>
      <x:c r="G81" t="n">
        <x:v>5790</x:v>
      </x:c>
      <x:c r="H81" s="28" t="n">
        <x:v>589.04</x:v>
      </x:c>
      <x:c r="I81" t="n">
        <x:v>6239</x:v>
      </x:c>
      <x:c r="J81" t="n">
        <x:v>47</x:v>
      </x:c>
      <x:c r="K81" t="n">
        <x:v>14</x:v>
      </x:c>
      <x:c r="L81" s="27" t="n">
        <x:f>IFERROR(K81/I81,0)</x:f>
        <x:v>0.002243949350857509</x:v>
      </x:c>
      <x:c r="M81" s="28" t="n">
        <x:f>IFERROR(H81/K81,0)</x:f>
        <x:v>42.074285714285715</x:v>
      </x:c>
      <x:c r="N81" s="28" t="n">
        <x:f>IFERROR(H81/I81*1000,0)</x:f>
        <x:v>94.4125661163648</x:v>
      </x:c>
      <x:c r="O81" t="n">
        <x:v>1.077548</x:v>
      </x:c>
      <x:c r="P81" t="n">
        <x:v>3</x:v>
      </x:c>
      <x:c r="Q81" s="28" t="n">
        <x:v>0</x:v>
      </x:c>
      <x:c r="R81" s="28" t="n">
        <x:v>0</x:v>
      </x:c>
    </x:row>
    <x:row r="82">
      <x:c r="A82" t="str">
        <x:v>2026-07-14</x:v>
      </x:c>
      <x:c r="B82" t="str">
        <x:v>449281783851362</x:v>
      </x:c>
      <x:c r="C82" t="str">
        <x:v>Doruk Hastaneleri - SİNA ÖZEL Sağlık Hizmetleri A.ş</x:v>
      </x:c>
      <x:c r="D82" t="str">
        <x:v>120249061996540399</x:v>
      </x:c>
      <x:c r="E82" t="str">
        <x:v>Doktor - Bilinirlik Kampanyası - Nilüfer</x:v>
      </x:c>
      <x:c r="F82" t="str">
        <x:v>OUTCOME_AWARENESS</x:v>
      </x:c>
      <x:c r="G82" t="n">
        <x:v>78045</x:v>
      </x:c>
      <x:c r="H82" s="28" t="n">
        <x:v>663.13</x:v>
      </x:c>
      <x:c r="I82" t="n">
        <x:v>79411</x:v>
      </x:c>
      <x:c r="J82" t="n">
        <x:v>44</x:v>
      </x:c>
      <x:c r="K82" t="n">
        <x:v>0</x:v>
      </x:c>
      <x:c r="L82" s="27" t="n">
        <x:f>IFERROR(K82/I82,0)</x:f>
        <x:v>0</x:v>
      </x:c>
      <x:c r="M82" s="28" t="n">
        <x:f>IFERROR(H82/K82,0)</x:f>
        <x:v>0</x:v>
      </x:c>
      <x:c r="N82" s="28" t="n">
        <x:f>IFERROR(H82/I82*1000,0)</x:f>
        <x:v>8.350606339172156</x:v>
      </x:c>
      <x:c r="O82" t="n">
        <x:v>1.017503</x:v>
      </x:c>
      <x:c r="P82" t="n">
        <x:v>0</x:v>
      </x:c>
      <x:c r="Q82" s="28" t="n">
        <x:v>0</x:v>
      </x:c>
      <x:c r="R82" s="28" t="n">
        <x:v>0</x:v>
      </x:c>
    </x:row>
    <x:row r="83">
      <x:c r="A83" t="str">
        <x:v>2026-07-14</x:v>
      </x:c>
      <x:c r="B83" t="str">
        <x:v>449281783851362</x:v>
      </x:c>
      <x:c r="C83" t="str">
        <x:v>Doruk Hastaneleri - SİNA ÖZEL Sağlık Hizmetleri A.ş</x:v>
      </x:c>
      <x:c r="D83" t="str">
        <x:v>120249614228610399</x:v>
      </x:c>
      <x:c r="E83" t="str">
        <x:v>Instagram gönderisi: Bir sezon boyunca ortaya...</x:v>
      </x:c>
      <x:c r="F83" t="str">
        <x:v>LINK_CLICKS</x:v>
      </x:c>
      <x:c r="G83" t="n">
        <x:v>11908</x:v>
      </x:c>
      <x:c r="H83" s="28" t="n">
        <x:v>696.26</x:v>
      </x:c>
      <x:c r="I83" t="n">
        <x:v>12139</x:v>
      </x:c>
      <x:c r="J83" t="n">
        <x:v>163</x:v>
      </x:c>
      <x:c r="K83" t="n">
        <x:v>165</x:v>
      </x:c>
      <x:c r="L83" s="27" t="n">
        <x:f>IFERROR(K83/I83,0)</x:f>
        <x:v>0.013592552928577313</x:v>
      </x:c>
      <x:c r="M83" s="28" t="n">
        <x:f>IFERROR(H83/K83,0)</x:f>
        <x:v>4.219757575757575</x:v>
      </x:c>
      <x:c r="N83" s="28" t="n">
        <x:f>IFERROR(H83/I83*1000,0)</x:f>
        <x:v>57.35727819424994</x:v>
      </x:c>
      <x:c r="O83" t="n">
        <x:v>1.019399</x:v>
      </x:c>
      <x:c r="P83" t="n">
        <x:v>0</x:v>
      </x:c>
      <x:c r="Q83" s="28" t="n">
        <x:v>0</x:v>
      </x:c>
      <x:c r="R83" s="28" t="n">
        <x:v>0</x:v>
      </x:c>
    </x:row>
    <x:row r="84">
      <x:c r="A84" t="str">
        <x:v>2026-07-14</x:v>
      </x:c>
      <x:c r="B84" t="str">
        <x:v>449281783851362</x:v>
      </x:c>
      <x:c r="C84" t="str">
        <x:v>Doruk Hastaneleri - SİNA ÖZEL Sağlık Hizmetleri A.ş</x:v>
      </x:c>
      <x:c r="D84" t="str">
        <x:v>120251414264130399</x:v>
      </x:c>
      <x:c r="E84" t="str">
        <x:v>Prostat Checkup - lead</x:v>
      </x:c>
      <x:c r="F84" t="str">
        <x:v>OUTCOME_LEADS</x:v>
      </x:c>
      <x:c r="G84" t="n">
        <x:v>716</x:v>
      </x:c>
      <x:c r="H84" s="28" t="n">
        <x:v>54.75</x:v>
      </x:c>
      <x:c r="I84" t="n">
        <x:v>766</x:v>
      </x:c>
      <x:c r="J84" t="n">
        <x:v>14</x:v>
      </x:c>
      <x:c r="K84" t="n">
        <x:v>9</x:v>
      </x:c>
      <x:c r="L84" s="27" t="n">
        <x:f>IFERROR(K84/I84,0)</x:f>
        <x:v>0.01174934725848564</x:v>
      </x:c>
      <x:c r="M84" s="28" t="n">
        <x:f>IFERROR(H84/K84,0)</x:f>
        <x:v>6.083333333333333</x:v>
      </x:c>
      <x:c r="N84" s="28" t="n">
        <x:f>IFERROR(H84/I84*1000,0)</x:f>
        <x:v>71.47519582245431</x:v>
      </x:c>
      <x:c r="O84" t="n">
        <x:v>1.069832</x:v>
      </x:c>
      <x:c r="P84" t="n">
        <x:v>0</x:v>
      </x:c>
      <x:c r="Q84" s="28" t="n">
        <x:v>0</x:v>
      </x:c>
      <x:c r="R84" s="28" t="n">
        <x:v>0</x:v>
      </x:c>
    </x:row>
    <x:row r="85">
      <x:c r="A85" t="str">
        <x:v>2026-07-14</x:v>
      </x:c>
      <x:c r="B85" t="str">
        <x:v>449281783851362</x:v>
      </x:c>
      <x:c r="C85" t="str">
        <x:v>Doruk Hastaneleri - SİNA ÖZEL Sağlık Hizmetleri A.ş</x:v>
      </x:c>
      <x:c r="D85" t="str">
        <x:v>120252323141170399</x:v>
      </x:c>
      <x:c r="E85" t="str">
        <x:v>Instagram gönderisi: Medikal estetik alanındaki...</x:v>
      </x:c>
      <x:c r="F85" t="str">
        <x:v>LINK_CLICKS</x:v>
      </x:c>
      <x:c r="G85" t="n">
        <x:v>1612</x:v>
      </x:c>
      <x:c r="H85" s="28" t="n">
        <x:v>92.7</x:v>
      </x:c>
      <x:c r="I85" t="n">
        <x:v>1676</x:v>
      </x:c>
      <x:c r="J85" t="n">
        <x:v>16</x:v>
      </x:c>
      <x:c r="K85" t="n">
        <x:v>17</x:v>
      </x:c>
      <x:c r="L85" s="27" t="n">
        <x:f>IFERROR(K85/I85,0)</x:f>
        <x:v>0.010143198090692125</x:v>
      </x:c>
      <x:c r="M85" s="28" t="n">
        <x:f>IFERROR(H85/K85,0)</x:f>
        <x:v>5.452941176470588</x:v>
      </x:c>
      <x:c r="N85" s="28" t="n">
        <x:f>IFERROR(H85/I85*1000,0)</x:f>
        <x:v>55.31026252983294</x:v>
      </x:c>
      <x:c r="O85" t="n">
        <x:v>1.039702</x:v>
      </x:c>
      <x:c r="P85" t="n">
        <x:v>0</x:v>
      </x:c>
      <x:c r="Q85" s="28" t="n">
        <x:v>0</x:v>
      </x:c>
      <x:c r="R85" s="28" t="n">
        <x:v>0</x:v>
      </x:c>
    </x:row>
    <x:row r="86">
      <x:c r="A86" t="str">
        <x:v>2026-07-14</x:v>
      </x:c>
      <x:c r="B86" t="str">
        <x:v>449281783851362</x:v>
      </x:c>
      <x:c r="C86" t="str">
        <x:v>Doruk Hastaneleri - SİNA ÖZEL Sağlık Hizmetleri A.ş</x:v>
      </x:c>
      <x:c r="D86" t="str">
        <x:v>120254956478750399</x:v>
      </x:c>
      <x:c r="E86" t="str">
        <x:v>Instagram gönderisi: 👨‍⚕️ Jinekomasti Ameliyatı...</x:v>
      </x:c>
      <x:c r="F86" t="str">
        <x:v>LINK_CLICKS</x:v>
      </x:c>
      <x:c r="G86" t="n">
        <x:v>10799</x:v>
      </x:c>
      <x:c r="H86" s="28" t="n">
        <x:v>347.48</x:v>
      </x:c>
      <x:c r="I86" t="n">
        <x:v>11139</x:v>
      </x:c>
      <x:c r="J86" t="n">
        <x:v>385</x:v>
      </x:c>
      <x:c r="K86" t="n">
        <x:v>429</x:v>
      </x:c>
      <x:c r="L86" s="27" t="n">
        <x:f>IFERROR(K86/I86,0)</x:f>
        <x:v>0.03851333153784002</x:v>
      </x:c>
      <x:c r="M86" s="28" t="n">
        <x:f>IFERROR(H86/K86,0)</x:f>
        <x:v>0.80997668997669</x:v>
      </x:c>
      <x:c r="N86" s="28" t="n">
        <x:f>IFERROR(H86/I86*1000,0)</x:f>
        <x:v>31.194900798994524</x:v>
      </x:c>
      <x:c r="O86" t="n">
        <x:v>1.031484</x:v>
      </x:c>
      <x:c r="P86" t="n">
        <x:v>0</x:v>
      </x:c>
      <x:c r="Q86" s="28" t="n">
        <x:v>0</x:v>
      </x:c>
      <x:c r="R86" s="28" t="n">
        <x:v>0</x:v>
      </x:c>
    </x:row>
    <x:row r="87">
      <x:c r="A87" t="str">
        <x:v>2026-07-14</x:v>
      </x:c>
      <x:c r="B87" t="str">
        <x:v>449281783851362</x:v>
      </x:c>
      <x:c r="C87" t="str">
        <x:v>Doruk Hastaneleri - SİNA ÖZEL Sağlık Hizmetleri A.ş</x:v>
      </x:c>
      <x:c r="D87" t="str">
        <x:v>120254956634040399</x:v>
      </x:c>
      <x:c r="E87" t="str">
        <x:v>Instagram gönderisi: Yüz bölgesine yapılan...</x:v>
      </x:c>
      <x:c r="F87" t="str">
        <x:v>LINK_CLICKS</x:v>
      </x:c>
      <x:c r="G87" t="n">
        <x:v>738</x:v>
      </x:c>
      <x:c r="H87" s="28" t="n">
        <x:v>161.43</x:v>
      </x:c>
      <x:c r="I87" t="n">
        <x:v>791</x:v>
      </x:c>
      <x:c r="J87" t="n">
        <x:v>26</x:v>
      </x:c>
      <x:c r="K87" t="n">
        <x:v>23</x:v>
      </x:c>
      <x:c r="L87" s="27" t="n">
        <x:f>IFERROR(K87/I87,0)</x:f>
        <x:v>0.029077117572692796</x:v>
      </x:c>
      <x:c r="M87" s="28" t="n">
        <x:f>IFERROR(H87/K87,0)</x:f>
        <x:v>7.018695652173913</x:v>
      </x:c>
      <x:c r="N87" s="28" t="n">
        <x:f>IFERROR(H87/I87*1000,0)</x:f>
        <x:v>204.08343868520862</x:v>
      </x:c>
      <x:c r="O87" t="n">
        <x:v>1.071816</x:v>
      </x:c>
      <x:c r="P87" t="n">
        <x:v>0</x:v>
      </x:c>
      <x:c r="Q87" s="28" t="n">
        <x:v>0</x:v>
      </x:c>
      <x:c r="R87" s="28" t="n">
        <x:v>0</x:v>
      </x:c>
    </x:row>
    <x:row r="88">
      <x:c r="A88" t="str">
        <x:v>2026-07-14</x:v>
      </x:c>
      <x:c r="B88" t="str">
        <x:v>449281783851362</x:v>
      </x:c>
      <x:c r="C88" t="str">
        <x:v>Doruk Hastaneleri - SİNA ÖZEL Sağlık Hizmetleri A.ş</x:v>
      </x:c>
      <x:c r="D88" t="str">
        <x:v>120254956751670399</x:v>
      </x:c>
      <x:c r="E88" t="str">
        <x:v>Instagram gönderisi: Kilo verirken yüzünüzde...</x:v>
      </x:c>
      <x:c r="F88" t="str">
        <x:v>LINK_CLICKS</x:v>
      </x:c>
      <x:c r="G88" t="n">
        <x:v>1531</x:v>
      </x:c>
      <x:c r="H88" s="28" t="n">
        <x:v>162.79</x:v>
      </x:c>
      <x:c r="I88" t="n">
        <x:v>1545</x:v>
      </x:c>
      <x:c r="J88" t="n">
        <x:v>35</x:v>
      </x:c>
      <x:c r="K88" t="n">
        <x:v>35</x:v>
      </x:c>
      <x:c r="L88" s="27" t="n">
        <x:f>IFERROR(K88/I88,0)</x:f>
        <x:v>0.022653721682847898</x:v>
      </x:c>
      <x:c r="M88" s="28" t="n">
        <x:f>IFERROR(H88/K88,0)</x:f>
        <x:v>4.651142857142857</x:v>
      </x:c>
      <x:c r="N88" s="28" t="n">
        <x:f>IFERROR(H88/I88*1000,0)</x:f>
        <x:v>105.36569579288026</x:v>
      </x:c>
      <x:c r="O88" t="n">
        <x:v>1.009144</x:v>
      </x:c>
      <x:c r="P88" t="n">
        <x:v>0</x:v>
      </x:c>
      <x:c r="Q88" s="28" t="n">
        <x:v>0</x:v>
      </x:c>
      <x:c r="R88" s="28" t="n">
        <x:v>0</x:v>
      </x:c>
    </x:row>
    <x:row r="89">
      <x:c r="A89" t="str">
        <x:v>2026-07-14</x:v>
      </x:c>
      <x:c r="B89" t="str">
        <x:v>449281783851362</x:v>
      </x:c>
      <x:c r="C89" t="str">
        <x:v>Doruk Hastaneleri - SİNA ÖZEL Sağlık Hizmetleri A.ş</x:v>
      </x:c>
      <x:c r="D89" t="str">
        <x:v>120254956820270399</x:v>
      </x:c>
      <x:c r="E89" t="str">
        <x:v>Instagram gönderisi: Jinekomasti her zaman...</x:v>
      </x:c>
      <x:c r="F89" t="str">
        <x:v>LINK_CLICKS</x:v>
      </x:c>
      <x:c r="G89" t="n">
        <x:v>1398</x:v>
      </x:c>
      <x:c r="H89" s="28" t="n">
        <x:v>133.37</x:v>
      </x:c>
      <x:c r="I89" t="n">
        <x:v>1456</x:v>
      </x:c>
      <x:c r="J89" t="n">
        <x:v>23</x:v>
      </x:c>
      <x:c r="K89" t="n">
        <x:v>23</x:v>
      </x:c>
      <x:c r="L89" s="27" t="n">
        <x:f>IFERROR(K89/I89,0)</x:f>
        <x:v>0.015796703296703296</x:v>
      </x:c>
      <x:c r="M89" s="28" t="n">
        <x:f>IFERROR(H89/K89,0)</x:f>
        <x:v>5.7986956521739135</x:v>
      </x:c>
      <x:c r="N89" s="28" t="n">
        <x:f>IFERROR(H89/I89*1000,0)</x:f>
        <x:v>91.60027472527473</x:v>
      </x:c>
      <x:c r="O89" t="n">
        <x:v>1.041488</x:v>
      </x:c>
      <x:c r="P89" t="n">
        <x:v>0</x:v>
      </x:c>
      <x:c r="Q89" s="28" t="n">
        <x:v>0</x:v>
      </x:c>
      <x:c r="R89" s="28" t="n">
        <x:v>0</x:v>
      </x:c>
    </x:row>
    <x:row r="90">
      <x:c r="A90" t="str">
        <x:v>2026-07-14</x:v>
      </x:c>
      <x:c r="B90" t="str">
        <x:v>449281783851362</x:v>
      </x:c>
      <x:c r="C90" t="str">
        <x:v>Doruk Hastaneleri - SİNA ÖZEL Sağlık Hizmetleri A.ş</x:v>
      </x:c>
      <x:c r="D90" t="str">
        <x:v>120254956881500399</x:v>
      </x:c>
      <x:c r="E90" t="str">
        <x:v>Instagram gönderisi: Kulak görünümünüz nedeniyle...</x:v>
      </x:c>
      <x:c r="F90" t="str">
        <x:v>LINK_CLICKS</x:v>
      </x:c>
      <x:c r="G90" t="n">
        <x:v>3012</x:v>
      </x:c>
      <x:c r="H90" s="28" t="n">
        <x:v>151.72</x:v>
      </x:c>
      <x:c r="I90" t="n">
        <x:v>3152</x:v>
      </x:c>
      <x:c r="J90" t="n">
        <x:v>20</x:v>
      </x:c>
      <x:c r="K90" t="n">
        <x:v>20</x:v>
      </x:c>
      <x:c r="L90" s="27" t="n">
        <x:f>IFERROR(K90/I90,0)</x:f>
        <x:v>0.006345177664974619</x:v>
      </x:c>
      <x:c r="M90" s="28" t="n">
        <x:f>IFERROR(H90/K90,0)</x:f>
        <x:v>7.586</x:v>
      </x:c>
      <x:c r="N90" s="28" t="n">
        <x:f>IFERROR(H90/I90*1000,0)</x:f>
        <x:v>48.13451776649747</x:v>
      </x:c>
      <x:c r="O90" t="n">
        <x:v>1.046481</x:v>
      </x:c>
      <x:c r="P90" t="n">
        <x:v>0</x:v>
      </x:c>
      <x:c r="Q90" s="28" t="n">
        <x:v>0</x:v>
      </x:c>
      <x:c r="R90" s="28" t="n">
        <x:v>0</x:v>
      </x:c>
    </x:row>
    <x:row r="91">
      <x:c r="A91" t="str">
        <x:v>2026-07-14</x:v>
      </x:c>
      <x:c r="B91" t="str">
        <x:v>449281783851362</x:v>
      </x:c>
      <x:c r="C91" t="str">
        <x:v>Doruk Hastaneleri - SİNA ÖZEL Sağlık Hizmetleri A.ş</x:v>
      </x:c>
      <x:c r="D91" t="str">
        <x:v>120255099624540399</x:v>
      </x:c>
      <x:c r="E91" t="str">
        <x:v>Instagram gönderisi: Doruk Sağlık Grubu olarak,...</x:v>
      </x:c>
      <x:c r="F91" t="str">
        <x:v>LINK_CLICKS</x:v>
      </x:c>
      <x:c r="G91" t="n">
        <x:v>6872</x:v>
      </x:c>
      <x:c r="H91" s="28" t="n">
        <x:v>528.78</x:v>
      </x:c>
      <x:c r="I91" t="n">
        <x:v>7336</x:v>
      </x:c>
      <x:c r="J91" t="n">
        <x:v>119</x:v>
      </x:c>
      <x:c r="K91" t="n">
        <x:v>119</x:v>
      </x:c>
      <x:c r="L91" s="27" t="n">
        <x:f>IFERROR(K91/I91,0)</x:f>
        <x:v>0.016221374045801526</x:v>
      </x:c>
      <x:c r="M91" s="28" t="n">
        <x:f>IFERROR(H91/K91,0)</x:f>
        <x:v>4.443529411764706</x:v>
      </x:c>
      <x:c r="N91" s="28" t="n">
        <x:f>IFERROR(H91/I91*1000,0)</x:f>
        <x:v>72.08015267175571</x:v>
      </x:c>
      <x:c r="O91" t="n">
        <x:v>1.06752</x:v>
      </x:c>
      <x:c r="P91" t="n">
        <x:v>0</x:v>
      </x:c>
      <x:c r="Q91" s="28" t="n">
        <x:v>0</x:v>
      </x:c>
      <x:c r="R91" s="28" t="n">
        <x:v>0</x:v>
      </x:c>
    </x:row>
    <x:row r="92">
      <x:c r="A92" t="str">
        <x:v>2026-07-14</x:v>
      </x:c>
      <x:c r="B92" t="str">
        <x:v>449281783851362</x:v>
      </x:c>
      <x:c r="C92" t="str">
        <x:v>Doruk Hastaneleri - SİNA ÖZEL Sağlık Hizmetleri A.ş</x:v>
      </x:c>
      <x:c r="D92" t="str">
        <x:v>120255158812950399</x:v>
      </x:c>
      <x:c r="E92" t="str">
        <x:v>Doktor - Bilinirlik Kampanyası - Yıldırım</x:v>
      </x:c>
      <x:c r="F92" t="str">
        <x:v>OUTCOME_AWARENESS</x:v>
      </x:c>
      <x:c r="G92" t="n">
        <x:v>32060</x:v>
      </x:c>
      <x:c r="H92" s="28" t="n">
        <x:v>285.05</x:v>
      </x:c>
      <x:c r="I92" t="n">
        <x:v>33950</x:v>
      </x:c>
      <x:c r="J92" t="n">
        <x:v>13</x:v>
      </x:c>
      <x:c r="K92" t="n">
        <x:v>0</x:v>
      </x:c>
      <x:c r="L92" s="27" t="n">
        <x:f>IFERROR(K92/I92,0)</x:f>
        <x:v>0</x:v>
      </x:c>
      <x:c r="M92" s="28" t="n">
        <x:f>IFERROR(H92/K92,0)</x:f>
        <x:v>0</x:v>
      </x:c>
      <x:c r="N92" s="28" t="n">
        <x:f>IFERROR(H92/I92*1000,0)</x:f>
        <x:v>8.396170839469809</x:v>
      </x:c>
      <x:c r="O92" t="n">
        <x:v>1.058952</x:v>
      </x:c>
      <x:c r="P92" t="n">
        <x:v>0</x:v>
      </x:c>
      <x:c r="Q92" s="28" t="n">
        <x:v>0</x:v>
      </x:c>
      <x:c r="R92" s="28" t="n">
        <x:v>0</x:v>
      </x:c>
    </x:row>
    <x:row r="93">
      <x:c r="A93" t="str">
        <x:v>2026-07-15</x:v>
      </x:c>
      <x:c r="B93" t="str">
        <x:v>449281783851362</x:v>
      </x:c>
      <x:c r="C93" t="str">
        <x:v>Doruk Hastaneleri - SİNA ÖZEL Sağlık Hizmetleri A.ş</x:v>
      </x:c>
      <x:c r="D93" t="str">
        <x:v>120202624613730399</x:v>
      </x:c>
      <x:c r="E93" t="str">
        <x:v>CBO / Saç Ekimi - lead / soğuk</x:v>
      </x:c>
      <x:c r="F93" t="str">
        <x:v>OUTCOME_LEADS</x:v>
      </x:c>
      <x:c r="G93" t="n">
        <x:v>4395</x:v>
      </x:c>
      <x:c r="H93" s="28" t="n">
        <x:v>968.59</x:v>
      </x:c>
      <x:c r="I93" t="n">
        <x:v>6714</x:v>
      </x:c>
      <x:c r="J93" t="n">
        <x:v>43</x:v>
      </x:c>
      <x:c r="K93" t="n">
        <x:v>18</x:v>
      </x:c>
      <x:c r="L93" s="27" t="n">
        <x:f>IFERROR(K93/I93,0)</x:f>
        <x:v>0.002680965147453083</x:v>
      </x:c>
      <x:c r="M93" s="28" t="n">
        <x:f>IFERROR(H93/K93,0)</x:f>
        <x:v>53.81055555555556</x:v>
      </x:c>
      <x:c r="N93" s="28" t="n">
        <x:f>IFERROR(H93/I93*1000,0)</x:f>
        <x:v>144.2642240095323</x:v>
      </x:c>
      <x:c r="O93" t="n">
        <x:v>1.527645</x:v>
      </x:c>
      <x:c r="P93" t="n">
        <x:v>4</x:v>
      </x:c>
      <x:c r="Q93" s="28" t="n">
        <x:v>0</x:v>
      </x:c>
      <x:c r="R93" s="28" t="n">
        <x:v>0</x:v>
      </x:c>
    </x:row>
    <x:row r="94">
      <x:c r="A94" t="str">
        <x:v>2026-07-15</x:v>
      </x:c>
      <x:c r="B94" t="str">
        <x:v>449281783851362</x:v>
      </x:c>
      <x:c r="C94" t="str">
        <x:v>Doruk Hastaneleri - SİNA ÖZEL Sağlık Hizmetleri A.ş</x:v>
      </x:c>
      <x:c r="D94" t="str">
        <x:v>120211731920800399</x:v>
      </x:c>
      <x:c r="E94" t="str">
        <x:v>ABO / Göz Kapağı Estetiği / plastik cerrahi / lead</x:v>
      </x:c>
      <x:c r="F94" t="str">
        <x:v>OUTCOME_LEADS</x:v>
      </x:c>
      <x:c r="G94" t="n">
        <x:v>3360</x:v>
      </x:c>
      <x:c r="H94" s="28" t="n">
        <x:v>295.21</x:v>
      </x:c>
      <x:c r="I94" t="n">
        <x:v>4275</x:v>
      </x:c>
      <x:c r="J94" t="n">
        <x:v>22</x:v>
      </x:c>
      <x:c r="K94" t="n">
        <x:v>12</x:v>
      </x:c>
      <x:c r="L94" s="27" t="n">
        <x:f>IFERROR(K94/I94,0)</x:f>
        <x:v>0.002807017543859649</x:v>
      </x:c>
      <x:c r="M94" s="28" t="n">
        <x:f>IFERROR(H94/K94,0)</x:f>
        <x:v>24.60083333333333</x:v>
      </x:c>
      <x:c r="N94" s="28" t="n">
        <x:f>IFERROR(H94/I94*1000,0)</x:f>
        <x:v>69.05497076023391</x:v>
      </x:c>
      <x:c r="O94" t="n">
        <x:v>1.272321</x:v>
      </x:c>
      <x:c r="P94" t="n">
        <x:v>1</x:v>
      </x:c>
      <x:c r="Q94" s="28" t="n">
        <x:v>0</x:v>
      </x:c>
      <x:c r="R94" s="28" t="n">
        <x:v>0</x:v>
      </x:c>
    </x:row>
    <x:row r="95">
      <x:c r="A95" t="str">
        <x:v>2026-07-15</x:v>
      </x:c>
      <x:c r="B95" t="str">
        <x:v>449281783851362</x:v>
      </x:c>
      <x:c r="C95" t="str">
        <x:v>Doruk Hastaneleri - SİNA ÖZEL Sağlık Hizmetleri A.ş</x:v>
      </x:c>
      <x:c r="D95" t="str">
        <x:v>120211732243050399</x:v>
      </x:c>
      <x:c r="E95" t="str">
        <x:v>ABO /Kepçe Kulak / plastik cerrahi / lead</x:v>
      </x:c>
      <x:c r="F95" t="str">
        <x:v>OUTCOME_LEADS</x:v>
      </x:c>
      <x:c r="G95" t="n">
        <x:v>7920</x:v>
      </x:c>
      <x:c r="H95" s="28" t="n">
        <x:v>281.86</x:v>
      </x:c>
      <x:c r="I95" t="n">
        <x:v>8859</x:v>
      </x:c>
      <x:c r="J95" t="n">
        <x:v>29</x:v>
      </x:c>
      <x:c r="K95" t="n">
        <x:v>20</x:v>
      </x:c>
      <x:c r="L95" s="27" t="n">
        <x:f>IFERROR(K95/I95,0)</x:f>
        <x:v>0.002257591150242691</x:v>
      </x:c>
      <x:c r="M95" s="28" t="n">
        <x:f>IFERROR(H95/K95,0)</x:f>
        <x:v>14.093</x:v>
      </x:c>
      <x:c r="N95" s="28" t="n">
        <x:f>IFERROR(H95/I95*1000,0)</x:f>
        <x:v>31.816232080370245</x:v>
      </x:c>
      <x:c r="O95" t="n">
        <x:v>1.118561</x:v>
      </x:c>
      <x:c r="P95" t="n">
        <x:v>0</x:v>
      </x:c>
      <x:c r="Q95" s="28" t="n">
        <x:v>0</x:v>
      </x:c>
      <x:c r="R95" s="28" t="n">
        <x:v>0</x:v>
      </x:c>
    </x:row>
    <x:row r="96">
      <x:c r="A96" t="str">
        <x:v>2026-07-15</x:v>
      </x:c>
      <x:c r="B96" t="str">
        <x:v>449281783851362</x:v>
      </x:c>
      <x:c r="C96" t="str">
        <x:v>Doruk Hastaneleri - SİNA ÖZEL Sağlık Hizmetleri A.ş</x:v>
      </x:c>
      <x:c r="D96" t="str">
        <x:v>120211732311210399</x:v>
      </x:c>
      <x:c r="E96" t="str">
        <x:v>ABO / Meme Estetiği / plastik cerrahi / lead</x:v>
      </x:c>
      <x:c r="F96" t="str">
        <x:v>OUTCOME_LEADS</x:v>
      </x:c>
      <x:c r="G96" t="n">
        <x:v>5875</x:v>
      </x:c>
      <x:c r="H96" s="28" t="n">
        <x:v>965.02</x:v>
      </x:c>
      <x:c r="I96" t="n">
        <x:v>8373</x:v>
      </x:c>
      <x:c r="J96" t="n">
        <x:v>39</x:v>
      </x:c>
      <x:c r="K96" t="n">
        <x:v>27</x:v>
      </x:c>
      <x:c r="L96" s="27" t="n">
        <x:f>IFERROR(K96/I96,0)</x:f>
        <x:v>0.0032246506628448583</x:v>
      </x:c>
      <x:c r="M96" s="28" t="n">
        <x:f>IFERROR(H96/K96,0)</x:f>
        <x:v>35.74148148148148</x:v>
      </x:c>
      <x:c r="N96" s="28" t="n">
        <x:f>IFERROR(H96/I96*1000,0)</x:f>
        <x:v>115.25379195031648</x:v>
      </x:c>
      <x:c r="O96" t="n">
        <x:v>1.425191</x:v>
      </x:c>
      <x:c r="P96" t="n">
        <x:v>1</x:v>
      </x:c>
      <x:c r="Q96" s="28" t="n">
        <x:v>0</x:v>
      </x:c>
      <x:c r="R96" s="28" t="n">
        <x:v>0</x:v>
      </x:c>
    </x:row>
    <x:row r="97">
      <x:c r="A97" t="str">
        <x:v>2026-07-15</x:v>
      </x:c>
      <x:c r="B97" t="str">
        <x:v>449281783851362</x:v>
      </x:c>
      <x:c r="C97" t="str">
        <x:v>Doruk Hastaneleri - SİNA ÖZEL Sağlık Hizmetleri A.ş</x:v>
      </x:c>
      <x:c r="D97" t="str">
        <x:v>120211732618490399</x:v>
      </x:c>
      <x:c r="E97" t="str">
        <x:v>ABO /Jinekomasti / plastik cerrahi / lead</x:v>
      </x:c>
      <x:c r="F97" t="str">
        <x:v>OUTCOME_LEADS</x:v>
      </x:c>
      <x:c r="G97" t="n">
        <x:v>2885</x:v>
      </x:c>
      <x:c r="H97" s="28" t="n">
        <x:v>262.35</x:v>
      </x:c>
      <x:c r="I97" t="n">
        <x:v>3660</x:v>
      </x:c>
      <x:c r="J97" t="n">
        <x:v>15</x:v>
      </x:c>
      <x:c r="K97" t="n">
        <x:v>9</x:v>
      </x:c>
      <x:c r="L97" s="27" t="n">
        <x:f>IFERROR(K97/I97,0)</x:f>
        <x:v>0.002459016393442623</x:v>
      </x:c>
      <x:c r="M97" s="28" t="n">
        <x:f>IFERROR(H97/K97,0)</x:f>
        <x:v>29.150000000000002</x:v>
      </x:c>
      <x:c r="N97" s="28" t="n">
        <x:f>IFERROR(H97/I97*1000,0)</x:f>
        <x:v>71.68032786885246</x:v>
      </x:c>
      <x:c r="O97" t="n">
        <x:v>1.268631</x:v>
      </x:c>
      <x:c r="P97" t="n">
        <x:v>1</x:v>
      </x:c>
      <x:c r="Q97" s="28" t="n">
        <x:v>0</x:v>
      </x:c>
      <x:c r="R97" s="28" t="n">
        <x:v>0</x:v>
      </x:c>
    </x:row>
    <x:row r="98">
      <x:c r="A98" t="str">
        <x:v>2026-07-15</x:v>
      </x:c>
      <x:c r="B98" t="str">
        <x:v>449281783851362</x:v>
      </x:c>
      <x:c r="C98" t="str">
        <x:v>Doruk Hastaneleri - SİNA ÖZEL Sağlık Hizmetleri A.ş</x:v>
      </x:c>
      <x:c r="D98" t="str">
        <x:v>120211732654260399</x:v>
      </x:c>
      <x:c r="E98" t="str">
        <x:v>ABO / Rinoplasti / plastik cerrahi / lead</x:v>
      </x:c>
      <x:c r="F98" t="str">
        <x:v>OUTCOME_LEADS</x:v>
      </x:c>
      <x:c r="G98" t="n">
        <x:v>3464</x:v>
      </x:c>
      <x:c r="H98" s="28" t="n">
        <x:v>757.84</x:v>
      </x:c>
      <x:c r="I98" t="n">
        <x:v>5006</x:v>
      </x:c>
      <x:c r="J98" t="n">
        <x:v>35</x:v>
      </x:c>
      <x:c r="K98" t="n">
        <x:v>24</x:v>
      </x:c>
      <x:c r="L98" s="27" t="n">
        <x:f>IFERROR(K98/I98,0)</x:f>
        <x:v>0.004794246903715541</x:v>
      </x:c>
      <x:c r="M98" s="28" t="n">
        <x:f>IFERROR(H98/K98,0)</x:f>
        <x:v>31.576666666666668</x:v>
      </x:c>
      <x:c r="N98" s="28" t="n">
        <x:f>IFERROR(H98/I98*1000,0)</x:f>
        <x:v>151.38633639632442</x:v>
      </x:c>
      <x:c r="O98" t="n">
        <x:v>1.44515</x:v>
      </x:c>
      <x:c r="P98" t="n">
        <x:v>0</x:v>
      </x:c>
      <x:c r="Q98" s="28" t="n">
        <x:v>0</x:v>
      </x:c>
      <x:c r="R98" s="28" t="n">
        <x:v>0</x:v>
      </x:c>
    </x:row>
    <x:row r="99">
      <x:c r="A99" t="str">
        <x:v>2026-07-15</x:v>
      </x:c>
      <x:c r="B99" t="str">
        <x:v>449281783851362</x:v>
      </x:c>
      <x:c r="C99" t="str">
        <x:v>Doruk Hastaneleri - SİNA ÖZEL Sağlık Hizmetleri A.ş</x:v>
      </x:c>
      <x:c r="D99" t="str">
        <x:v>120211732712890399</x:v>
      </x:c>
      <x:c r="E99" t="str">
        <x:v>ABO / Vücut Şekillendirme / plastik cerrahi / lead</x:v>
      </x:c>
      <x:c r="F99" t="str">
        <x:v>OUTCOME_LEADS</x:v>
      </x:c>
      <x:c r="G99" t="n">
        <x:v>1288</x:v>
      </x:c>
      <x:c r="H99" s="28" t="n">
        <x:v>297.15</x:v>
      </x:c>
      <x:c r="I99" t="n">
        <x:v>1735</x:v>
      </x:c>
      <x:c r="J99" t="n">
        <x:v>7</x:v>
      </x:c>
      <x:c r="K99" t="n">
        <x:v>3</x:v>
      </x:c>
      <x:c r="L99" s="27" t="n">
        <x:f>IFERROR(K99/I99,0)</x:f>
        <x:v>0.001729106628242075</x:v>
      </x:c>
      <x:c r="M99" s="28" t="n">
        <x:f>IFERROR(H99/K99,0)</x:f>
        <x:v>99.05</x:v>
      </x:c>
      <x:c r="N99" s="28" t="n">
        <x:f>IFERROR(H99/I99*1000,0)</x:f>
        <x:v>171.2680115273775</x:v>
      </x:c>
      <x:c r="O99" t="n">
        <x:v>1.34705</x:v>
      </x:c>
      <x:c r="P99" t="n">
        <x:v>0</x:v>
      </x:c>
      <x:c r="Q99" s="28" t="n">
        <x:v>0</x:v>
      </x:c>
      <x:c r="R99" s="28" t="n">
        <x:v>0</x:v>
      </x:c>
    </x:row>
    <x:row r="100">
      <x:c r="A100" t="str">
        <x:v>2026-07-15</x:v>
      </x:c>
      <x:c r="B100" t="str">
        <x:v>449281783851362</x:v>
      </x:c>
      <x:c r="C100" t="str">
        <x:v>Doruk Hastaneleri - SİNA ÖZEL Sağlık Hizmetleri A.ş</x:v>
      </x:c>
      <x:c r="D100" t="str">
        <x:v>120211732754080399</x:v>
      </x:c>
      <x:c r="E100" t="str">
        <x:v>ABO / Yüz Germe (Facelift) / plastik cerrahi / lead</x:v>
      </x:c>
      <x:c r="F100" t="str">
        <x:v>OUTCOME_LEADS</x:v>
      </x:c>
      <x:c r="G100" t="n">
        <x:v>696</x:v>
      </x:c>
      <x:c r="H100" s="28" t="n">
        <x:v>276.33</x:v>
      </x:c>
      <x:c r="I100" t="n">
        <x:v>946</x:v>
      </x:c>
      <x:c r="J100" t="n">
        <x:v>12</x:v>
      </x:c>
      <x:c r="K100" t="n">
        <x:v>7</x:v>
      </x:c>
      <x:c r="L100" s="27" t="n">
        <x:f>IFERROR(K100/I100,0)</x:f>
        <x:v>0.007399577167019027</x:v>
      </x:c>
      <x:c r="M100" s="28" t="n">
        <x:f>IFERROR(H100/K100,0)</x:f>
        <x:v>39.47571428571428</x:v>
      </x:c>
      <x:c r="N100" s="28" t="n">
        <x:f>IFERROR(H100/I100*1000,0)</x:f>
        <x:v>292.10359408033827</x:v>
      </x:c>
      <x:c r="O100" t="n">
        <x:v>1.359195</x:v>
      </x:c>
      <x:c r="P100" t="n">
        <x:v>1</x:v>
      </x:c>
      <x:c r="Q100" s="28" t="n">
        <x:v>0</x:v>
      </x:c>
      <x:c r="R100" s="28" t="n">
        <x:v>0</x:v>
      </x:c>
    </x:row>
    <x:row r="101">
      <x:c r="A101" t="str">
        <x:v>2026-07-15</x:v>
      </x:c>
      <x:c r="B101" t="str">
        <x:v>449281783851362</x:v>
      </x:c>
      <x:c r="C101" t="str">
        <x:v>Doruk Hastaneleri - SİNA ÖZEL Sağlık Hizmetleri A.ş</x:v>
      </x:c>
      <x:c r="D101" t="str">
        <x:v>120214167265870399</x:v>
      </x:c>
      <x:c r="E101" t="str">
        <x:v>Baş Dönmesi ve Denge Ünitesi / lead</x:v>
      </x:c>
      <x:c r="F101" t="str">
        <x:v>OUTCOME_LEADS</x:v>
      </x:c>
      <x:c r="G101" t="n">
        <x:v>7866</x:v>
      </x:c>
      <x:c r="H101" s="28" t="n">
        <x:v>365.75</x:v>
      </x:c>
      <x:c r="I101" t="n">
        <x:v>9432</x:v>
      </x:c>
      <x:c r="J101" t="n">
        <x:v>133</x:v>
      </x:c>
      <x:c r="K101" t="n">
        <x:v>59</x:v>
      </x:c>
      <x:c r="L101" s="27" t="n">
        <x:f>IFERROR(K101/I101,0)</x:f>
        <x:v>0.006255301102629347</x:v>
      </x:c>
      <x:c r="M101" s="28" t="n">
        <x:f>IFERROR(H101/K101,0)</x:f>
        <x:v>6.1991525423728815</x:v>
      </x:c>
      <x:c r="N101" s="28" t="n">
        <x:f>IFERROR(H101/I101*1000,0)</x:f>
        <x:v>38.7775657336726</x:v>
      </x:c>
      <x:c r="O101" t="n">
        <x:v>1.199085</x:v>
      </x:c>
      <x:c r="P101" t="n">
        <x:v>3</x:v>
      </x:c>
      <x:c r="Q101" s="28" t="n">
        <x:v>0</x:v>
      </x:c>
      <x:c r="R101" s="28" t="n">
        <x:v>0</x:v>
      </x:c>
    </x:row>
    <x:row r="102">
      <x:c r="A102" t="str">
        <x:v>2026-07-15</x:v>
      </x:c>
      <x:c r="B102" t="str">
        <x:v>449281783851362</x:v>
      </x:c>
      <x:c r="C102" t="str">
        <x:v>Doruk Hastaneleri - SİNA ÖZEL Sağlık Hizmetleri A.ş</x:v>
      </x:c>
      <x:c r="D102" t="str">
        <x:v>120220089108220399</x:v>
      </x:c>
      <x:c r="E102" t="str">
        <x:v>Checkup - genel - lead</x:v>
      </x:c>
      <x:c r="F102" t="str">
        <x:v>OUTCOME_LEADS</x:v>
      </x:c>
      <x:c r="G102" t="n">
        <x:v>9027</x:v>
      </x:c>
      <x:c r="H102" s="28" t="n">
        <x:v>1018.24</x:v>
      </x:c>
      <x:c r="I102" t="n">
        <x:v>11684</x:v>
      </x:c>
      <x:c r="J102" t="n">
        <x:v>98</x:v>
      </x:c>
      <x:c r="K102" t="n">
        <x:v>51</x:v>
      </x:c>
      <x:c r="L102" s="27" t="n">
        <x:f>IFERROR(K102/I102,0)</x:f>
        <x:v>0.004364943512495721</x:v>
      </x:c>
      <x:c r="M102" s="28" t="n">
        <x:f>IFERROR(H102/K102,0)</x:f>
        <x:v>19.96549019607843</x:v>
      </x:c>
      <x:c r="N102" s="28" t="n">
        <x:f>IFERROR(H102/I102*1000,0)</x:f>
        <x:v>87.14823690516945</x:v>
      </x:c>
      <x:c r="O102" t="n">
        <x:v>1.294339</x:v>
      </x:c>
      <x:c r="P102" t="n">
        <x:v>4</x:v>
      </x:c>
      <x:c r="Q102" s="28" t="n">
        <x:v>0</x:v>
      </x:c>
      <x:c r="R102" s="28" t="n">
        <x:v>0</x:v>
      </x:c>
    </x:row>
    <x:row r="103">
      <x:c r="A103" t="str">
        <x:v>2026-07-15</x:v>
      </x:c>
      <x:c r="B103" t="str">
        <x:v>170008509278498</x:v>
      </x:c>
      <x:c r="C103" t="str">
        <x:v>Doruk Hospital</x:v>
      </x:c>
      <x:c r="D103" t="str">
        <x:v>120232382033210080</x:v>
      </x:c>
      <x:c r="E103" t="str">
        <x:v>Fizik Tedavi - Intensive FTR - Türki Cumhuriyetler - Tümü - RU - Lechenie v Turtsii - lead</x:v>
      </x:c>
      <x:c r="F103" t="str">
        <x:v>OUTCOME_LEADS</x:v>
      </x:c>
      <x:c r="G103" t="n">
        <x:v>125116</x:v>
      </x:c>
      <x:c r="H103" s="28" t="n">
        <x:v>28933.24</x:v>
      </x:c>
      <x:c r="I103" t="n">
        <x:v>164370</x:v>
      </x:c>
      <x:c r="J103" t="n">
        <x:v>1274</x:v>
      </x:c>
      <x:c r="K103" t="n">
        <x:v>921</x:v>
      </x:c>
      <x:c r="L103" s="27" t="n">
        <x:f>IFERROR(K103/I103,0)</x:f>
        <x:v>0.005603212265011864</x:v>
      </x:c>
      <x:c r="M103" s="28" t="n">
        <x:f>IFERROR(H103/K103,0)</x:f>
        <x:v>31.415027144408253</x:v>
      </x:c>
      <x:c r="N103" s="28" t="n">
        <x:f>IFERROR(H103/I103*1000,0)</x:f>
        <x:v>176.02506540122894</x:v>
      </x:c>
      <x:c r="O103" t="n">
        <x:v>1.313741</x:v>
      </x:c>
      <x:c r="P103" t="n">
        <x:v>11</x:v>
      </x:c>
      <x:c r="Q103" s="28" t="n">
        <x:v>0</x:v>
      </x:c>
      <x:c r="R103" s="28" t="n">
        <x:v>0</x:v>
      </x:c>
    </x:row>
    <x:row r="104">
      <x:c r="A104" t="str">
        <x:v>2026-07-15</x:v>
      </x:c>
      <x:c r="B104" t="str">
        <x:v>170008509278498</x:v>
      </x:c>
      <x:c r="C104" t="str">
        <x:v>Doruk Hospital</x:v>
      </x:c>
      <x:c r="D104" t="str">
        <x:v>120238651325780080</x:v>
      </x:c>
      <x:c r="E104" t="str">
        <x:v>Whatsapp - Fizik Tedavi - Intensive FTR - Arap Bölgesi - Tümü - AR - Doruk İlaj Turkia</x:v>
      </x:c>
      <x:c r="F104" t="str">
        <x:v>OUTCOME_LEADS</x:v>
      </x:c>
      <x:c r="G104" t="n">
        <x:v>119003</x:v>
      </x:c>
      <x:c r="H104" s="28" t="n">
        <x:v>34099.04</x:v>
      </x:c>
      <x:c r="I104" t="n">
        <x:v>206296</x:v>
      </x:c>
      <x:c r="J104" t="n">
        <x:v>1459</x:v>
      </x:c>
      <x:c r="K104" t="n">
        <x:v>694</x:v>
      </x:c>
      <x:c r="L104" s="27" t="n">
        <x:f>IFERROR(K104/I104,0)</x:f>
        <x:v>0.0033640981890099664</x:v>
      </x:c>
      <x:c r="M104" s="28" t="n">
        <x:f>IFERROR(H104/K104,0)</x:f>
        <x:v>49.13406340057637</x:v>
      </x:c>
      <x:c r="N104" s="28" t="n">
        <x:f>IFERROR(H104/I104*1000,0)</x:f>
        <x:v>165.29181370457982</x:v>
      </x:c>
      <x:c r="O104" t="n">
        <x:v>1.733536</x:v>
      </x:c>
      <x:c r="P104" t="n">
        <x:v>0</x:v>
      </x:c>
      <x:c r="Q104" s="28" t="n">
        <x:v>0</x:v>
      </x:c>
      <x:c r="R104" s="28" t="n">
        <x:v>0</x:v>
      </x:c>
    </x:row>
    <x:row r="105">
      <x:c r="A105" t="str">
        <x:v>2026-07-15</x:v>
      </x:c>
      <x:c r="B105" t="str">
        <x:v>449281783851362</x:v>
      </x:c>
      <x:c r="C105" t="str">
        <x:v>Doruk Hastaneleri - SİNA ÖZEL Sağlık Hizmetleri A.ş</x:v>
      </x:c>
      <x:c r="D105" t="str">
        <x:v>120242415465180399</x:v>
      </x:c>
      <x:c r="E105" t="str">
        <x:v>Gebe-Doğum Form Kampanyası</x:v>
      </x:c>
      <x:c r="F105" t="str">
        <x:v>OUTCOME_LEADS</x:v>
      </x:c>
      <x:c r="G105" t="n">
        <x:v>51280</x:v>
      </x:c>
      <x:c r="H105" s="28" t="n">
        <x:v>7345.32</x:v>
      </x:c>
      <x:c r="I105" t="n">
        <x:v>103249</x:v>
      </x:c>
      <x:c r="J105" t="n">
        <x:v>426</x:v>
      </x:c>
      <x:c r="K105" t="n">
        <x:v>255</x:v>
      </x:c>
      <x:c r="L105" s="27" t="n">
        <x:f>IFERROR(K105/I105,0)</x:f>
        <x:v>0.002469757576344565</x:v>
      </x:c>
      <x:c r="M105" s="28" t="n">
        <x:f>IFERROR(H105/K105,0)</x:f>
        <x:v>28.805176470588233</x:v>
      </x:c>
      <x:c r="N105" s="28" t="n">
        <x:f>IFERROR(H105/I105*1000,0)</x:f>
        <x:v>71.1418028261775</x:v>
      </x:c>
      <x:c r="O105" t="n">
        <x:v>2.013436</x:v>
      </x:c>
      <x:c r="P105" t="n">
        <x:v>20</x:v>
      </x:c>
      <x:c r="Q105" s="28" t="n">
        <x:v>0</x:v>
      </x:c>
      <x:c r="R105" s="28" t="n">
        <x:v>0</x:v>
      </x:c>
    </x:row>
    <x:row r="106">
      <x:c r="A106" t="str">
        <x:v>2026-07-15</x:v>
      </x:c>
      <x:c r="B106" t="str">
        <x:v>170008509278498</x:v>
      </x:c>
      <x:c r="C106" t="str">
        <x:v>Doruk Hospital</x:v>
      </x:c>
      <x:c r="D106" t="str">
        <x:v>120242709752170080</x:v>
      </x:c>
      <x:c r="E106" t="str">
        <x:v>Instagram gönderisi: Аппарат TrueBeam — одна из...</x:v>
      </x:c>
      <x:c r="F106" t="str">
        <x:v>LINK_CLICKS</x:v>
      </x:c>
      <x:c r="G106" t="n">
        <x:v>75503</x:v>
      </x:c>
      <x:c r="H106" s="28" t="n">
        <x:v>4909.63</x:v>
      </x:c>
      <x:c r="I106" t="n">
        <x:v>82710</x:v>
      </x:c>
      <x:c r="J106" t="n">
        <x:v>1859</x:v>
      </x:c>
      <x:c r="K106" t="n">
        <x:v>1834</x:v>
      </x:c>
      <x:c r="L106" s="27" t="n">
        <x:f>IFERROR(K106/I106,0)</x:f>
        <x:v>0.022173860476363196</x:v>
      </x:c>
      <x:c r="M106" s="28" t="n">
        <x:f>IFERROR(H106/K106,0)</x:f>
        <x:v>2.677006543075245</x:v>
      </x:c>
      <x:c r="N106" s="28" t="n">
        <x:f>IFERROR(H106/I106*1000,0)</x:f>
        <x:v>59.35956958046185</x:v>
      </x:c>
      <x:c r="O106" t="n">
        <x:v>1.095453</x:v>
      </x:c>
      <x:c r="P106" t="n">
        <x:v>0</x:v>
      </x:c>
      <x:c r="Q106" s="28" t="n">
        <x:v>0</x:v>
      </x:c>
      <x:c r="R106" s="28" t="n">
        <x:v>0</x:v>
      </x:c>
    </x:row>
    <x:row r="107">
      <x:c r="A107" t="str">
        <x:v>2026-07-15</x:v>
      </x:c>
      <x:c r="B107" t="str">
        <x:v>449281783851362</x:v>
      </x:c>
      <x:c r="C107" t="str">
        <x:v>Doruk Hastaneleri - SİNA ÖZEL Sağlık Hizmetleri A.ş</x:v>
      </x:c>
      <x:c r="D107" t="str">
        <x:v>120244050701710399</x:v>
      </x:c>
      <x:c r="E107" t="str">
        <x:v>Uzman Hekim Başvuru</x:v>
      </x:c>
      <x:c r="F107" t="str">
        <x:v>OUTCOME_LEADS</x:v>
      </x:c>
      <x:c r="G107" t="n">
        <x:v>6869</x:v>
      </x:c>
      <x:c r="H107" s="28" t="n">
        <x:v>1083.71</x:v>
      </x:c>
      <x:c r="I107" t="n">
        <x:v>8499</x:v>
      </x:c>
      <x:c r="J107" t="n">
        <x:v>92</x:v>
      </x:c>
      <x:c r="K107" t="n">
        <x:v>54</x:v>
      </x:c>
      <x:c r="L107" s="27" t="n">
        <x:f>IFERROR(K107/I107,0)</x:f>
        <x:v>0.0063536886692552065</x:v>
      </x:c>
      <x:c r="M107" s="28" t="n">
        <x:f>IFERROR(H107/K107,0)</x:f>
        <x:v>20.068703703703704</x:v>
      </x:c>
      <x:c r="N107" s="28" t="n">
        <x:f>IFERROR(H107/I107*1000,0)</x:f>
        <x:v>127.51029532886221</x:v>
      </x:c>
      <x:c r="O107" t="n">
        <x:v>1.237298</x:v>
      </x:c>
      <x:c r="P107" t="n">
        <x:v>5</x:v>
      </x:c>
      <x:c r="Q107" s="28" t="n">
        <x:v>0</x:v>
      </x:c>
      <x:c r="R107" s="28" t="n">
        <x:v>0</x:v>
      </x:c>
    </x:row>
    <x:row r="108">
      <x:c r="A108" t="str">
        <x:v>2026-07-15</x:v>
      </x:c>
      <x:c r="B108" t="str">
        <x:v>449281783851362</x:v>
      </x:c>
      <x:c r="C108" t="str">
        <x:v>Doruk Hastaneleri - SİNA ÖZEL Sağlık Hizmetleri A.ş</x:v>
      </x:c>
      <x:c r="D108" t="str">
        <x:v>120246476228800399</x:v>
      </x:c>
      <x:c r="E108" t="str">
        <x:v>FTR Yatılı - lead</x:v>
      </x:c>
      <x:c r="F108" t="str">
        <x:v>OUTCOME_LEADS</x:v>
      </x:c>
      <x:c r="G108" t="n">
        <x:v>39152</x:v>
      </x:c>
      <x:c r="H108" s="28" t="n">
        <x:v>3886.2</x:v>
      </x:c>
      <x:c r="I108" t="n">
        <x:v>45206</x:v>
      </x:c>
      <x:c r="J108" t="n">
        <x:v>340</x:v>
      </x:c>
      <x:c r="K108" t="n">
        <x:v>179</x:v>
      </x:c>
      <x:c r="L108" s="27" t="n">
        <x:f>IFERROR(K108/I108,0)</x:f>
        <x:v>0.003959651373711454</x:v>
      </x:c>
      <x:c r="M108" s="28" t="n">
        <x:f>IFERROR(H108/K108,0)</x:f>
        <x:v>21.710614525139665</x:v>
      </x:c>
      <x:c r="N108" s="28" t="n">
        <x:f>IFERROR(H108/I108*1000,0)</x:f>
        <x:v>85.96646462858912</x:v>
      </x:c>
      <x:c r="O108" t="n">
        <x:v>1.154628</x:v>
      </x:c>
      <x:c r="P108" t="n">
        <x:v>3</x:v>
      </x:c>
      <x:c r="Q108" s="28" t="n">
        <x:v>0</x:v>
      </x:c>
      <x:c r="R108" s="28" t="n">
        <x:v>0</x:v>
      </x:c>
    </x:row>
    <x:row r="109">
      <x:c r="A109" t="str">
        <x:v>2026-07-15</x:v>
      </x:c>
      <x:c r="B109" t="str">
        <x:v>449281783851362</x:v>
      </x:c>
      <x:c r="C109" t="str">
        <x:v>Doruk Hastaneleri - SİNA ÖZEL Sağlık Hizmetleri A.ş</x:v>
      </x:c>
      <x:c r="D109" t="str">
        <x:v>120246691590090399</x:v>
      </x:c>
      <x:c r="E109" t="str">
        <x:v>Hemşire İş Başvuru - lead</x:v>
      </x:c>
      <x:c r="F109" t="str">
        <x:v>OUTCOME_LEADS</x:v>
      </x:c>
      <x:c r="G109" t="n">
        <x:v>12003</x:v>
      </x:c>
      <x:c r="H109" s="28" t="n">
        <x:v>993.74</x:v>
      </x:c>
      <x:c r="I109" t="n">
        <x:v>18103</x:v>
      </x:c>
      <x:c r="J109" t="n">
        <x:v>110</x:v>
      </x:c>
      <x:c r="K109" t="n">
        <x:v>65</x:v>
      </x:c>
      <x:c r="L109" s="27" t="n">
        <x:f>IFERROR(K109/I109,0)</x:f>
        <x:v>0.0035905650997072307</x:v>
      </x:c>
      <x:c r="M109" s="28" t="n">
        <x:f>IFERROR(H109/K109,0)</x:f>
        <x:v>15.288307692307692</x:v>
      </x:c>
      <x:c r="N109" s="28" t="n">
        <x:f>IFERROR(H109/I109*1000,0)</x:f>
        <x:v>54.893664033585594</x:v>
      </x:c>
      <x:c r="O109" t="n">
        <x:v>1.508206</x:v>
      </x:c>
      <x:c r="P109" t="n">
        <x:v>3</x:v>
      </x:c>
      <x:c r="Q109" s="28" t="n">
        <x:v>0</x:v>
      </x:c>
      <x:c r="R109" s="28" t="n">
        <x:v>0</x:v>
      </x:c>
    </x:row>
    <x:row r="110">
      <x:c r="A110" t="str">
        <x:v>2026-07-15</x:v>
      </x:c>
      <x:c r="B110" t="str">
        <x:v>449281783851362</x:v>
      </x:c>
      <x:c r="C110" t="str">
        <x:v>Doruk Hastaneleri - SİNA ÖZEL Sağlık Hizmetleri A.ş</x:v>
      </x:c>
      <x:c r="D110" t="str">
        <x:v>120246924981440399</x:v>
      </x:c>
      <x:c r="E110" t="str">
        <x:v>ÖSS-TSS - marka bilinirliği</x:v>
      </x:c>
      <x:c r="F110" t="str">
        <x:v>OUTCOME_AWARENESS</x:v>
      </x:c>
      <x:c r="G110" t="n">
        <x:v>165340</x:v>
      </x:c>
      <x:c r="H110" s="28" t="n">
        <x:v>1908.43</x:v>
      </x:c>
      <x:c r="I110" t="n">
        <x:v>172517</x:v>
      </x:c>
      <x:c r="J110" t="n">
        <x:v>104</x:v>
      </x:c>
      <x:c r="K110" t="n">
        <x:v>35</x:v>
      </x:c>
      <x:c r="L110" s="27" t="n">
        <x:f>IFERROR(K110/I110,0)</x:f>
        <x:v>0.00020287855689584214</x:v>
      </x:c>
      <x:c r="M110" s="28" t="n">
        <x:f>IFERROR(H110/K110,0)</x:f>
        <x:v>54.52657142857143</x:v>
      </x:c>
      <x:c r="N110" s="28" t="n">
        <x:f>IFERROR(H110/I110*1000,0)</x:f>
        <x:v>11.062272123906629</x:v>
      </x:c>
      <x:c r="O110" t="n">
        <x:v>1.043408</x:v>
      </x:c>
      <x:c r="P110" t="n">
        <x:v>0</x:v>
      </x:c>
      <x:c r="Q110" s="28" t="n">
        <x:v>0</x:v>
      </x:c>
      <x:c r="R110" s="28" t="n">
        <x:v>0</x:v>
      </x:c>
    </x:row>
    <x:row r="111">
      <x:c r="A111" t="str">
        <x:v>2026-07-15</x:v>
      </x:c>
      <x:c r="B111" t="str">
        <x:v>449281783851362</x:v>
      </x:c>
      <x:c r="C111" t="str">
        <x:v>Doruk Hastaneleri - SİNA ÖZEL Sağlık Hizmetleri A.ş</x:v>
      </x:c>
      <x:c r="D111" t="str">
        <x:v>120247034876600399</x:v>
      </x:c>
      <x:c r="E111" t="str">
        <x:v>Gebe-Doğum Bilinirlik</x:v>
      </x:c>
      <x:c r="F111" t="str">
        <x:v>OUTCOME_AWARENESS</x:v>
      </x:c>
      <x:c r="G111" t="n">
        <x:v>113850</x:v>
      </x:c>
      <x:c r="H111" s="28" t="n">
        <x:v>1411.28</x:v>
      </x:c>
      <x:c r="I111" t="n">
        <x:v>116325</x:v>
      </x:c>
      <x:c r="J111" t="n">
        <x:v>123</x:v>
      </x:c>
      <x:c r="K111" t="n">
        <x:v>0</x:v>
      </x:c>
      <x:c r="L111" s="27" t="n">
        <x:f>IFERROR(K111/I111,0)</x:f>
        <x:v>0</x:v>
      </x:c>
      <x:c r="M111" s="28" t="n">
        <x:f>IFERROR(H111/K111,0)</x:f>
        <x:v>0</x:v>
      </x:c>
      <x:c r="N111" s="28" t="n">
        <x:f>IFERROR(H111/I111*1000,0)</x:f>
        <x:v>12.132215774768966</x:v>
      </x:c>
      <x:c r="O111" t="n">
        <x:v>1.021739</x:v>
      </x:c>
      <x:c r="P111" t="n">
        <x:v>0</x:v>
      </x:c>
      <x:c r="Q111" s="28" t="n">
        <x:v>0</x:v>
      </x:c>
      <x:c r="R111" s="28" t="n">
        <x:v>0</x:v>
      </x:c>
    </x:row>
    <x:row r="112">
      <x:c r="A112" t="str">
        <x:v>2026-07-15</x:v>
      </x:c>
      <x:c r="B112" t="str">
        <x:v>449281783851362</x:v>
      </x:c>
      <x:c r="C112" t="str">
        <x:v>Doruk Hastaneleri - SİNA ÖZEL Sağlık Hizmetleri A.ş</x:v>
      </x:c>
      <x:c r="D112" t="str">
        <x:v>120248812698040399</x:v>
      </x:c>
      <x:c r="E112" t="str">
        <x:v>ABO / Medikal Estetik lead / 16.04.2026</x:v>
      </x:c>
      <x:c r="F112" t="str">
        <x:v>OUTCOME_LEADS</x:v>
      </x:c>
      <x:c r="G112" t="n">
        <x:v>18967</x:v>
      </x:c>
      <x:c r="H112" s="28" t="n">
        <x:v>2705.98</x:v>
      </x:c>
      <x:c r="I112" t="n">
        <x:v>24150</x:v>
      </x:c>
      <x:c r="J112" t="n">
        <x:v>249</x:v>
      </x:c>
      <x:c r="K112" t="n">
        <x:v>119</x:v>
      </x:c>
      <x:c r="L112" s="27" t="n">
        <x:f>IFERROR(K112/I112,0)</x:f>
        <x:v>0.004927536231884058</x:v>
      </x:c>
      <x:c r="M112" s="28" t="n">
        <x:f>IFERROR(H112/K112,0)</x:f>
        <x:v>22.739327731092438</x:v>
      </x:c>
      <x:c r="N112" s="28" t="n">
        <x:f>IFERROR(H112/I112*1000,0)</x:f>
        <x:v>112.0488612836439</x:v>
      </x:c>
      <x:c r="O112" t="n">
        <x:v>1.273264</x:v>
      </x:c>
      <x:c r="P112" t="n">
        <x:v>20</x:v>
      </x:c>
      <x:c r="Q112" s="28" t="n">
        <x:v>0</x:v>
      </x:c>
      <x:c r="R112" s="28" t="n">
        <x:v>0</x:v>
      </x:c>
    </x:row>
    <x:row r="113">
      <x:c r="A113" t="str">
        <x:v>2026-07-15</x:v>
      </x:c>
      <x:c r="B113" t="str">
        <x:v>449281783851362</x:v>
      </x:c>
      <x:c r="C113" t="str">
        <x:v>Doruk Hastaneleri - SİNA ÖZEL Sağlık Hizmetleri A.ş</x:v>
      </x:c>
      <x:c r="D113" t="str">
        <x:v>120249061996540399</x:v>
      </x:c>
      <x:c r="E113" t="str">
        <x:v>Doktor - Bilinirlik Kampanyası - Nilüfer</x:v>
      </x:c>
      <x:c r="F113" t="str">
        <x:v>OUTCOME_AWARENESS</x:v>
      </x:c>
      <x:c r="G113" t="n">
        <x:v>631585</x:v>
      </x:c>
      <x:c r="H113" s="28" t="n">
        <x:v>6503.7</x:v>
      </x:c>
      <x:c r="I113" t="n">
        <x:v>767498</x:v>
      </x:c>
      <x:c r="J113" t="n">
        <x:v>440</x:v>
      </x:c>
      <x:c r="K113" t="n">
        <x:v>1</x:v>
      </x:c>
      <x:c r="L113" s="27" t="n">
        <x:f>IFERROR(K113/I113,0)</x:f>
        <x:v>0.000001302934991361541</x:v>
      </x:c>
      <x:c r="M113" s="28" t="n">
        <x:f>IFERROR(H113/K113,0)</x:f>
        <x:v>6503.7</x:v>
      </x:c>
      <x:c r="N113" s="28" t="n">
        <x:f>IFERROR(H113/I113*1000,0)</x:f>
        <x:v>8.473898303318053</x:v>
      </x:c>
      <x:c r="O113" t="n">
        <x:v>1.215194</x:v>
      </x:c>
      <x:c r="P113" t="n">
        <x:v>0</x:v>
      </x:c>
      <x:c r="Q113" s="28" t="n">
        <x:v>0</x:v>
      </x:c>
      <x:c r="R113" s="28" t="n">
        <x:v>0</x:v>
      </x:c>
    </x:row>
    <x:row r="114">
      <x:c r="A114" t="str">
        <x:v>2026-07-15</x:v>
      </x:c>
      <x:c r="B114" t="str">
        <x:v>449281783851362</x:v>
      </x:c>
      <x:c r="C114" t="str">
        <x:v>Doruk Hastaneleri - SİNA ÖZEL Sağlık Hizmetleri A.ş</x:v>
      </x:c>
      <x:c r="D114" t="str">
        <x:v>120249614228610399</x:v>
      </x:c>
      <x:c r="E114" t="str">
        <x:v>Instagram gönderisi: Bir sezon boyunca ortaya...</x:v>
      </x:c>
      <x:c r="F114" t="str">
        <x:v>LINK_CLICKS</x:v>
      </x:c>
      <x:c r="G114" t="n">
        <x:v>51349</x:v>
      </x:c>
      <x:c r="H114" s="28" t="n">
        <x:v>4599.17</x:v>
      </x:c>
      <x:c r="I114" t="n">
        <x:v>56541</x:v>
      </x:c>
      <x:c r="J114" t="n">
        <x:v>835</x:v>
      </x:c>
      <x:c r="K114" t="n">
        <x:v>847</x:v>
      </x:c>
      <x:c r="L114" s="27" t="n">
        <x:f>IFERROR(K114/I114,0)</x:f>
        <x:v>0.014980279796961498</x:v>
      </x:c>
      <x:c r="M114" s="28" t="n">
        <x:f>IFERROR(H114/K114,0)</x:f>
        <x:v>5.429952774498229</x:v>
      </x:c>
      <x:c r="N114" s="28" t="n">
        <x:f>IFERROR(H114/I114*1000,0)</x:f>
        <x:v>81.34221184627084</x:v>
      </x:c>
      <x:c r="O114" t="n">
        <x:v>1.101112</x:v>
      </x:c>
      <x:c r="P114" t="n">
        <x:v>0</x:v>
      </x:c>
      <x:c r="Q114" s="28" t="n">
        <x:v>0</x:v>
      </x:c>
      <x:c r="R114" s="28" t="n">
        <x:v>0</x:v>
      </x:c>
    </x:row>
    <x:row r="115">
      <x:c r="A115" t="str">
        <x:v>2026-07-15</x:v>
      </x:c>
      <x:c r="B115" t="str">
        <x:v>449281783851362</x:v>
      </x:c>
      <x:c r="C115" t="str">
        <x:v>Doruk Hastaneleri - SİNA ÖZEL Sağlık Hizmetleri A.ş</x:v>
      </x:c>
      <x:c r="D115" t="str">
        <x:v>120251414264130399</x:v>
      </x:c>
      <x:c r="E115" t="str">
        <x:v>Prostat Checkup - lead</x:v>
      </x:c>
      <x:c r="F115" t="str">
        <x:v>OUTCOME_LEADS</x:v>
      </x:c>
      <x:c r="G115" t="n">
        <x:v>6896</x:v>
      </x:c>
      <x:c r="H115" s="28" t="n">
        <x:v>601.35</x:v>
      </x:c>
      <x:c r="I115" t="n">
        <x:v>8840</x:v>
      </x:c>
      <x:c r="J115" t="n">
        <x:v>137</x:v>
      </x:c>
      <x:c r="K115" t="n">
        <x:v>70</x:v>
      </x:c>
      <x:c r="L115" s="27" t="n">
        <x:f>IFERROR(K115/I115,0)</x:f>
        <x:v>0.007918552036199095</x:v>
      </x:c>
      <x:c r="M115" s="28" t="n">
        <x:f>IFERROR(H115/K115,0)</x:f>
        <x:v>8.590714285714286</x:v>
      </x:c>
      <x:c r="N115" s="28" t="n">
        <x:f>IFERROR(H115/I115*1000,0)</x:f>
        <x:v>68.02601809954751</x:v>
      </x:c>
      <x:c r="O115" t="n">
        <x:v>1.281903</x:v>
      </x:c>
      <x:c r="P115" t="n">
        <x:v>2</x:v>
      </x:c>
      <x:c r="Q115" s="28" t="n">
        <x:v>0</x:v>
      </x:c>
      <x:c r="R115" s="28" t="n">
        <x:v>0</x:v>
      </x:c>
    </x:row>
    <x:row r="116">
      <x:c r="A116" t="str">
        <x:v>2026-07-15</x:v>
      </x:c>
      <x:c r="B116" t="str">
        <x:v>449281783851362</x:v>
      </x:c>
      <x:c r="C116" t="str">
        <x:v>Doruk Hastaneleri - SİNA ÖZEL Sağlık Hizmetleri A.ş</x:v>
      </x:c>
      <x:c r="D116" t="str">
        <x:v>120252323141170399</x:v>
      </x:c>
      <x:c r="E116" t="str">
        <x:v>Instagram gönderisi: Medikal estetik alanındaki...</x:v>
      </x:c>
      <x:c r="F116" t="str">
        <x:v>LINK_CLICKS</x:v>
      </x:c>
      <x:c r="G116" t="n">
        <x:v>10027</x:v>
      </x:c>
      <x:c r="H116" s="28" t="n">
        <x:v>518.64</x:v>
      </x:c>
      <x:c r="I116" t="n">
        <x:v>10352</x:v>
      </x:c>
      <x:c r="J116" t="n">
        <x:v>125</x:v>
      </x:c>
      <x:c r="K116" t="n">
        <x:v>124</x:v>
      </x:c>
      <x:c r="L116" s="27" t="n">
        <x:f>IFERROR(K116/I116,0)</x:f>
        <x:v>0.011978361669242658</x:v>
      </x:c>
      <x:c r="M116" s="28" t="n">
        <x:f>IFERROR(H116/K116,0)</x:f>
        <x:v>4.18258064516129</x:v>
      </x:c>
      <x:c r="N116" s="28" t="n">
        <x:f>IFERROR(H116/I116*1000,0)</x:f>
        <x:v>50.10046367851623</x:v>
      </x:c>
      <x:c r="O116" t="n">
        <x:v>1.032412</x:v>
      </x:c>
      <x:c r="P116" t="n">
        <x:v>0</x:v>
      </x:c>
      <x:c r="Q116" s="28" t="n">
        <x:v>0</x:v>
      </x:c>
      <x:c r="R116" s="28" t="n">
        <x:v>0</x:v>
      </x:c>
    </x:row>
    <x:row r="117">
      <x:c r="A117" t="str">
        <x:v>2026-07-15</x:v>
      </x:c>
      <x:c r="B117" t="str">
        <x:v>449281783851362</x:v>
      </x:c>
      <x:c r="C117" t="str">
        <x:v>Doruk Hastaneleri - SİNA ÖZEL Sağlık Hizmetleri A.ş</x:v>
      </x:c>
      <x:c r="D117" t="str">
        <x:v>120255099624540399</x:v>
      </x:c>
      <x:c r="E117" t="str">
        <x:v>Instagram gönderisi: Doruk Sağlık Grubu olarak,...</x:v>
      </x:c>
      <x:c r="F117" t="str">
        <x:v>LINK_CLICKS</x:v>
      </x:c>
      <x:c r="G117" t="n">
        <x:v>36397</x:v>
      </x:c>
      <x:c r="H117" s="28" t="n">
        <x:v>3337.8</x:v>
      </x:c>
      <x:c r="I117" t="n">
        <x:v>38218</x:v>
      </x:c>
      <x:c r="J117" t="n">
        <x:v>575</x:v>
      </x:c>
      <x:c r="K117" t="n">
        <x:v>572</x:v>
      </x:c>
      <x:c r="L117" s="27" t="n">
        <x:f>IFERROR(K117/I117,0)</x:f>
        <x:v>0.014966769585012299</x:v>
      </x:c>
      <x:c r="M117" s="28" t="n">
        <x:f>IFERROR(H117/K117,0)</x:f>
        <x:v>5.835314685314685</x:v>
      </x:c>
      <x:c r="N117" s="28" t="n">
        <x:f>IFERROR(H117/I117*1000,0)</x:f>
        <x:v>87.33581035114345</x:v>
      </x:c>
      <x:c r="O117" t="n">
        <x:v>1.050032</x:v>
      </x:c>
      <x:c r="P117" t="n">
        <x:v>0</x:v>
      </x:c>
      <x:c r="Q117" s="28" t="n">
        <x:v>0</x:v>
      </x:c>
      <x:c r="R117" s="28" t="n">
        <x:v>0</x:v>
      </x:c>
    </x:row>
    <x:row r="118">
      <x:c r="A118" t="str">
        <x:v>2026-07-15</x:v>
      </x:c>
      <x:c r="B118" t="str">
        <x:v>449281783851362</x:v>
      </x:c>
      <x:c r="C118" t="str">
        <x:v>Doruk Hastaneleri - SİNA ÖZEL Sağlık Hizmetleri A.ş</x:v>
      </x:c>
      <x:c r="D118" t="str">
        <x:v>120255158812950399</x:v>
      </x:c>
      <x:c r="E118" t="str">
        <x:v>Doktor - Bilinirlik Kampanyası - Yıldırım</x:v>
      </x:c>
      <x:c r="F118" t="str">
        <x:v>OUTCOME_AWARENESS</x:v>
      </x:c>
      <x:c r="G118" t="n">
        <x:v>265161</x:v>
      </x:c>
      <x:c r="H118" s="28" t="n">
        <x:v>2497.92</x:v>
      </x:c>
      <x:c r="I118" t="n">
        <x:v>295081</x:v>
      </x:c>
      <x:c r="J118" t="n">
        <x:v>154</x:v>
      </x:c>
      <x:c r="K118" t="n">
        <x:v>0</x:v>
      </x:c>
      <x:c r="L118" s="27" t="n">
        <x:f>IFERROR(K118/I118,0)</x:f>
        <x:v>0</x:v>
      </x:c>
      <x:c r="M118" s="28" t="n">
        <x:f>IFERROR(H118/K118,0)</x:f>
        <x:v>0</x:v>
      </x:c>
      <x:c r="N118" s="28" t="n">
        <x:f>IFERROR(H118/I118*1000,0)</x:f>
        <x:v>8.46520108038132</x:v>
      </x:c>
      <x:c r="O118" t="n">
        <x:v>1.112837</x:v>
      </x:c>
      <x:c r="P118" t="n">
        <x:v>0</x:v>
      </x:c>
      <x:c r="Q118" s="28" t="n">
        <x:v>0</x:v>
      </x:c>
      <x:c r="R118" s="28" t="n">
        <x:v>0</x:v>
      </x:c>
    </x:row>
    <x:row r="119">
      <x:c r="A119" t="str">
        <x:v>2026-07-16</x:v>
      </x:c>
      <x:c r="B119" t="str">
        <x:v>449281783851362</x:v>
      </x:c>
      <x:c r="C119" t="str">
        <x:v>Doruk Hastaneleri - SİNA ÖZEL Sağlık Hizmetleri A.ş</x:v>
      </x:c>
      <x:c r="D119" t="str">
        <x:v>120202624613730399</x:v>
      </x:c>
      <x:c r="E119" t="str">
        <x:v>CBO / Saç Ekimi - lead / soğuk</x:v>
      </x:c>
      <x:c r="F119" t="str">
        <x:v>OUTCOME_LEADS</x:v>
      </x:c>
      <x:c r="G119" t="n">
        <x:v>4722</x:v>
      </x:c>
      <x:c r="H119" s="28" t="n">
        <x:v>924.98</x:v>
      </x:c>
      <x:c r="I119" t="n">
        <x:v>6905</x:v>
      </x:c>
      <x:c r="J119" t="n">
        <x:v>30</x:v>
      </x:c>
      <x:c r="K119" t="n">
        <x:v>20</x:v>
      </x:c>
      <x:c r="L119" s="27" t="n">
        <x:f>IFERROR(K119/I119,0)</x:f>
        <x:v>0.002896451846488052</x:v>
      </x:c>
      <x:c r="M119" s="28" t="n">
        <x:f>IFERROR(H119/K119,0)</x:f>
        <x:v>46.249</x:v>
      </x:c>
      <x:c r="N119" s="28" t="n">
        <x:f>IFERROR(H119/I119*1000,0)</x:f>
        <x:v>133.95800144822593</x:v>
      </x:c>
      <x:c r="O119" t="n">
        <x:v>1.462304</x:v>
      </x:c>
      <x:c r="P119" t="n">
        <x:v>3</x:v>
      </x:c>
      <x:c r="Q119" s="28" t="n">
        <x:v>0</x:v>
      </x:c>
      <x:c r="R119" s="28" t="n">
        <x:v>0</x:v>
      </x:c>
    </x:row>
    <x:row r="120">
      <x:c r="A120" t="str">
        <x:v>2026-07-16</x:v>
      </x:c>
      <x:c r="B120" t="str">
        <x:v>449281783851362</x:v>
      </x:c>
      <x:c r="C120" t="str">
        <x:v>Doruk Hastaneleri - SİNA ÖZEL Sağlık Hizmetleri A.ş</x:v>
      </x:c>
      <x:c r="D120" t="str">
        <x:v>120211731920800399</x:v>
      </x:c>
      <x:c r="E120" t="str">
        <x:v>ABO / Göz Kapağı Estetiği / plastik cerrahi / lead</x:v>
      </x:c>
      <x:c r="F120" t="str">
        <x:v>OUTCOME_LEADS</x:v>
      </x:c>
      <x:c r="G120" t="n">
        <x:v>2541</x:v>
      </x:c>
      <x:c r="H120" s="28" t="n">
        <x:v>328.93</x:v>
      </x:c>
      <x:c r="I120" t="n">
        <x:v>3135</x:v>
      </x:c>
      <x:c r="J120" t="n">
        <x:v>13</x:v>
      </x:c>
      <x:c r="K120" t="n">
        <x:v>6</x:v>
      </x:c>
      <x:c r="L120" s="27" t="n">
        <x:f>IFERROR(K120/I120,0)</x:f>
        <x:v>0.0019138755980861245</x:v>
      </x:c>
      <x:c r="M120" s="28" t="n">
        <x:f>IFERROR(H120/K120,0)</x:f>
        <x:v>54.821666666666665</x:v>
      </x:c>
      <x:c r="N120" s="28" t="n">
        <x:f>IFERROR(H120/I120*1000,0)</x:f>
        <x:v>104.92185007974481</x:v>
      </x:c>
      <x:c r="O120" t="n">
        <x:v>1.233766</x:v>
      </x:c>
      <x:c r="P120" t="n">
        <x:v>2</x:v>
      </x:c>
      <x:c r="Q120" s="28" t="n">
        <x:v>0</x:v>
      </x:c>
      <x:c r="R120" s="28" t="n">
        <x:v>0</x:v>
      </x:c>
    </x:row>
    <x:row r="121">
      <x:c r="A121" t="str">
        <x:v>2026-07-16</x:v>
      </x:c>
      <x:c r="B121" t="str">
        <x:v>449281783851362</x:v>
      </x:c>
      <x:c r="C121" t="str">
        <x:v>Doruk Hastaneleri - SİNA ÖZEL Sağlık Hizmetleri A.ş</x:v>
      </x:c>
      <x:c r="D121" t="str">
        <x:v>120211732243050399</x:v>
      </x:c>
      <x:c r="E121" t="str">
        <x:v>ABO /Kepçe Kulak / plastik cerrahi / lead</x:v>
      </x:c>
      <x:c r="F121" t="str">
        <x:v>OUTCOME_LEADS</x:v>
      </x:c>
      <x:c r="G121" t="n">
        <x:v>8286</x:v>
      </x:c>
      <x:c r="H121" s="28" t="n">
        <x:v>311.43</x:v>
      </x:c>
      <x:c r="I121" t="n">
        <x:v>8894</x:v>
      </x:c>
      <x:c r="J121" t="n">
        <x:v>28</x:v>
      </x:c>
      <x:c r="K121" t="n">
        <x:v>19</x:v>
      </x:c>
      <x:c r="L121" s="27" t="n">
        <x:f>IFERROR(K121/I121,0)</x:f>
        <x:v>0.0021362716438048123</x:v>
      </x:c>
      <x:c r="M121" s="28" t="n">
        <x:f>IFERROR(H121/K121,0)</x:f>
        <x:v>16.391052631578948</x:v>
      </x:c>
      <x:c r="N121" s="28" t="n">
        <x:f>IFERROR(H121/I121*1000,0)</x:f>
        <x:v>35.01574094895435</x:v>
      </x:c>
      <x:c r="O121" t="n">
        <x:v>1.073377</x:v>
      </x:c>
      <x:c r="P121" t="n">
        <x:v>1</x:v>
      </x:c>
      <x:c r="Q121" s="28" t="n">
        <x:v>0</x:v>
      </x:c>
      <x:c r="R121" s="28" t="n">
        <x:v>0</x:v>
      </x:c>
    </x:row>
    <x:row r="122">
      <x:c r="A122" t="str">
        <x:v>2026-07-16</x:v>
      </x:c>
      <x:c r="B122" t="str">
        <x:v>449281783851362</x:v>
      </x:c>
      <x:c r="C122" t="str">
        <x:v>Doruk Hastaneleri - SİNA ÖZEL Sağlık Hizmetleri A.ş</x:v>
      </x:c>
      <x:c r="D122" t="str">
        <x:v>120211732311210399</x:v>
      </x:c>
      <x:c r="E122" t="str">
        <x:v>ABO / Meme Estetiği / plastik cerrahi / lead</x:v>
      </x:c>
      <x:c r="F122" t="str">
        <x:v>OUTCOME_LEADS</x:v>
      </x:c>
      <x:c r="G122" t="n">
        <x:v>6335</x:v>
      </x:c>
      <x:c r="H122" s="28" t="n">
        <x:v>1033.57</x:v>
      </x:c>
      <x:c r="I122" t="n">
        <x:v>8981</x:v>
      </x:c>
      <x:c r="J122" t="n">
        <x:v>52</x:v>
      </x:c>
      <x:c r="K122" t="n">
        <x:v>33</x:v>
      </x:c>
      <x:c r="L122" s="27" t="n">
        <x:f>IFERROR(K122/I122,0)</x:f>
        <x:v>0.003674423783543035</x:v>
      </x:c>
      <x:c r="M122" s="28" t="n">
        <x:f>IFERROR(H122/K122,0)</x:f>
        <x:v>31.320303030303027</x:v>
      </x:c>
      <x:c r="N122" s="28" t="n">
        <x:f>IFERROR(H122/I122*1000,0)</x:f>
        <x:v>115.08406636232046</x:v>
      </x:c>
      <x:c r="O122" t="n">
        <x:v>1.41768</x:v>
      </x:c>
      <x:c r="P122" t="n">
        <x:v>4</x:v>
      </x:c>
      <x:c r="Q122" s="28" t="n">
        <x:v>0</x:v>
      </x:c>
      <x:c r="R122" s="28" t="n">
        <x:v>0</x:v>
      </x:c>
    </x:row>
    <x:row r="123">
      <x:c r="A123" t="str">
        <x:v>2026-07-16</x:v>
      </x:c>
      <x:c r="B123" t="str">
        <x:v>449281783851362</x:v>
      </x:c>
      <x:c r="C123" t="str">
        <x:v>Doruk Hastaneleri - SİNA ÖZEL Sağlık Hizmetleri A.ş</x:v>
      </x:c>
      <x:c r="D123" t="str">
        <x:v>120211732618490399</x:v>
      </x:c>
      <x:c r="E123" t="str">
        <x:v>ABO /Jinekomasti / plastik cerrahi / lead</x:v>
      </x:c>
      <x:c r="F123" t="str">
        <x:v>OUTCOME_LEADS</x:v>
      </x:c>
      <x:c r="G123" t="n">
        <x:v>2547</x:v>
      </x:c>
      <x:c r="H123" s="28" t="n">
        <x:v>319.37</x:v>
      </x:c>
      <x:c r="I123" t="n">
        <x:v>3449</x:v>
      </x:c>
      <x:c r="J123" t="n">
        <x:v>28</x:v>
      </x:c>
      <x:c r="K123" t="n">
        <x:v>21</x:v>
      </x:c>
      <x:c r="L123" s="27" t="n">
        <x:f>IFERROR(K123/I123,0)</x:f>
        <x:v>0.006088721368512612</x:v>
      </x:c>
      <x:c r="M123" s="28" t="n">
        <x:f>IFERROR(H123/K123,0)</x:f>
        <x:v>15.208095238095238</x:v>
      </x:c>
      <x:c r="N123" s="28" t="n">
        <x:f>IFERROR(H123/I123*1000,0)</x:f>
        <x:v>92.59785445056538</x:v>
      </x:c>
      <x:c r="O123" t="n">
        <x:v>1.354142</x:v>
      </x:c>
      <x:c r="P123" t="n">
        <x:v>1</x:v>
      </x:c>
      <x:c r="Q123" s="28" t="n">
        <x:v>0</x:v>
      </x:c>
      <x:c r="R123" s="28" t="n">
        <x:v>0</x:v>
      </x:c>
    </x:row>
    <x:row r="124">
      <x:c r="A124" t="str">
        <x:v>2026-07-16</x:v>
      </x:c>
      <x:c r="B124" t="str">
        <x:v>449281783851362</x:v>
      </x:c>
      <x:c r="C124" t="str">
        <x:v>Doruk Hastaneleri - SİNA ÖZEL Sağlık Hizmetleri A.ş</x:v>
      </x:c>
      <x:c r="D124" t="str">
        <x:v>120211732654260399</x:v>
      </x:c>
      <x:c r="E124" t="str">
        <x:v>ABO / Rinoplasti / plastik cerrahi / lead</x:v>
      </x:c>
      <x:c r="F124" t="str">
        <x:v>OUTCOME_LEADS</x:v>
      </x:c>
      <x:c r="G124" t="n">
        <x:v>3532</x:v>
      </x:c>
      <x:c r="H124" s="28" t="n">
        <x:v>790.25</x:v>
      </x:c>
      <x:c r="I124" t="n">
        <x:v>5201</x:v>
      </x:c>
      <x:c r="J124" t="n">
        <x:v>35</x:v>
      </x:c>
      <x:c r="K124" t="n">
        <x:v>24</x:v>
      </x:c>
      <x:c r="L124" s="27" t="n">
        <x:f>IFERROR(K124/I124,0)</x:f>
        <x:v>0.004614497212074601</x:v>
      </x:c>
      <x:c r="M124" s="28" t="n">
        <x:f>IFERROR(H124/K124,0)</x:f>
        <x:v>32.927083333333336</x:v>
      </x:c>
      <x:c r="N124" s="28" t="n">
        <x:f>IFERROR(H124/I124*1000,0)</x:f>
        <x:v>151.94193424341472</x:v>
      </x:c>
      <x:c r="O124" t="n">
        <x:v>1.472537</x:v>
      </x:c>
      <x:c r="P124" t="n">
        <x:v>1</x:v>
      </x:c>
      <x:c r="Q124" s="28" t="n">
        <x:v>0</x:v>
      </x:c>
      <x:c r="R124" s="28" t="n">
        <x:v>0</x:v>
      </x:c>
    </x:row>
    <x:row r="125">
      <x:c r="A125" t="str">
        <x:v>2026-07-16</x:v>
      </x:c>
      <x:c r="B125" t="str">
        <x:v>449281783851362</x:v>
      </x:c>
      <x:c r="C125" t="str">
        <x:v>Doruk Hastaneleri - SİNA ÖZEL Sağlık Hizmetleri A.ş</x:v>
      </x:c>
      <x:c r="D125" t="str">
        <x:v>120211732712890399</x:v>
      </x:c>
      <x:c r="E125" t="str">
        <x:v>ABO / Vücut Şekillendirme / plastik cerrahi / lead</x:v>
      </x:c>
      <x:c r="F125" t="str">
        <x:v>OUTCOME_LEADS</x:v>
      </x:c>
      <x:c r="G125" t="n">
        <x:v>921</x:v>
      </x:c>
      <x:c r="H125" s="28" t="n">
        <x:v>342.2</x:v>
      </x:c>
      <x:c r="I125" t="n">
        <x:v>1295</x:v>
      </x:c>
      <x:c r="J125" t="n">
        <x:v>24</x:v>
      </x:c>
      <x:c r="K125" t="n">
        <x:v>9</x:v>
      </x:c>
      <x:c r="L125" s="27" t="n">
        <x:f>IFERROR(K125/I125,0)</x:f>
        <x:v>0.0069498069498069494</x:v>
      </x:c>
      <x:c r="M125" s="28" t="n">
        <x:f>IFERROR(H125/K125,0)</x:f>
        <x:v>38.02222222222222</x:v>
      </x:c>
      <x:c r="N125" s="28" t="n">
        <x:f>IFERROR(H125/I125*1000,0)</x:f>
        <x:v>264.24710424710423</x:v>
      </x:c>
      <x:c r="O125" t="n">
        <x:v>1.40608</x:v>
      </x:c>
      <x:c r="P125" t="n">
        <x:v>0</x:v>
      </x:c>
      <x:c r="Q125" s="28" t="n">
        <x:v>0</x:v>
      </x:c>
      <x:c r="R125" s="28" t="n">
        <x:v>0</x:v>
      </x:c>
    </x:row>
    <x:row r="126">
      <x:c r="A126" t="str">
        <x:v>2026-07-16</x:v>
      </x:c>
      <x:c r="B126" t="str">
        <x:v>449281783851362</x:v>
      </x:c>
      <x:c r="C126" t="str">
        <x:v>Doruk Hastaneleri - SİNA ÖZEL Sağlık Hizmetleri A.ş</x:v>
      </x:c>
      <x:c r="D126" t="str">
        <x:v>120211732754080399</x:v>
      </x:c>
      <x:c r="E126" t="str">
        <x:v>ABO / Yüz Germe (Facelift) / plastik cerrahi / lead</x:v>
      </x:c>
      <x:c r="F126" t="str">
        <x:v>OUTCOME_LEADS</x:v>
      </x:c>
      <x:c r="G126" t="n">
        <x:v>551</x:v>
      </x:c>
      <x:c r="H126" s="28" t="n">
        <x:v>308.41</x:v>
      </x:c>
      <x:c r="I126" t="n">
        <x:v>762</x:v>
      </x:c>
      <x:c r="J126" t="n">
        <x:v>10</x:v>
      </x:c>
      <x:c r="K126" t="n">
        <x:v>2</x:v>
      </x:c>
      <x:c r="L126" s="27" t="n">
        <x:f>IFERROR(K126/I126,0)</x:f>
        <x:v>0.0026246719160104987</x:v>
      </x:c>
      <x:c r="M126" s="28" t="n">
        <x:f>IFERROR(H126/K126,0)</x:f>
        <x:v>154.205</x:v>
      </x:c>
      <x:c r="N126" s="28" t="n">
        <x:f>IFERROR(H126/I126*1000,0)</x:f>
        <x:v>404.73753280839895</x:v>
      </x:c>
      <x:c r="O126" t="n">
        <x:v>1.38294</x:v>
      </x:c>
      <x:c r="P126" t="n">
        <x:v>1</x:v>
      </x:c>
      <x:c r="Q126" s="28" t="n">
        <x:v>0</x:v>
      </x:c>
      <x:c r="R126" s="28" t="n">
        <x:v>0</x:v>
      </x:c>
    </x:row>
    <x:row r="127">
      <x:c r="A127" t="str">
        <x:v>2026-07-16</x:v>
      </x:c>
      <x:c r="B127" t="str">
        <x:v>449281783851362</x:v>
      </x:c>
      <x:c r="C127" t="str">
        <x:v>Doruk Hastaneleri - SİNA ÖZEL Sağlık Hizmetleri A.ş</x:v>
      </x:c>
      <x:c r="D127" t="str">
        <x:v>120214167265870399</x:v>
      </x:c>
      <x:c r="E127" t="str">
        <x:v>Baş Dönmesi ve Denge Ünitesi / lead</x:v>
      </x:c>
      <x:c r="F127" t="str">
        <x:v>OUTCOME_LEADS</x:v>
      </x:c>
      <x:c r="G127" t="n">
        <x:v>8422</x:v>
      </x:c>
      <x:c r="H127" s="28" t="n">
        <x:v>517.17</x:v>
      </x:c>
      <x:c r="I127" t="n">
        <x:v>10270</x:v>
      </x:c>
      <x:c r="J127" t="n">
        <x:v>118</x:v>
      </x:c>
      <x:c r="K127" t="n">
        <x:v>56</x:v>
      </x:c>
      <x:c r="L127" s="27" t="n">
        <x:f>IFERROR(K127/I127,0)</x:f>
        <x:v>0.005452775073028238</x:v>
      </x:c>
      <x:c r="M127" s="28" t="n">
        <x:f>IFERROR(H127/K127,0)</x:f>
        <x:v>9.235178571428571</x:v>
      </x:c>
      <x:c r="N127" s="28" t="n">
        <x:f>IFERROR(H127/I127*1000,0)</x:f>
        <x:v>50.35735150925024</x:v>
      </x:c>
      <x:c r="O127" t="n">
        <x:v>1.219425</x:v>
      </x:c>
      <x:c r="P127" t="n">
        <x:v>4</x:v>
      </x:c>
      <x:c r="Q127" s="28" t="n">
        <x:v>0</x:v>
      </x:c>
      <x:c r="R127" s="28" t="n">
        <x:v>0</x:v>
      </x:c>
    </x:row>
    <x:row r="128">
      <x:c r="A128" t="str">
        <x:v>2026-07-16</x:v>
      </x:c>
      <x:c r="B128" t="str">
        <x:v>449281783851362</x:v>
      </x:c>
      <x:c r="C128" t="str">
        <x:v>Doruk Hastaneleri - SİNA ÖZEL Sağlık Hizmetleri A.ş</x:v>
      </x:c>
      <x:c r="D128" t="str">
        <x:v>120220089108220399</x:v>
      </x:c>
      <x:c r="E128" t="str">
        <x:v>Checkup - genel - lead</x:v>
      </x:c>
      <x:c r="F128" t="str">
        <x:v>OUTCOME_LEADS</x:v>
      </x:c>
      <x:c r="G128" t="n">
        <x:v>11133</x:v>
      </x:c>
      <x:c r="H128" s="28" t="n">
        <x:v>1522.71</x:v>
      </x:c>
      <x:c r="I128" t="n">
        <x:v>14816</x:v>
      </x:c>
      <x:c r="J128" t="n">
        <x:v>117</x:v>
      </x:c>
      <x:c r="K128" t="n">
        <x:v>61</x:v>
      </x:c>
      <x:c r="L128" s="27" t="n">
        <x:f>IFERROR(K128/I128,0)</x:f>
        <x:v>0.004117170626349892</x:v>
      </x:c>
      <x:c r="M128" s="28" t="n">
        <x:f>IFERROR(H128/K128,0)</x:f>
        <x:v>24.962459016393442</x:v>
      </x:c>
      <x:c r="N128" s="28" t="n">
        <x:f>IFERROR(H128/I128*1000,0)</x:f>
        <x:v>102.77470302375811</x:v>
      </x:c>
      <x:c r="O128" t="n">
        <x:v>1.330818</x:v>
      </x:c>
      <x:c r="P128" t="n">
        <x:v>5</x:v>
      </x:c>
      <x:c r="Q128" s="28" t="n">
        <x:v>0</x:v>
      </x:c>
      <x:c r="R128" s="28" t="n">
        <x:v>0</x:v>
      </x:c>
    </x:row>
    <x:row r="129">
      <x:c r="A129" t="str">
        <x:v>2026-07-16</x:v>
      </x:c>
      <x:c r="B129" t="str">
        <x:v>170008509278498</x:v>
      </x:c>
      <x:c r="C129" t="str">
        <x:v>Doruk Hospital</x:v>
      </x:c>
      <x:c r="D129" t="str">
        <x:v>120232382033210080</x:v>
      </x:c>
      <x:c r="E129" t="str">
        <x:v>Fizik Tedavi - Intensive FTR - Türki Cumhuriyetler - Tümü - RU - Lechenie v Turtsii - lead</x:v>
      </x:c>
      <x:c r="F129" t="str">
        <x:v>OUTCOME_LEADS</x:v>
      </x:c>
      <x:c r="G129" t="n">
        <x:v>136680</x:v>
      </x:c>
      <x:c r="H129" s="28" t="n">
        <x:v>28033.91</x:v>
      </x:c>
      <x:c r="I129" t="n">
        <x:v>178551</x:v>
      </x:c>
      <x:c r="J129" t="n">
        <x:v>1201</x:v>
      </x:c>
      <x:c r="K129" t="n">
        <x:v>882</x:v>
      </x:c>
      <x:c r="L129" s="27" t="n">
        <x:f>IFERROR(K129/I129,0)</x:f>
        <x:v>0.0049397651091284845</x:v>
      </x:c>
      <x:c r="M129" s="28" t="n">
        <x:f>IFERROR(H129/K129,0)</x:f>
        <x:v>31.784478458049886</x:v>
      </x:c>
      <x:c r="N129" s="28" t="n">
        <x:f>IFERROR(H129/I129*1000,0)</x:f>
        <x:v>157.00785769892076</x:v>
      </x:c>
      <x:c r="O129" t="n">
        <x:v>1.306343</x:v>
      </x:c>
      <x:c r="P129" t="n">
        <x:v>15</x:v>
      </x:c>
      <x:c r="Q129" s="28" t="n">
        <x:v>0</x:v>
      </x:c>
      <x:c r="R129" s="28" t="n">
        <x:v>0</x:v>
      </x:c>
    </x:row>
    <x:row r="130">
      <x:c r="A130" t="str">
        <x:v>2026-07-16</x:v>
      </x:c>
      <x:c r="B130" t="str">
        <x:v>170008509278498</x:v>
      </x:c>
      <x:c r="C130" t="str">
        <x:v>Doruk Hospital</x:v>
      </x:c>
      <x:c r="D130" t="str">
        <x:v>120238651325780080</x:v>
      </x:c>
      <x:c r="E130" t="str">
        <x:v>Whatsapp - Fizik Tedavi - Intensive FTR - Arap Bölgesi - Tümü - AR - Doruk İlaj Turkia</x:v>
      </x:c>
      <x:c r="F130" t="str">
        <x:v>OUTCOME_LEADS</x:v>
      </x:c>
      <x:c r="G130" t="n">
        <x:v>151968</x:v>
      </x:c>
      <x:c r="H130" s="28" t="n">
        <x:v>30769.17</x:v>
      </x:c>
      <x:c r="I130" t="n">
        <x:v>296259</x:v>
      </x:c>
      <x:c r="J130" t="n">
        <x:v>2404</x:v>
      </x:c>
      <x:c r="K130" t="n">
        <x:v>1283</x:v>
      </x:c>
      <x:c r="L130" s="27" t="n">
        <x:f>IFERROR(K130/I130,0)</x:f>
        <x:v>0.004330670123101746</x:v>
      </x:c>
      <x:c r="M130" s="28" t="n">
        <x:f>IFERROR(H130/K130,0)</x:f>
        <x:v>23.982205767731877</x:v>
      </x:c>
      <x:c r="N130" s="28" t="n">
        <x:f>IFERROR(H130/I130*1000,0)</x:f>
        <x:v>103.8590220043948</x:v>
      </x:c>
      <x:c r="O130" t="n">
        <x:v>1.949483</x:v>
      </x:c>
      <x:c r="P130" t="n">
        <x:v>0</x:v>
      </x:c>
      <x:c r="Q130" s="28" t="n">
        <x:v>0</x:v>
      </x:c>
      <x:c r="R130" s="28" t="n">
        <x:v>0</x:v>
      </x:c>
    </x:row>
    <x:row r="131">
      <x:c r="A131" t="str">
        <x:v>2026-07-16</x:v>
      </x:c>
      <x:c r="B131" t="str">
        <x:v>449281783851362</x:v>
      </x:c>
      <x:c r="C131" t="str">
        <x:v>Doruk Hastaneleri - SİNA ÖZEL Sağlık Hizmetleri A.ş</x:v>
      </x:c>
      <x:c r="D131" t="str">
        <x:v>120242415465180399</x:v>
      </x:c>
      <x:c r="E131" t="str">
        <x:v>Gebe-Doğum Form Kampanyası</x:v>
      </x:c>
      <x:c r="F131" t="str">
        <x:v>OUTCOME_LEADS</x:v>
      </x:c>
      <x:c r="G131" t="n">
        <x:v>56083</x:v>
      </x:c>
      <x:c r="H131" s="28" t="n">
        <x:v>7997.32</x:v>
      </x:c>
      <x:c r="I131" t="n">
        <x:v>118188</x:v>
      </x:c>
      <x:c r="J131" t="n">
        <x:v>549</x:v>
      </x:c>
      <x:c r="K131" t="n">
        <x:v>324</x:v>
      </x:c>
      <x:c r="L131" s="27" t="n">
        <x:f>IFERROR(K131/I131,0)</x:f>
        <x:v>0.0027413950654888823</x:v>
      </x:c>
      <x:c r="M131" s="28" t="n">
        <x:f>IFERROR(H131/K131,0)</x:f>
        <x:v>24.683086419753085</x:v>
      </x:c>
      <x:c r="N131" s="28" t="n">
        <x:f>IFERROR(H131/I131*1000,0)</x:f>
        <x:v>67.66609131214675</x:v>
      </x:c>
      <x:c r="O131" t="n">
        <x:v>2.107377</x:v>
      </x:c>
      <x:c r="P131" t="n">
        <x:v>25</x:v>
      </x:c>
      <x:c r="Q131" s="28" t="n">
        <x:v>0</x:v>
      </x:c>
      <x:c r="R131" s="28" t="n">
        <x:v>0</x:v>
      </x:c>
    </x:row>
    <x:row r="132">
      <x:c r="A132" t="str">
        <x:v>2026-07-16</x:v>
      </x:c>
      <x:c r="B132" t="str">
        <x:v>170008509278498</x:v>
      </x:c>
      <x:c r="C132" t="str">
        <x:v>Doruk Hospital</x:v>
      </x:c>
      <x:c r="D132" t="str">
        <x:v>120242709752170080</x:v>
      </x:c>
      <x:c r="E132" t="str">
        <x:v>Instagram gönderisi: Аппарат TrueBeam — одна из...</x:v>
      </x:c>
      <x:c r="F132" t="str">
        <x:v>LINK_CLICKS</x:v>
      </x:c>
      <x:c r="G132" t="n">
        <x:v>92230</x:v>
      </x:c>
      <x:c r="H132" s="28" t="n">
        <x:v>5147.16</x:v>
      </x:c>
      <x:c r="I132" t="n">
        <x:v>100593</x:v>
      </x:c>
      <x:c r="J132" t="n">
        <x:v>2245</x:v>
      </x:c>
      <x:c r="K132" t="n">
        <x:v>2232</x:v>
      </x:c>
      <x:c r="L132" s="27" t="n">
        <x:f>IFERROR(K132/I132,0)</x:f>
        <x:v>0.022188422653663775</x:v>
      </x:c>
      <x:c r="M132" s="28" t="n">
        <x:f>IFERROR(H132/K132,0)</x:f>
        <x:v>2.3060752688172044</x:v>
      </x:c>
      <x:c r="N132" s="28" t="n">
        <x:f>IFERROR(H132/I132*1000,0)</x:f>
        <x:v>51.16817273567743</x:v>
      </x:c>
      <x:c r="O132" t="n">
        <x:v>1.090675</x:v>
      </x:c>
      <x:c r="P132" t="n">
        <x:v>0</x:v>
      </x:c>
      <x:c r="Q132" s="28" t="n">
        <x:v>0</x:v>
      </x:c>
      <x:c r="R132" s="28" t="n">
        <x:v>0</x:v>
      </x:c>
    </x:row>
    <x:row r="133">
      <x:c r="A133" t="str">
        <x:v>2026-07-16</x:v>
      </x:c>
      <x:c r="B133" t="str">
        <x:v>449281783851362</x:v>
      </x:c>
      <x:c r="C133" t="str">
        <x:v>Doruk Hastaneleri - SİNA ÖZEL Sağlık Hizmetleri A.ş</x:v>
      </x:c>
      <x:c r="D133" t="str">
        <x:v>120244050701710399</x:v>
      </x:c>
      <x:c r="E133" t="str">
        <x:v>Uzman Hekim Başvuru</x:v>
      </x:c>
      <x:c r="F133" t="str">
        <x:v>OUTCOME_LEADS</x:v>
      </x:c>
      <x:c r="G133" t="n">
        <x:v>10090</x:v>
      </x:c>
      <x:c r="H133" s="28" t="n">
        <x:v>1266.37</x:v>
      </x:c>
      <x:c r="I133" t="n">
        <x:v>13105</x:v>
      </x:c>
      <x:c r="J133" t="n">
        <x:v>148</x:v>
      </x:c>
      <x:c r="K133" t="n">
        <x:v>66</x:v>
      </x:c>
      <x:c r="L133" s="27" t="n">
        <x:f>IFERROR(K133/I133,0)</x:f>
        <x:v>0.005036245707745135</x:v>
      </x:c>
      <x:c r="M133" s="28" t="n">
        <x:f>IFERROR(H133/K133,0)</x:f>
        <x:v>19.187424242424242</x:v>
      </x:c>
      <x:c r="N133" s="28" t="n">
        <x:f>IFERROR(H133/I133*1000,0)</x:f>
        <x:v>96.63258298359403</x:v>
      </x:c>
      <x:c r="O133" t="n">
        <x:v>1.298811</x:v>
      </x:c>
      <x:c r="P133" t="n">
        <x:v>9</x:v>
      </x:c>
      <x:c r="Q133" s="28" t="n">
        <x:v>0</x:v>
      </x:c>
      <x:c r="R133" s="28" t="n">
        <x:v>0</x:v>
      </x:c>
    </x:row>
    <x:row r="134">
      <x:c r="A134" t="str">
        <x:v>2026-07-16</x:v>
      </x:c>
      <x:c r="B134" t="str">
        <x:v>449281783851362</x:v>
      </x:c>
      <x:c r="C134" t="str">
        <x:v>Doruk Hastaneleri - SİNA ÖZEL Sağlık Hizmetleri A.ş</x:v>
      </x:c>
      <x:c r="D134" t="str">
        <x:v>120246476228800399</x:v>
      </x:c>
      <x:c r="E134" t="str">
        <x:v>FTR Yatılı - lead</x:v>
      </x:c>
      <x:c r="F134" t="str">
        <x:v>OUTCOME_LEADS</x:v>
      </x:c>
      <x:c r="G134" t="n">
        <x:v>62297</x:v>
      </x:c>
      <x:c r="H134" s="28" t="n">
        <x:v>4714.77</x:v>
      </x:c>
      <x:c r="I134" t="n">
        <x:v>71250</x:v>
      </x:c>
      <x:c r="J134" t="n">
        <x:v>445</x:v>
      </x:c>
      <x:c r="K134" t="n">
        <x:v>203</x:v>
      </x:c>
      <x:c r="L134" s="27" t="n">
        <x:f>IFERROR(K134/I134,0)</x:f>
        <x:v>0.002849122807017544</x:v>
      </x:c>
      <x:c r="M134" s="28" t="n">
        <x:f>IFERROR(H134/K134,0)</x:f>
        <x:v>23.22546798029557</x:v>
      </x:c>
      <x:c r="N134" s="28" t="n">
        <x:f>IFERROR(H134/I134*1000,0)</x:f>
        <x:v>66.1722105263158</x:v>
      </x:c>
      <x:c r="O134" t="n">
        <x:v>1.143715</x:v>
      </x:c>
      <x:c r="P134" t="n">
        <x:v>6</x:v>
      </x:c>
      <x:c r="Q134" s="28" t="n">
        <x:v>0</x:v>
      </x:c>
      <x:c r="R134" s="28" t="n">
        <x:v>0</x:v>
      </x:c>
    </x:row>
    <x:row r="135">
      <x:c r="A135" t="str">
        <x:v>2026-07-16</x:v>
      </x:c>
      <x:c r="B135" t="str">
        <x:v>449281783851362</x:v>
      </x:c>
      <x:c r="C135" t="str">
        <x:v>Doruk Hastaneleri - SİNA ÖZEL Sağlık Hizmetleri A.ş</x:v>
      </x:c>
      <x:c r="D135" t="str">
        <x:v>120246691590090399</x:v>
      </x:c>
      <x:c r="E135" t="str">
        <x:v>Hemşire İş Başvuru - lead</x:v>
      </x:c>
      <x:c r="F135" t="str">
        <x:v>OUTCOME_LEADS</x:v>
      </x:c>
      <x:c r="G135" t="n">
        <x:v>14734</x:v>
      </x:c>
      <x:c r="H135" s="28" t="n">
        <x:v>1214.89</x:v>
      </x:c>
      <x:c r="I135" t="n">
        <x:v>23227</x:v>
      </x:c>
      <x:c r="J135" t="n">
        <x:v>121</x:v>
      </x:c>
      <x:c r="K135" t="n">
        <x:v>77</x:v>
      </x:c>
      <x:c r="L135" s="27" t="n">
        <x:f>IFERROR(K135/I135,0)</x:f>
        <x:v>0.003315107418091015</x:v>
      </x:c>
      <x:c r="M135" s="28" t="n">
        <x:f>IFERROR(H135/K135,0)</x:f>
        <x:v>15.77779220779221</x:v>
      </x:c>
      <x:c r="N135" s="28" t="n">
        <x:f>IFERROR(H135/I135*1000,0)</x:f>
        <x:v>52.30507598915056</x:v>
      </x:c>
      <x:c r="O135" t="n">
        <x:v>1.576422</x:v>
      </x:c>
      <x:c r="P135" t="n">
        <x:v>1</x:v>
      </x:c>
      <x:c r="Q135" s="28" t="n">
        <x:v>0</x:v>
      </x:c>
      <x:c r="R135" s="28" t="n">
        <x:v>0</x:v>
      </x:c>
    </x:row>
    <x:row r="136">
      <x:c r="A136" t="str">
        <x:v>2026-07-16</x:v>
      </x:c>
      <x:c r="B136" t="str">
        <x:v>449281783851362</x:v>
      </x:c>
      <x:c r="C136" t="str">
        <x:v>Doruk Hastaneleri - SİNA ÖZEL Sağlık Hizmetleri A.ş</x:v>
      </x:c>
      <x:c r="D136" t="str">
        <x:v>120246924981440399</x:v>
      </x:c>
      <x:c r="E136" t="str">
        <x:v>ÖSS-TSS - marka bilinirliği</x:v>
      </x:c>
      <x:c r="F136" t="str">
        <x:v>OUTCOME_AWARENESS</x:v>
      </x:c>
      <x:c r="G136" t="n">
        <x:v>186236</x:v>
      </x:c>
      <x:c r="H136" s="28" t="n">
        <x:v>2391.07</x:v>
      </x:c>
      <x:c r="I136" t="n">
        <x:v>197694</x:v>
      </x:c>
      <x:c r="J136" t="n">
        <x:v>174</x:v>
      </x:c>
      <x:c r="K136" t="n">
        <x:v>49</x:v>
      </x:c>
      <x:c r="L136" s="27" t="n">
        <x:f>IFERROR(K136/I136,0)</x:f>
        <x:v>0.0002478578004390624</x:v>
      </x:c>
      <x:c r="M136" s="28" t="n">
        <x:f>IFERROR(H136/K136,0)</x:f>
        <x:v>48.79734693877551</x:v>
      </x:c>
      <x:c r="N136" s="28" t="n">
        <x:f>IFERROR(H136/I136*1000,0)</x:f>
        <x:v>12.094803079506713</x:v>
      </x:c>
      <x:c r="O136" t="n">
        <x:v>1.061524</x:v>
      </x:c>
      <x:c r="P136" t="n">
        <x:v>0</x:v>
      </x:c>
      <x:c r="Q136" s="28" t="n">
        <x:v>0</x:v>
      </x:c>
      <x:c r="R136" s="28" t="n">
        <x:v>0</x:v>
      </x:c>
    </x:row>
    <x:row r="137">
      <x:c r="A137" t="str">
        <x:v>2026-07-16</x:v>
      </x:c>
      <x:c r="B137" t="str">
        <x:v>449281783851362</x:v>
      </x:c>
      <x:c r="C137" t="str">
        <x:v>Doruk Hastaneleri - SİNA ÖZEL Sağlık Hizmetleri A.ş</x:v>
      </x:c>
      <x:c r="D137" t="str">
        <x:v>120247034876600399</x:v>
      </x:c>
      <x:c r="E137" t="str">
        <x:v>Gebe-Doğum Bilinirlik</x:v>
      </x:c>
      <x:c r="F137" t="str">
        <x:v>OUTCOME_AWARENESS</x:v>
      </x:c>
      <x:c r="G137" t="n">
        <x:v>112899</x:v>
      </x:c>
      <x:c r="H137" s="28" t="n">
        <x:v>1027.51</x:v>
      </x:c>
      <x:c r="I137" t="n">
        <x:v>112899</x:v>
      </x:c>
      <x:c r="J137" t="n">
        <x:v>87</x:v>
      </x:c>
      <x:c r="K137" t="n">
        <x:v>0</x:v>
      </x:c>
      <x:c r="L137" s="27" t="n">
        <x:f>IFERROR(K137/I137,0)</x:f>
        <x:v>0</x:v>
      </x:c>
      <x:c r="M137" s="28" t="n">
        <x:f>IFERROR(H137/K137,0)</x:f>
        <x:v>0</x:v>
      </x:c>
      <x:c r="N137" s="28" t="n">
        <x:f>IFERROR(H137/I137*1000,0)</x:f>
        <x:v>9.101143499942427</x:v>
      </x:c>
      <x:c r="O137" t="n">
        <x:v>1</x:v>
      </x:c>
      <x:c r="P137" t="n">
        <x:v>0</x:v>
      </x:c>
      <x:c r="Q137" s="28" t="n">
        <x:v>0</x:v>
      </x:c>
      <x:c r="R137" s="28" t="n">
        <x:v>0</x:v>
      </x:c>
    </x:row>
    <x:row r="138">
      <x:c r="A138" t="str">
        <x:v>2026-07-16</x:v>
      </x:c>
      <x:c r="B138" t="str">
        <x:v>449281783851362</x:v>
      </x:c>
      <x:c r="C138" t="str">
        <x:v>Doruk Hastaneleri - SİNA ÖZEL Sağlık Hizmetleri A.ş</x:v>
      </x:c>
      <x:c r="D138" t="str">
        <x:v>120248812698040399</x:v>
      </x:c>
      <x:c r="E138" t="str">
        <x:v>ABO / Medikal Estetik lead / 16.04.2026</x:v>
      </x:c>
      <x:c r="F138" t="str">
        <x:v>OUTCOME_LEADS</x:v>
      </x:c>
      <x:c r="G138" t="n">
        <x:v>22842</x:v>
      </x:c>
      <x:c r="H138" s="28" t="n">
        <x:v>3175.63</x:v>
      </x:c>
      <x:c r="I138" t="n">
        <x:v>29021</x:v>
      </x:c>
      <x:c r="J138" t="n">
        <x:v>296</x:v>
      </x:c>
      <x:c r="K138" t="n">
        <x:v>124</x:v>
      </x:c>
      <x:c r="L138" s="27" t="n">
        <x:f>IFERROR(K138/I138,0)</x:f>
        <x:v>0.004272767995589401</x:v>
      </x:c>
      <x:c r="M138" s="28" t="n">
        <x:f>IFERROR(H138/K138,0)</x:f>
        <x:v>25.60991935483871</x:v>
      </x:c>
      <x:c r="N138" s="28" t="n">
        <x:f>IFERROR(H138/I138*1000,0)</x:f>
        <x:v>109.4252437889804</x:v>
      </x:c>
      <x:c r="O138" t="n">
        <x:v>1.27051</x:v>
      </x:c>
      <x:c r="P138" t="n">
        <x:v>34</x:v>
      </x:c>
      <x:c r="Q138" s="28" t="n">
        <x:v>0</x:v>
      </x:c>
      <x:c r="R138" s="28" t="n">
        <x:v>0</x:v>
      </x:c>
    </x:row>
    <x:row r="139">
      <x:c r="A139" t="str">
        <x:v>2026-07-16</x:v>
      </x:c>
      <x:c r="B139" t="str">
        <x:v>449281783851362</x:v>
      </x:c>
      <x:c r="C139" t="str">
        <x:v>Doruk Hastaneleri - SİNA ÖZEL Sağlık Hizmetleri A.ş</x:v>
      </x:c>
      <x:c r="D139" t="str">
        <x:v>120249061996540399</x:v>
      </x:c>
      <x:c r="E139" t="str">
        <x:v>Doktor - Bilinirlik Kampanyası - Nilüfer</x:v>
      </x:c>
      <x:c r="F139" t="str">
        <x:v>OUTCOME_AWARENESS</x:v>
      </x:c>
      <x:c r="G139" t="n">
        <x:v>695923</x:v>
      </x:c>
      <x:c r="H139" s="28" t="n">
        <x:v>7564.69</x:v>
      </x:c>
      <x:c r="I139" t="n">
        <x:v>857400</x:v>
      </x:c>
      <x:c r="J139" t="n">
        <x:v>507</x:v>
      </x:c>
      <x:c r="K139" t="n">
        <x:v>0</x:v>
      </x:c>
      <x:c r="L139" s="27" t="n">
        <x:f>IFERROR(K139/I139,0)</x:f>
        <x:v>0</x:v>
      </x:c>
      <x:c r="M139" s="28" t="n">
        <x:f>IFERROR(H139/K139,0)</x:f>
        <x:v>0</x:v>
      </x:c>
      <x:c r="N139" s="28" t="n">
        <x:f>IFERROR(H139/I139*1000,0)</x:f>
        <x:v>8.8228248192209</x:v>
      </x:c>
      <x:c r="O139" t="n">
        <x:v>1.232033</x:v>
      </x:c>
      <x:c r="P139" t="n">
        <x:v>0</x:v>
      </x:c>
      <x:c r="Q139" s="28" t="n">
        <x:v>0</x:v>
      </x:c>
      <x:c r="R139" s="28" t="n">
        <x:v>0</x:v>
      </x:c>
    </x:row>
    <x:row r="140">
      <x:c r="A140" t="str">
        <x:v>2026-07-16</x:v>
      </x:c>
      <x:c r="B140" t="str">
        <x:v>449281783851362</x:v>
      </x:c>
      <x:c r="C140" t="str">
        <x:v>Doruk Hastaneleri - SİNA ÖZEL Sağlık Hizmetleri A.ş</x:v>
      </x:c>
      <x:c r="D140" t="str">
        <x:v>120249614228610399</x:v>
      </x:c>
      <x:c r="E140" t="str">
        <x:v>Instagram gönderisi: Bir sezon boyunca ortaya...</x:v>
      </x:c>
      <x:c r="F140" t="str">
        <x:v>LINK_CLICKS</x:v>
      </x:c>
      <x:c r="G140" t="n">
        <x:v>75680</x:v>
      </x:c>
      <x:c r="H140" s="28" t="n">
        <x:v>5617.01</x:v>
      </x:c>
      <x:c r="I140" t="n">
        <x:v>84038</x:v>
      </x:c>
      <x:c r="J140" t="n">
        <x:v>1170</x:v>
      </x:c>
      <x:c r="K140" t="n">
        <x:v>1186</x:v>
      </x:c>
      <x:c r="L140" s="27" t="n">
        <x:f>IFERROR(K140/I140,0)</x:f>
        <x:v>0.01411266331897475</x:v>
      </x:c>
      <x:c r="M140" s="28" t="n">
        <x:f>IFERROR(H140/K140,0)</x:f>
        <x:v>4.7360961214165265</x:v>
      </x:c>
      <x:c r="N140" s="28" t="n">
        <x:f>IFERROR(H140/I140*1000,0)</x:f>
        <x:v>66.83893000785359</x:v>
      </x:c>
      <x:c r="O140" t="n">
        <x:v>1.110439</x:v>
      </x:c>
      <x:c r="P140" t="n">
        <x:v>0</x:v>
      </x:c>
      <x:c r="Q140" s="28" t="n">
        <x:v>0</x:v>
      </x:c>
      <x:c r="R140" s="28" t="n">
        <x:v>0</x:v>
      </x:c>
    </x:row>
    <x:row r="141">
      <x:c r="A141" t="str">
        <x:v>2026-07-16</x:v>
      </x:c>
      <x:c r="B141" t="str">
        <x:v>449281783851362</x:v>
      </x:c>
      <x:c r="C141" t="str">
        <x:v>Doruk Hastaneleri - SİNA ÖZEL Sağlık Hizmetleri A.ş</x:v>
      </x:c>
      <x:c r="D141" t="str">
        <x:v>120251414264130399</x:v>
      </x:c>
      <x:c r="E141" t="str">
        <x:v>Prostat Checkup - lead</x:v>
      </x:c>
      <x:c r="F141" t="str">
        <x:v>OUTCOME_LEADS</x:v>
      </x:c>
      <x:c r="G141" t="n">
        <x:v>7993</x:v>
      </x:c>
      <x:c r="H141" s="28" t="n">
        <x:v>695.69</x:v>
      </x:c>
      <x:c r="I141" t="n">
        <x:v>10406</x:v>
      </x:c>
      <x:c r="J141" t="n">
        <x:v>183</x:v>
      </x:c>
      <x:c r="K141" t="n">
        <x:v>107</x:v>
      </x:c>
      <x:c r="L141" s="27" t="n">
        <x:f>IFERROR(K141/I141,0)</x:f>
        <x:v>0.010282529310013454</x:v>
      </x:c>
      <x:c r="M141" s="28" t="n">
        <x:f>IFERROR(H141/K141,0)</x:f>
        <x:v>6.50177570093458</x:v>
      </x:c>
      <x:c r="N141" s="28" t="n">
        <x:f>IFERROR(H141/I141*1000,0)</x:f>
        <x:v>66.85469921199308</x:v>
      </x:c>
      <x:c r="O141" t="n">
        <x:v>1.301889</x:v>
      </x:c>
      <x:c r="P141" t="n">
        <x:v>6</x:v>
      </x:c>
      <x:c r="Q141" s="28" t="n">
        <x:v>0</x:v>
      </x:c>
      <x:c r="R141" s="28" t="n">
        <x:v>0</x:v>
      </x:c>
    </x:row>
    <x:row r="142">
      <x:c r="A142" t="str">
        <x:v>2026-07-16</x:v>
      </x:c>
      <x:c r="B142" t="str">
        <x:v>449281783851362</x:v>
      </x:c>
      <x:c r="C142" t="str">
        <x:v>Doruk Hastaneleri - SİNA ÖZEL Sağlık Hizmetleri A.ş</x:v>
      </x:c>
      <x:c r="D142" t="str">
        <x:v>120252323141170399</x:v>
      </x:c>
      <x:c r="E142" t="str">
        <x:v>Instagram gönderisi: Medikal estetik alanındaki...</x:v>
      </x:c>
      <x:c r="F142" t="str">
        <x:v>LINK_CLICKS</x:v>
      </x:c>
      <x:c r="G142" t="n">
        <x:v>11036</x:v>
      </x:c>
      <x:c r="H142" s="28" t="n">
        <x:v>675.71</x:v>
      </x:c>
      <x:c r="I142" t="n">
        <x:v>11696</x:v>
      </x:c>
      <x:c r="J142" t="n">
        <x:v>136</x:v>
      </x:c>
      <x:c r="K142" t="n">
        <x:v>142</x:v>
      </x:c>
      <x:c r="L142" s="27" t="n">
        <x:f>IFERROR(K142/I142,0)</x:f>
        <x:v>0.012140902872777018</x:v>
      </x:c>
      <x:c r="M142" s="28" t="n">
        <x:f>IFERROR(H142/K142,0)</x:f>
        <x:v>4.758521126760564</x:v>
      </x:c>
      <x:c r="N142" s="28" t="n">
        <x:f>IFERROR(H142/I142*1000,0)</x:f>
        <x:v>57.77274281805746</x:v>
      </x:c>
      <x:c r="O142" t="n">
        <x:v>1.059804</x:v>
      </x:c>
      <x:c r="P142" t="n">
        <x:v>0</x:v>
      </x:c>
      <x:c r="Q142" s="28" t="n">
        <x:v>0</x:v>
      </x:c>
      <x:c r="R142" s="28" t="n">
        <x:v>0</x:v>
      </x:c>
    </x:row>
    <x:row r="143">
      <x:c r="A143" t="str">
        <x:v>2026-07-16</x:v>
      </x:c>
      <x:c r="B143" t="str">
        <x:v>449281783851362</x:v>
      </x:c>
      <x:c r="C143" t="str">
        <x:v>Doruk Hastaneleri - SİNA ÖZEL Sağlık Hizmetleri A.ş</x:v>
      </x:c>
      <x:c r="D143" t="str">
        <x:v>120255099624540399</x:v>
      </x:c>
      <x:c r="E143" t="str">
        <x:v>Instagram gönderisi: Doruk Sağlık Grubu olarak,...</x:v>
      </x:c>
      <x:c r="F143" t="str">
        <x:v>LINK_CLICKS</x:v>
      </x:c>
      <x:c r="G143" t="n">
        <x:v>42523</x:v>
      </x:c>
      <x:c r="H143" s="28" t="n">
        <x:v>3714.23</x:v>
      </x:c>
      <x:c r="I143" t="n">
        <x:v>47208</x:v>
      </x:c>
      <x:c r="J143" t="n">
        <x:v>812</x:v>
      </x:c>
      <x:c r="K143" t="n">
        <x:v>816</x:v>
      </x:c>
      <x:c r="L143" s="27" t="n">
        <x:f>IFERROR(K143/I143,0)</x:f>
        <x:v>0.01728520589730554</x:v>
      </x:c>
      <x:c r="M143" s="28" t="n">
        <x:f>IFERROR(H143/K143,0)</x:f>
        <x:v>4.551752450980392</x:v>
      </x:c>
      <x:c r="N143" s="28" t="n">
        <x:f>IFERROR(H143/I143*1000,0)</x:f>
        <x:v>78.67797830876123</x:v>
      </x:c>
      <x:c r="O143" t="n">
        <x:v>1.110176</x:v>
      </x:c>
      <x:c r="P143" t="n">
        <x:v>0</x:v>
      </x:c>
      <x:c r="Q143" s="28" t="n">
        <x:v>0</x:v>
      </x:c>
      <x:c r="R143" s="28" t="n">
        <x:v>0</x:v>
      </x:c>
    </x:row>
    <x:row r="144">
      <x:c r="A144" t="str">
        <x:v>2026-07-16</x:v>
      </x:c>
      <x:c r="B144" t="str">
        <x:v>449281783851362</x:v>
      </x:c>
      <x:c r="C144" t="str">
        <x:v>Doruk Hastaneleri - SİNA ÖZEL Sağlık Hizmetleri A.ş</x:v>
      </x:c>
      <x:c r="D144" t="str">
        <x:v>120255158812950399</x:v>
      </x:c>
      <x:c r="E144" t="str">
        <x:v>Doktor - Bilinirlik Kampanyası - Yıldırım</x:v>
      </x:c>
      <x:c r="F144" t="str">
        <x:v>OUTCOME_AWARENESS</x:v>
      </x:c>
      <x:c r="G144" t="n">
        <x:v>296000</x:v>
      </x:c>
      <x:c r="H144" s="28" t="n">
        <x:v>2797.49</x:v>
      </x:c>
      <x:c r="I144" t="n">
        <x:v>322878</x:v>
      </x:c>
      <x:c r="J144" t="n">
        <x:v>222</x:v>
      </x:c>
      <x:c r="K144" t="n">
        <x:v>1</x:v>
      </x:c>
      <x:c r="L144" s="27" t="n">
        <x:f>IFERROR(K144/I144,0)</x:f>
        <x:v>0.000003097145051691351</x:v>
      </x:c>
      <x:c r="M144" s="28" t="n">
        <x:f>IFERROR(H144/K144,0)</x:f>
        <x:v>2797.49</x:v>
      </x:c>
      <x:c r="N144" s="28" t="n">
        <x:f>IFERROR(H144/I144*1000,0)</x:f>
        <x:v>8.664232310656036</x:v>
      </x:c>
      <x:c r="O144" t="n">
        <x:v>1.090804</x:v>
      </x:c>
      <x:c r="P144" t="n">
        <x:v>0</x:v>
      </x:c>
      <x:c r="Q144" s="28" t="n">
        <x:v>0</x:v>
      </x:c>
      <x:c r="R144" s="28" t="n">
        <x:v>0</x:v>
      </x:c>
    </x:row>
    <x:row r="145">
      <x:c r="A145" t="str">
        <x:v>2026-07-17</x:v>
      </x:c>
      <x:c r="B145" t="str">
        <x:v>449281783851362</x:v>
      </x:c>
      <x:c r="C145" t="str">
        <x:v>Doruk Hastaneleri - SİNA ÖZEL Sağlık Hizmetleri A.ş</x:v>
      </x:c>
      <x:c r="D145" t="str">
        <x:v>120202624613730399</x:v>
      </x:c>
      <x:c r="E145" t="str">
        <x:v>CBO / Saç Ekimi - lead / soğuk</x:v>
      </x:c>
      <x:c r="F145" t="str">
        <x:v>OUTCOME_LEADS</x:v>
      </x:c>
      <x:c r="G145" t="n">
        <x:v>3362</x:v>
      </x:c>
      <x:c r="H145" s="28" t="n">
        <x:v>754.75</x:v>
      </x:c>
      <x:c r="I145" t="n">
        <x:v>5027</x:v>
      </x:c>
      <x:c r="J145" t="n">
        <x:v>21</x:v>
      </x:c>
      <x:c r="K145" t="n">
        <x:v>8</x:v>
      </x:c>
      <x:c r="L145" s="27" t="n">
        <x:f>IFERROR(K145/I145,0)</x:f>
        <x:v>0.0015914064054107818</x:v>
      </x:c>
      <x:c r="M145" s="28" t="n">
        <x:f>IFERROR(H145/K145,0)</x:f>
        <x:v>94.34375</x:v>
      </x:c>
      <x:c r="N145" s="28" t="n">
        <x:f>IFERROR(H145/I145*1000,0)</x:f>
        <x:v>150.13924806047345</x:v>
      </x:c>
      <x:c r="O145" t="n">
        <x:v>1.495241</x:v>
      </x:c>
      <x:c r="P145" t="n">
        <x:v>1</x:v>
      </x:c>
      <x:c r="Q145" s="28" t="n">
        <x:v>0</x:v>
      </x:c>
      <x:c r="R145" s="28" t="n">
        <x:v>0</x:v>
      </x:c>
    </x:row>
    <x:row r="146">
      <x:c r="A146" t="str">
        <x:v>2026-07-17</x:v>
      </x:c>
      <x:c r="B146" t="str">
        <x:v>449281783851362</x:v>
      </x:c>
      <x:c r="C146" t="str">
        <x:v>Doruk Hastaneleri - SİNA ÖZEL Sağlık Hizmetleri A.ş</x:v>
      </x:c>
      <x:c r="D146" t="str">
        <x:v>120211731920800399</x:v>
      </x:c>
      <x:c r="E146" t="str">
        <x:v>ABO / Göz Kapağı Estetiği / plastik cerrahi / lead</x:v>
      </x:c>
      <x:c r="F146" t="str">
        <x:v>OUTCOME_LEADS</x:v>
      </x:c>
      <x:c r="G146" t="n">
        <x:v>1335</x:v>
      </x:c>
      <x:c r="H146" s="28" t="n">
        <x:v>232.89</x:v>
      </x:c>
      <x:c r="I146" t="n">
        <x:v>1646</x:v>
      </x:c>
      <x:c r="J146" t="n">
        <x:v>11</x:v>
      </x:c>
      <x:c r="K146" t="n">
        <x:v>4</x:v>
      </x:c>
      <x:c r="L146" s="27" t="n">
        <x:f>IFERROR(K146/I146,0)</x:f>
        <x:v>0.002430133657351154</x:v>
      </x:c>
      <x:c r="M146" s="28" t="n">
        <x:f>IFERROR(H146/K146,0)</x:f>
        <x:v>58.2225</x:v>
      </x:c>
      <x:c r="N146" s="28" t="n">
        <x:f>IFERROR(H146/I146*1000,0)</x:f>
        <x:v>141.48845686512757</x:v>
      </x:c>
      <x:c r="O146" t="n">
        <x:v>1.232959</x:v>
      </x:c>
      <x:c r="P146" t="n">
        <x:v>1</x:v>
      </x:c>
      <x:c r="Q146" s="28" t="n">
        <x:v>0</x:v>
      </x:c>
      <x:c r="R146" s="28" t="n">
        <x:v>0</x:v>
      </x:c>
    </x:row>
    <x:row r="147">
      <x:c r="A147" t="str">
        <x:v>2026-07-17</x:v>
      </x:c>
      <x:c r="B147" t="str">
        <x:v>449281783851362</x:v>
      </x:c>
      <x:c r="C147" t="str">
        <x:v>Doruk Hastaneleri - SİNA ÖZEL Sağlık Hizmetleri A.ş</x:v>
      </x:c>
      <x:c r="D147" t="str">
        <x:v>120211732243050399</x:v>
      </x:c>
      <x:c r="E147" t="str">
        <x:v>ABO /Kepçe Kulak / plastik cerrahi / lead</x:v>
      </x:c>
      <x:c r="F147" t="str">
        <x:v>OUTCOME_LEADS</x:v>
      </x:c>
      <x:c r="G147" t="n">
        <x:v>4614</x:v>
      </x:c>
      <x:c r="H147" s="28" t="n">
        <x:v>229.64</x:v>
      </x:c>
      <x:c r="I147" t="n">
        <x:v>5148</x:v>
      </x:c>
      <x:c r="J147" t="n">
        <x:v>19</x:v>
      </x:c>
      <x:c r="K147" t="n">
        <x:v>15</x:v>
      </x:c>
      <x:c r="L147" s="27" t="n">
        <x:f>IFERROR(K147/I147,0)</x:f>
        <x:v>0.002913752913752914</x:v>
      </x:c>
      <x:c r="M147" s="28" t="n">
        <x:f>IFERROR(H147/K147,0)</x:f>
        <x:v>15.309333333333333</x:v>
      </x:c>
      <x:c r="N147" s="28" t="n">
        <x:f>IFERROR(H147/I147*1000,0)</x:f>
        <x:v>44.60761460761461</x:v>
      </x:c>
      <x:c r="O147" t="n">
        <x:v>1.115735</x:v>
      </x:c>
      <x:c r="P147" t="n">
        <x:v>0</x:v>
      </x:c>
      <x:c r="Q147" s="28" t="n">
        <x:v>0</x:v>
      </x:c>
      <x:c r="R147" s="28" t="n">
        <x:v>0</x:v>
      </x:c>
    </x:row>
    <x:row r="148">
      <x:c r="A148" t="str">
        <x:v>2026-07-17</x:v>
      </x:c>
      <x:c r="B148" t="str">
        <x:v>449281783851362</x:v>
      </x:c>
      <x:c r="C148" t="str">
        <x:v>Doruk Hastaneleri - SİNA ÖZEL Sağlık Hizmetleri A.ş</x:v>
      </x:c>
      <x:c r="D148" t="str">
        <x:v>120211732311210399</x:v>
      </x:c>
      <x:c r="E148" t="str">
        <x:v>ABO / Meme Estetiği / plastik cerrahi / lead</x:v>
      </x:c>
      <x:c r="F148" t="str">
        <x:v>OUTCOME_LEADS</x:v>
      </x:c>
      <x:c r="G148" t="n">
        <x:v>3907</x:v>
      </x:c>
      <x:c r="H148" s="28" t="n">
        <x:v>793.07</x:v>
      </x:c>
      <x:c r="I148" t="n">
        <x:v>5359</x:v>
      </x:c>
      <x:c r="J148" t="n">
        <x:v>28</x:v>
      </x:c>
      <x:c r="K148" t="n">
        <x:v>13</x:v>
      </x:c>
      <x:c r="L148" s="27" t="n">
        <x:f>IFERROR(K148/I148,0)</x:f>
        <x:v>0.0024258257137525657</x:v>
      </x:c>
      <x:c r="M148" s="28" t="n">
        <x:f>IFERROR(H148/K148,0)</x:f>
        <x:v>61.00538461538462</x:v>
      </x:c>
      <x:c r="N148" s="28" t="n">
        <x:f>IFERROR(H148/I148*1000,0)</x:f>
        <x:v>147.9884306773652</x:v>
      </x:c>
      <x:c r="O148" t="n">
        <x:v>1.371641</x:v>
      </x:c>
      <x:c r="P148" t="n">
        <x:v>3</x:v>
      </x:c>
      <x:c r="Q148" s="28" t="n">
        <x:v>0</x:v>
      </x:c>
      <x:c r="R148" s="28" t="n">
        <x:v>0</x:v>
      </x:c>
    </x:row>
    <x:row r="149">
      <x:c r="A149" t="str">
        <x:v>2026-07-17</x:v>
      </x:c>
      <x:c r="B149" t="str">
        <x:v>449281783851362</x:v>
      </x:c>
      <x:c r="C149" t="str">
        <x:v>Doruk Hastaneleri - SİNA ÖZEL Sağlık Hizmetleri A.ş</x:v>
      </x:c>
      <x:c r="D149" t="str">
        <x:v>120211732618490399</x:v>
      </x:c>
      <x:c r="E149" t="str">
        <x:v>ABO /Jinekomasti / plastik cerrahi / lead</x:v>
      </x:c>
      <x:c r="F149" t="str">
        <x:v>OUTCOME_LEADS</x:v>
      </x:c>
      <x:c r="G149" t="n">
        <x:v>1335</x:v>
      </x:c>
      <x:c r="H149" s="28" t="n">
        <x:v>246.1</x:v>
      </x:c>
      <x:c r="I149" t="n">
        <x:v>1738</x:v>
      </x:c>
      <x:c r="J149" t="n">
        <x:v>9</x:v>
      </x:c>
      <x:c r="K149" t="n">
        <x:v>4</x:v>
      </x:c>
      <x:c r="L149" s="27" t="n">
        <x:f>IFERROR(K149/I149,0)</x:f>
        <x:v>0.0023014959723820483</x:v>
      </x:c>
      <x:c r="M149" s="28" t="n">
        <x:f>IFERROR(H149/K149,0)</x:f>
        <x:v>61.525</x:v>
      </x:c>
      <x:c r="N149" s="28" t="n">
        <x:f>IFERROR(H149/I149*1000,0)</x:f>
        <x:v>141.5995397008055</x:v>
      </x:c>
      <x:c r="O149" t="n">
        <x:v>1.301873</x:v>
      </x:c>
      <x:c r="P149" t="n">
        <x:v>1</x:v>
      </x:c>
      <x:c r="Q149" s="28" t="n">
        <x:v>0</x:v>
      </x:c>
      <x:c r="R149" s="28" t="n">
        <x:v>0</x:v>
      </x:c>
    </x:row>
    <x:row r="150">
      <x:c r="A150" t="str">
        <x:v>2026-07-17</x:v>
      </x:c>
      <x:c r="B150" t="str">
        <x:v>449281783851362</x:v>
      </x:c>
      <x:c r="C150" t="str">
        <x:v>Doruk Hastaneleri - SİNA ÖZEL Sağlık Hizmetleri A.ş</x:v>
      </x:c>
      <x:c r="D150" t="str">
        <x:v>120211732654260399</x:v>
      </x:c>
      <x:c r="E150" t="str">
        <x:v>ABO / Rinoplasti / plastik cerrahi / lead</x:v>
      </x:c>
      <x:c r="F150" t="str">
        <x:v>OUTCOME_LEADS</x:v>
      </x:c>
      <x:c r="G150" t="n">
        <x:v>2038</x:v>
      </x:c>
      <x:c r="H150" s="28" t="n">
        <x:v>547.72</x:v>
      </x:c>
      <x:c r="I150" t="n">
        <x:v>3001</x:v>
      </x:c>
      <x:c r="J150" t="n">
        <x:v>17</x:v>
      </x:c>
      <x:c r="K150" t="n">
        <x:v>8</x:v>
      </x:c>
      <x:c r="L150" s="27" t="n">
        <x:f>IFERROR(K150/I150,0)</x:f>
        <x:v>0.0026657780739753416</x:v>
      </x:c>
      <x:c r="M150" s="28" t="n">
        <x:f>IFERROR(H150/K150,0)</x:f>
        <x:v>68.465</x:v>
      </x:c>
      <x:c r="N150" s="28" t="n">
        <x:f>IFERROR(H150/I150*1000,0)</x:f>
        <x:v>182.51249583472176</x:v>
      </x:c>
      <x:c r="O150" t="n">
        <x:v>1.472522</x:v>
      </x:c>
      <x:c r="P150" t="n">
        <x:v>0</x:v>
      </x:c>
      <x:c r="Q150" s="28" t="n">
        <x:v>0</x:v>
      </x:c>
      <x:c r="R150" s="28" t="n">
        <x:v>0</x:v>
      </x:c>
    </x:row>
    <x:row r="151">
      <x:c r="A151" t="str">
        <x:v>2026-07-17</x:v>
      </x:c>
      <x:c r="B151" t="str">
        <x:v>449281783851362</x:v>
      </x:c>
      <x:c r="C151" t="str">
        <x:v>Doruk Hastaneleri - SİNA ÖZEL Sağlık Hizmetleri A.ş</x:v>
      </x:c>
      <x:c r="D151" t="str">
        <x:v>120211732712890399</x:v>
      </x:c>
      <x:c r="E151" t="str">
        <x:v>ABO / Vücut Şekillendirme / plastik cerrahi / lead</x:v>
      </x:c>
      <x:c r="F151" t="str">
        <x:v>OUTCOME_LEADS</x:v>
      </x:c>
      <x:c r="G151" t="n">
        <x:v>521</x:v>
      </x:c>
      <x:c r="H151" s="28" t="n">
        <x:v>227.35</x:v>
      </x:c>
      <x:c r="I151" t="n">
        <x:v>692</x:v>
      </x:c>
      <x:c r="J151" t="n">
        <x:v>4</x:v>
      </x:c>
      <x:c r="K151" t="n">
        <x:v>4</x:v>
      </x:c>
      <x:c r="L151" s="27" t="n">
        <x:f>IFERROR(K151/I151,0)</x:f>
        <x:v>0.005780346820809248</x:v>
      </x:c>
      <x:c r="M151" s="28" t="n">
        <x:f>IFERROR(H151/K151,0)</x:f>
        <x:v>56.8375</x:v>
      </x:c>
      <x:c r="N151" s="28" t="n">
        <x:f>IFERROR(H151/I151*1000,0)</x:f>
        <x:v>328.54046242774564</x:v>
      </x:c>
      <x:c r="O151" t="n">
        <x:v>1.328215</x:v>
      </x:c>
      <x:c r="P151" t="n">
        <x:v>0</x:v>
      </x:c>
      <x:c r="Q151" s="28" t="n">
        <x:v>0</x:v>
      </x:c>
      <x:c r="R151" s="28" t="n">
        <x:v>0</x:v>
      </x:c>
    </x:row>
    <x:row r="152">
      <x:c r="A152" t="str">
        <x:v>2026-07-17</x:v>
      </x:c>
      <x:c r="B152" t="str">
        <x:v>449281783851362</x:v>
      </x:c>
      <x:c r="C152" t="str">
        <x:v>Doruk Hastaneleri - SİNA ÖZEL Sağlık Hizmetleri A.ş</x:v>
      </x:c>
      <x:c r="D152" t="str">
        <x:v>120211732754080399</x:v>
      </x:c>
      <x:c r="E152" t="str">
        <x:v>ABO / Yüz Germe (Facelift) / plastik cerrahi / lead</x:v>
      </x:c>
      <x:c r="F152" t="str">
        <x:v>OUTCOME_LEADS</x:v>
      </x:c>
      <x:c r="G152" t="n">
        <x:v>474</x:v>
      </x:c>
      <x:c r="H152" s="28" t="n">
        <x:v>240.46</x:v>
      </x:c>
      <x:c r="I152" t="n">
        <x:v>644</x:v>
      </x:c>
      <x:c r="J152" t="n">
        <x:v>8</x:v>
      </x:c>
      <x:c r="K152" t="n">
        <x:v>4</x:v>
      </x:c>
      <x:c r="L152" s="27" t="n">
        <x:f>IFERROR(K152/I152,0)</x:f>
        <x:v>0.006211180124223602</x:v>
      </x:c>
      <x:c r="M152" s="28" t="n">
        <x:f>IFERROR(H152/K152,0)</x:f>
        <x:v>60.115</x:v>
      </x:c>
      <x:c r="N152" s="28" t="n">
        <x:f>IFERROR(H152/I152*1000,0)</x:f>
        <x:v>373.3850931677018</x:v>
      </x:c>
      <x:c r="O152" t="n">
        <x:v>1.35865</x:v>
      </x:c>
      <x:c r="P152" t="n">
        <x:v>0</x:v>
      </x:c>
      <x:c r="Q152" s="28" t="n">
        <x:v>0</x:v>
      </x:c>
      <x:c r="R152" s="28" t="n">
        <x:v>0</x:v>
      </x:c>
    </x:row>
    <x:row r="153">
      <x:c r="A153" t="str">
        <x:v>2026-07-17</x:v>
      </x:c>
      <x:c r="B153" t="str">
        <x:v>449281783851362</x:v>
      </x:c>
      <x:c r="C153" t="str">
        <x:v>Doruk Hastaneleri - SİNA ÖZEL Sağlık Hizmetleri A.ş</x:v>
      </x:c>
      <x:c r="D153" t="str">
        <x:v>120214167265870399</x:v>
      </x:c>
      <x:c r="E153" t="str">
        <x:v>Baş Dönmesi ve Denge Ünitesi / lead</x:v>
      </x:c>
      <x:c r="F153" t="str">
        <x:v>OUTCOME_LEADS</x:v>
      </x:c>
      <x:c r="G153" t="n">
        <x:v>4586</x:v>
      </x:c>
      <x:c r="H153" s="28" t="n">
        <x:v>338.12</x:v>
      </x:c>
      <x:c r="I153" t="n">
        <x:v>5473</x:v>
      </x:c>
      <x:c r="J153" t="n">
        <x:v>63</x:v>
      </x:c>
      <x:c r="K153" t="n">
        <x:v>39</x:v>
      </x:c>
      <x:c r="L153" s="27" t="n">
        <x:f>IFERROR(K153/I153,0)</x:f>
        <x:v>0.007125890736342043</x:v>
      </x:c>
      <x:c r="M153" s="28" t="n">
        <x:f>IFERROR(H153/K153,0)</x:f>
        <x:v>8.66974358974359</x:v>
      </x:c>
      <x:c r="N153" s="28" t="n">
        <x:f>IFERROR(H153/I153*1000,0)</x:f>
        <x:v>61.77964553261465</x:v>
      </x:c>
      <x:c r="O153" t="n">
        <x:v>1.193415</x:v>
      </x:c>
      <x:c r="P153" t="n">
        <x:v>5</x:v>
      </x:c>
      <x:c r="Q153" s="28" t="n">
        <x:v>0</x:v>
      </x:c>
      <x:c r="R153" s="28" t="n">
        <x:v>0</x:v>
      </x:c>
    </x:row>
    <x:row r="154">
      <x:c r="A154" t="str">
        <x:v>2026-07-17</x:v>
      </x:c>
      <x:c r="B154" t="str">
        <x:v>449281783851362</x:v>
      </x:c>
      <x:c r="C154" t="str">
        <x:v>Doruk Hastaneleri - SİNA ÖZEL Sağlık Hizmetleri A.ş</x:v>
      </x:c>
      <x:c r="D154" t="str">
        <x:v>120220089108220399</x:v>
      </x:c>
      <x:c r="E154" t="str">
        <x:v>Checkup - genel - lead</x:v>
      </x:c>
      <x:c r="F154" t="str">
        <x:v>OUTCOME_LEADS</x:v>
      </x:c>
      <x:c r="G154" t="n">
        <x:v>4757</x:v>
      </x:c>
      <x:c r="H154" s="28" t="n">
        <x:v>873.99</x:v>
      </x:c>
      <x:c r="I154" t="n">
        <x:v>5976</x:v>
      </x:c>
      <x:c r="J154" t="n">
        <x:v>70</x:v>
      </x:c>
      <x:c r="K154" t="n">
        <x:v>32</x:v>
      </x:c>
      <x:c r="L154" s="27" t="n">
        <x:f>IFERROR(K154/I154,0)</x:f>
        <x:v>0.00535475234270415</x:v>
      </x:c>
      <x:c r="M154" s="28" t="n">
        <x:f>IFERROR(H154/K154,0)</x:f>
        <x:v>27.3121875</x:v>
      </x:c>
      <x:c r="N154" s="28" t="n">
        <x:f>IFERROR(H154/I154*1000,0)</x:f>
        <x:v>146.25</x:v>
      </x:c>
      <x:c r="O154" t="n">
        <x:v>1.256254</x:v>
      </x:c>
      <x:c r="P154" t="n">
        <x:v>4</x:v>
      </x:c>
      <x:c r="Q154" s="28" t="n">
        <x:v>0</x:v>
      </x:c>
      <x:c r="R154" s="28" t="n">
        <x:v>0</x:v>
      </x:c>
    </x:row>
    <x:row r="155">
      <x:c r="A155" t="str">
        <x:v>2026-07-17</x:v>
      </x:c>
      <x:c r="B155" t="str">
        <x:v>170008509278498</x:v>
      </x:c>
      <x:c r="C155" t="str">
        <x:v>Doruk Hospital</x:v>
      </x:c>
      <x:c r="D155" t="str">
        <x:v>120232382033210080</x:v>
      </x:c>
      <x:c r="E155" t="str">
        <x:v>Fizik Tedavi - Intensive FTR - Türki Cumhuriyetler - Tümü - RU - Lechenie v Turtsii - lead</x:v>
      </x:c>
      <x:c r="F155" t="str">
        <x:v>OUTCOME_LEADS</x:v>
      </x:c>
      <x:c r="G155" t="n">
        <x:v>116688</x:v>
      </x:c>
      <x:c r="H155" s="28" t="n">
        <x:v>28878.09</x:v>
      </x:c>
      <x:c r="I155" t="n">
        <x:v>150073</x:v>
      </x:c>
      <x:c r="J155" t="n">
        <x:v>1315</x:v>
      </x:c>
      <x:c r="K155" t="n">
        <x:v>1010</x:v>
      </x:c>
      <x:c r="L155" s="27" t="n">
        <x:f>IFERROR(K155/I155,0)</x:f>
        <x:v>0.006730058038421301</x:v>
      </x:c>
      <x:c r="M155" s="28" t="n">
        <x:f>IFERROR(H155/K155,0)</x:f>
        <x:v>28.592168316831682</x:v>
      </x:c>
      <x:c r="N155" s="28" t="n">
        <x:f>IFERROR(H155/I155*1000,0)</x:f>
        <x:v>192.42695221658792</x:v>
      </x:c>
      <x:c r="O155" t="n">
        <x:v>1.286105</x:v>
      </x:c>
      <x:c r="P155" t="n">
        <x:v>18</x:v>
      </x:c>
      <x:c r="Q155" s="28" t="n">
        <x:v>0</x:v>
      </x:c>
      <x:c r="R155" s="28" t="n">
        <x:v>0</x:v>
      </x:c>
    </x:row>
    <x:row r="156">
      <x:c r="A156" t="str">
        <x:v>2026-07-17</x:v>
      </x:c>
      <x:c r="B156" t="str">
        <x:v>170008509278498</x:v>
      </x:c>
      <x:c r="C156" t="str">
        <x:v>Doruk Hospital</x:v>
      </x:c>
      <x:c r="D156" t="str">
        <x:v>120238651325780080</x:v>
      </x:c>
      <x:c r="E156" t="str">
        <x:v>Whatsapp - Fizik Tedavi - Intensive FTR - Arap Bölgesi - Tümü - AR - Doruk İlaj Turkia</x:v>
      </x:c>
      <x:c r="F156" t="str">
        <x:v>OUTCOME_LEADS</x:v>
      </x:c>
      <x:c r="G156" t="n">
        <x:v>142150</x:v>
      </x:c>
      <x:c r="H156" s="28" t="n">
        <x:v>29904.98</x:v>
      </x:c>
      <x:c r="I156" t="n">
        <x:v>274634</x:v>
      </x:c>
      <x:c r="J156" t="n">
        <x:v>2350</x:v>
      </x:c>
      <x:c r="K156" t="n">
        <x:v>1169</x:v>
      </x:c>
      <x:c r="L156" s="27" t="n">
        <x:f>IFERROR(K156/I156,0)</x:f>
        <x:v>0.004256574204213608</x:v>
      </x:c>
      <x:c r="M156" s="28" t="n">
        <x:f>IFERROR(H156/K156,0)</x:f>
        <x:v>25.581676646706587</x:v>
      </x:c>
      <x:c r="N156" s="28" t="n">
        <x:f>IFERROR(H156/I156*1000,0)</x:f>
        <x:v>108.89030491490492</x:v>
      </x:c>
      <x:c r="O156" t="n">
        <x:v>1.932001</x:v>
      </x:c>
      <x:c r="P156" t="n">
        <x:v>0</x:v>
      </x:c>
      <x:c r="Q156" s="28" t="n">
        <x:v>0</x:v>
      </x:c>
      <x:c r="R156" s="28" t="n">
        <x:v>0</x:v>
      </x:c>
    </x:row>
    <x:row r="157">
      <x:c r="A157" t="str">
        <x:v>2026-07-17</x:v>
      </x:c>
      <x:c r="B157" t="str">
        <x:v>449281783851362</x:v>
      </x:c>
      <x:c r="C157" t="str">
        <x:v>Doruk Hastaneleri - SİNA ÖZEL Sağlık Hizmetleri A.ş</x:v>
      </x:c>
      <x:c r="D157" t="str">
        <x:v>120242415465180399</x:v>
      </x:c>
      <x:c r="E157" t="str">
        <x:v>Gebe-Doğum Form Kampanyası</x:v>
      </x:c>
      <x:c r="F157" t="str">
        <x:v>OUTCOME_LEADS</x:v>
      </x:c>
      <x:c r="G157" t="n">
        <x:v>53889</x:v>
      </x:c>
      <x:c r="H157" s="28" t="n">
        <x:v>7118.94</x:v>
      </x:c>
      <x:c r="I157" t="n">
        <x:v>97013</x:v>
      </x:c>
      <x:c r="J157" t="n">
        <x:v>414</x:v>
      </x:c>
      <x:c r="K157" t="n">
        <x:v>277</x:v>
      </x:c>
      <x:c r="L157" s="27" t="n">
        <x:f>IFERROR(K157/I157,0)</x:f>
        <x:v>0.002855287435704493</x:v>
      </x:c>
      <x:c r="M157" s="28" t="n">
        <x:f>IFERROR(H157/K157,0)</x:f>
        <x:v>25.70014440433213</x:v>
      </x:c>
      <x:c r="N157" s="28" t="n">
        <x:f>IFERROR(H157/I157*1000,0)</x:f>
        <x:v>73.38129941348066</x:v>
      </x:c>
      <x:c r="O157" t="n">
        <x:v>1.800238</x:v>
      </x:c>
      <x:c r="P157" t="n">
        <x:v>16</x:v>
      </x:c>
      <x:c r="Q157" s="28" t="n">
        <x:v>0</x:v>
      </x:c>
      <x:c r="R157" s="28" t="n">
        <x:v>0</x:v>
      </x:c>
    </x:row>
    <x:row r="158">
      <x:c r="A158" t="str">
        <x:v>2026-07-17</x:v>
      </x:c>
      <x:c r="B158" t="str">
        <x:v>170008509278498</x:v>
      </x:c>
      <x:c r="C158" t="str">
        <x:v>Doruk Hospital</x:v>
      </x:c>
      <x:c r="D158" t="str">
        <x:v>120242709752170080</x:v>
      </x:c>
      <x:c r="E158" t="str">
        <x:v>Instagram gönderisi: Аппарат TrueBeam — одна из...</x:v>
      </x:c>
      <x:c r="F158" t="str">
        <x:v>LINK_CLICKS</x:v>
      </x:c>
      <x:c r="G158" t="n">
        <x:v>88755</x:v>
      </x:c>
      <x:c r="H158" s="28" t="n">
        <x:v>5236.4</x:v>
      </x:c>
      <x:c r="I158" t="n">
        <x:v>96938</x:v>
      </x:c>
      <x:c r="J158" t="n">
        <x:v>2222</x:v>
      </x:c>
      <x:c r="K158" t="n">
        <x:v>2203</x:v>
      </x:c>
      <x:c r="L158" s="27" t="n">
        <x:f>IFERROR(K158/I158,0)</x:f>
        <x:v>0.022725866017454455</x:v>
      </x:c>
      <x:c r="M158" s="28" t="n">
        <x:f>IFERROR(H158/K158,0)</x:f>
        <x:v>2.3769405356332274</x:v>
      </x:c>
      <x:c r="N158" s="28" t="n">
        <x:f>IFERROR(H158/I158*1000,0)</x:f>
        <x:v>54.01803214425715</x:v>
      </x:c>
      <x:c r="O158" t="n">
        <x:v>1.092198</x:v>
      </x:c>
      <x:c r="P158" t="n">
        <x:v>0</x:v>
      </x:c>
      <x:c r="Q158" s="28" t="n">
        <x:v>0</x:v>
      </x:c>
      <x:c r="R158" s="28" t="n">
        <x:v>0</x:v>
      </x:c>
    </x:row>
    <x:row r="159">
      <x:c r="A159" t="str">
        <x:v>2026-07-17</x:v>
      </x:c>
      <x:c r="B159" t="str">
        <x:v>449281783851362</x:v>
      </x:c>
      <x:c r="C159" t="str">
        <x:v>Doruk Hastaneleri - SİNA ÖZEL Sağlık Hizmetleri A.ş</x:v>
      </x:c>
      <x:c r="D159" t="str">
        <x:v>120244050701710399</x:v>
      </x:c>
      <x:c r="E159" t="str">
        <x:v>Uzman Hekim Başvuru</x:v>
      </x:c>
      <x:c r="F159" t="str">
        <x:v>OUTCOME_LEADS</x:v>
      </x:c>
      <x:c r="G159" t="n">
        <x:v>4993</x:v>
      </x:c>
      <x:c r="H159" s="28" t="n">
        <x:v>880.75</x:v>
      </x:c>
      <x:c r="I159" t="n">
        <x:v>6158</x:v>
      </x:c>
      <x:c r="J159" t="n">
        <x:v>55</x:v>
      </x:c>
      <x:c r="K159" t="n">
        <x:v>32</x:v>
      </x:c>
      <x:c r="L159" s="27" t="n">
        <x:f>IFERROR(K159/I159,0)</x:f>
        <x:v>0.005196492367651835</x:v>
      </x:c>
      <x:c r="M159" s="28" t="n">
        <x:f>IFERROR(H159/K159,0)</x:f>
        <x:v>27.5234375</x:v>
      </x:c>
      <x:c r="N159" s="28" t="n">
        <x:f>IFERROR(H159/I159*1000,0)</x:f>
        <x:v>143.02533290029228</x:v>
      </x:c>
      <x:c r="O159" t="n">
        <x:v>1.233327</x:v>
      </x:c>
      <x:c r="P159" t="n">
        <x:v>1</x:v>
      </x:c>
      <x:c r="Q159" s="28" t="n">
        <x:v>0</x:v>
      </x:c>
      <x:c r="R159" s="28" t="n">
        <x:v>0</x:v>
      </x:c>
    </x:row>
    <x:row r="160">
      <x:c r="A160" t="str">
        <x:v>2026-07-17</x:v>
      </x:c>
      <x:c r="B160" t="str">
        <x:v>449281783851362</x:v>
      </x:c>
      <x:c r="C160" t="str">
        <x:v>Doruk Hastaneleri - SİNA ÖZEL Sağlık Hizmetleri A.ş</x:v>
      </x:c>
      <x:c r="D160" t="str">
        <x:v>120246476228800399</x:v>
      </x:c>
      <x:c r="E160" t="str">
        <x:v>FTR Yatılı - lead</x:v>
      </x:c>
      <x:c r="F160" t="str">
        <x:v>OUTCOME_LEADS</x:v>
      </x:c>
      <x:c r="G160" t="n">
        <x:v>34556</x:v>
      </x:c>
      <x:c r="H160" s="28" t="n">
        <x:v>3672.62</x:v>
      </x:c>
      <x:c r="I160" t="n">
        <x:v>39149</x:v>
      </x:c>
      <x:c r="J160" t="n">
        <x:v>260</x:v>
      </x:c>
      <x:c r="K160" t="n">
        <x:v>143</x:v>
      </x:c>
      <x:c r="L160" s="27" t="n">
        <x:f>IFERROR(K160/I160,0)</x:f>
        <x:v>0.003652711435796572</x:v>
      </x:c>
      <x:c r="M160" s="28" t="n">
        <x:f>IFERROR(H160/K160,0)</x:f>
        <x:v>25.682657342657343</x:v>
      </x:c>
      <x:c r="N160" s="28" t="n">
        <x:f>IFERROR(H160/I160*1000,0)</x:f>
        <x:v>93.81133617716928</x:v>
      </x:c>
      <x:c r="O160" t="n">
        <x:v>1.132915</x:v>
      </x:c>
      <x:c r="P160" t="n">
        <x:v>6</x:v>
      </x:c>
      <x:c r="Q160" s="28" t="n">
        <x:v>0</x:v>
      </x:c>
      <x:c r="R160" s="28" t="n">
        <x:v>0</x:v>
      </x:c>
    </x:row>
    <x:row r="161">
      <x:c r="A161" t="str">
        <x:v>2026-07-17</x:v>
      </x:c>
      <x:c r="B161" t="str">
        <x:v>449281783851362</x:v>
      </x:c>
      <x:c r="C161" t="str">
        <x:v>Doruk Hastaneleri - SİNA ÖZEL Sağlık Hizmetleri A.ş</x:v>
      </x:c>
      <x:c r="D161" t="str">
        <x:v>120246691590090399</x:v>
      </x:c>
      <x:c r="E161" t="str">
        <x:v>Hemşire İş Başvuru - lead</x:v>
      </x:c>
      <x:c r="F161" t="str">
        <x:v>OUTCOME_LEADS</x:v>
      </x:c>
      <x:c r="G161" t="n">
        <x:v>11336</x:v>
      </x:c>
      <x:c r="H161" s="28" t="n">
        <x:v>980.21</x:v>
      </x:c>
      <x:c r="I161" t="n">
        <x:v>17281</x:v>
      </x:c>
      <x:c r="J161" t="n">
        <x:v>115</x:v>
      </x:c>
      <x:c r="K161" t="n">
        <x:v>77</x:v>
      </x:c>
      <x:c r="L161" s="27" t="n">
        <x:f>IFERROR(K161/I161,0)</x:f>
        <x:v>0.004455760661998727</x:v>
      </x:c>
      <x:c r="M161" s="28" t="n">
        <x:f>IFERROR(H161/K161,0)</x:f>
        <x:v>12.73</x:v>
      </x:c>
      <x:c r="N161" s="28" t="n">
        <x:f>IFERROR(H161/I161*1000,0)</x:f>
        <x:v>56.72183322724379</x:v>
      </x:c>
      <x:c r="O161" t="n">
        <x:v>1.524435</x:v>
      </x:c>
      <x:c r="P161" t="n">
        <x:v>3</x:v>
      </x:c>
      <x:c r="Q161" s="28" t="n">
        <x:v>0</x:v>
      </x:c>
      <x:c r="R161" s="28" t="n">
        <x:v>0</x:v>
      </x:c>
    </x:row>
    <x:row r="162">
      <x:c r="A162" t="str">
        <x:v>2026-07-17</x:v>
      </x:c>
      <x:c r="B162" t="str">
        <x:v>449281783851362</x:v>
      </x:c>
      <x:c r="C162" t="str">
        <x:v>Doruk Hastaneleri - SİNA ÖZEL Sağlık Hizmetleri A.ş</x:v>
      </x:c>
      <x:c r="D162" t="str">
        <x:v>120246924981440399</x:v>
      </x:c>
      <x:c r="E162" t="str">
        <x:v>ÖSS-TSS - marka bilinirliği</x:v>
      </x:c>
      <x:c r="F162" t="str">
        <x:v>OUTCOME_AWARENESS</x:v>
      </x:c>
      <x:c r="G162" t="n">
        <x:v>117111</x:v>
      </x:c>
      <x:c r="H162" s="28" t="n">
        <x:v>1622.9</x:v>
      </x:c>
      <x:c r="I162" t="n">
        <x:v>125223</x:v>
      </x:c>
      <x:c r="J162" t="n">
        <x:v>122</x:v>
      </x:c>
      <x:c r="K162" t="n">
        <x:v>21</x:v>
      </x:c>
      <x:c r="L162" s="27" t="n">
        <x:f>IFERROR(K162/I162,0)</x:f>
        <x:v>0.0001677008217340265</x:v>
      </x:c>
      <x:c r="M162" s="28" t="n">
        <x:f>IFERROR(H162/K162,0)</x:f>
        <x:v>77.28095238095239</x:v>
      </x:c>
      <x:c r="N162" s="28" t="n">
        <x:f>IFERROR(H162/I162*1000,0)</x:f>
        <x:v>12.960079218673888</x:v>
      </x:c>
      <x:c r="O162" t="n">
        <x:v>1.069268</x:v>
      </x:c>
      <x:c r="P162" t="n">
        <x:v>0</x:v>
      </x:c>
      <x:c r="Q162" s="28" t="n">
        <x:v>0</x:v>
      </x:c>
      <x:c r="R162" s="28" t="n">
        <x:v>0</x:v>
      </x:c>
    </x:row>
    <x:row r="163">
      <x:c r="A163" t="str">
        <x:v>2026-07-17</x:v>
      </x:c>
      <x:c r="B163" t="str">
        <x:v>449281783851362</x:v>
      </x:c>
      <x:c r="C163" t="str">
        <x:v>Doruk Hastaneleri - SİNA ÖZEL Sağlık Hizmetleri A.ş</x:v>
      </x:c>
      <x:c r="D163" t="str">
        <x:v>120247034876600399</x:v>
      </x:c>
      <x:c r="E163" t="str">
        <x:v>Gebe-Doğum Bilinirlik</x:v>
      </x:c>
      <x:c r="F163" t="str">
        <x:v>OUTCOME_AWARENESS</x:v>
      </x:c>
      <x:c r="G163" t="n">
        <x:v>66789</x:v>
      </x:c>
      <x:c r="H163" s="28" t="n">
        <x:v>615.68</x:v>
      </x:c>
      <x:c r="I163" t="n">
        <x:v>67160</x:v>
      </x:c>
      <x:c r="J163" t="n">
        <x:v>51</x:v>
      </x:c>
      <x:c r="K163" t="n">
        <x:v>0</x:v>
      </x:c>
      <x:c r="L163" s="27" t="n">
        <x:f>IFERROR(K163/I163,0)</x:f>
        <x:v>0</x:v>
      </x:c>
      <x:c r="M163" s="28" t="n">
        <x:f>IFERROR(H163/K163,0)</x:f>
        <x:v>0</x:v>
      </x:c>
      <x:c r="N163" s="28" t="n">
        <x:f>IFERROR(H163/I163*1000,0)</x:f>
        <x:v>9.167361524717093</x:v>
      </x:c>
      <x:c r="O163" t="n">
        <x:v>1.005555</x:v>
      </x:c>
      <x:c r="P163" t="n">
        <x:v>0</x:v>
      </x:c>
      <x:c r="Q163" s="28" t="n">
        <x:v>0</x:v>
      </x:c>
      <x:c r="R163" s="28" t="n">
        <x:v>0</x:v>
      </x:c>
    </x:row>
    <x:row r="164">
      <x:c r="A164" t="str">
        <x:v>2026-07-17</x:v>
      </x:c>
      <x:c r="B164" t="str">
        <x:v>449281783851362</x:v>
      </x:c>
      <x:c r="C164" t="str">
        <x:v>Doruk Hastaneleri - SİNA ÖZEL Sağlık Hizmetleri A.ş</x:v>
      </x:c>
      <x:c r="D164" t="str">
        <x:v>120248812698040399</x:v>
      </x:c>
      <x:c r="E164" t="str">
        <x:v>ABO / Medikal Estetik lead / 16.04.2026</x:v>
      </x:c>
      <x:c r="F164" t="str">
        <x:v>OUTCOME_LEADS</x:v>
      </x:c>
      <x:c r="G164" t="n">
        <x:v>14808</x:v>
      </x:c>
      <x:c r="H164" s="28" t="n">
        <x:v>2388.1</x:v>
      </x:c>
      <x:c r="I164" t="n">
        <x:v>17606</x:v>
      </x:c>
      <x:c r="J164" t="n">
        <x:v>197</x:v>
      </x:c>
      <x:c r="K164" t="n">
        <x:v>87</x:v>
      </x:c>
      <x:c r="L164" s="27" t="n">
        <x:f>IFERROR(K164/I164,0)</x:f>
        <x:v>0.00494149721685789</x:v>
      </x:c>
      <x:c r="M164" s="28" t="n">
        <x:f>IFERROR(H164/K164,0)</x:f>
        <x:v>27.44942528735632</x:v>
      </x:c>
      <x:c r="N164" s="28" t="n">
        <x:f>IFERROR(H164/I164*1000,0)</x:f>
        <x:v>135.64125866181985</x:v>
      </x:c>
      <x:c r="O164" t="n">
        <x:v>1.188952</x:v>
      </x:c>
      <x:c r="P164" t="n">
        <x:v>19</x:v>
      </x:c>
      <x:c r="Q164" s="28" t="n">
        <x:v>0</x:v>
      </x:c>
      <x:c r="R164" s="28" t="n">
        <x:v>0</x:v>
      </x:c>
    </x:row>
    <x:row r="165">
      <x:c r="A165" t="str">
        <x:v>2026-07-17</x:v>
      </x:c>
      <x:c r="B165" t="str">
        <x:v>449281783851362</x:v>
      </x:c>
      <x:c r="C165" t="str">
        <x:v>Doruk Hastaneleri - SİNA ÖZEL Sağlık Hizmetleri A.ş</x:v>
      </x:c>
      <x:c r="D165" t="str">
        <x:v>120249061996540399</x:v>
      </x:c>
      <x:c r="E165" t="str">
        <x:v>Doktor - Bilinirlik Kampanyası - Nilüfer</x:v>
      </x:c>
      <x:c r="F165" t="str">
        <x:v>OUTCOME_AWARENESS</x:v>
      </x:c>
      <x:c r="G165" t="n">
        <x:v>411134</x:v>
      </x:c>
      <x:c r="H165" s="28" t="n">
        <x:v>4285.7</x:v>
      </x:c>
      <x:c r="I165" t="n">
        <x:v>475633</x:v>
      </x:c>
      <x:c r="J165" t="n">
        <x:v>289</x:v>
      </x:c>
      <x:c r="K165" t="n">
        <x:v>0</x:v>
      </x:c>
      <x:c r="L165" s="27" t="n">
        <x:f>IFERROR(K165/I165,0)</x:f>
        <x:v>0</x:v>
      </x:c>
      <x:c r="M165" s="28" t="n">
        <x:f>IFERROR(H165/K165,0)</x:f>
        <x:v>0</x:v>
      </x:c>
      <x:c r="N165" s="28" t="n">
        <x:f>IFERROR(H165/I165*1000,0)</x:f>
        <x:v>9.010518614141574</x:v>
      </x:c>
      <x:c r="O165" t="n">
        <x:v>1.156881</x:v>
      </x:c>
      <x:c r="P165" t="n">
        <x:v>0</x:v>
      </x:c>
      <x:c r="Q165" s="28" t="n">
        <x:v>0</x:v>
      </x:c>
      <x:c r="R165" s="28" t="n">
        <x:v>0</x:v>
      </x:c>
    </x:row>
    <x:row r="166">
      <x:c r="A166" t="str">
        <x:v>2026-07-17</x:v>
      </x:c>
      <x:c r="B166" t="str">
        <x:v>449281783851362</x:v>
      </x:c>
      <x:c r="C166" t="str">
        <x:v>Doruk Hastaneleri - SİNA ÖZEL Sağlık Hizmetleri A.ş</x:v>
      </x:c>
      <x:c r="D166" t="str">
        <x:v>120249614228610399</x:v>
      </x:c>
      <x:c r="E166" t="str">
        <x:v>Instagram gönderisi: Bir sezon boyunca ortaya...</x:v>
      </x:c>
      <x:c r="F166" t="str">
        <x:v>LINK_CLICKS</x:v>
      </x:c>
      <x:c r="G166" t="n">
        <x:v>57895</x:v>
      </x:c>
      <x:c r="H166" s="28" t="n">
        <x:v>3652.58</x:v>
      </x:c>
      <x:c r="I166" t="n">
        <x:v>61449</x:v>
      </x:c>
      <x:c r="J166" t="n">
        <x:v>790</x:v>
      </x:c>
      <x:c r="K166" t="n">
        <x:v>791</x:v>
      </x:c>
      <x:c r="L166" s="27" t="n">
        <x:f>IFERROR(K166/I166,0)</x:f>
        <x:v>0.012872463343585737</x:v>
      </x:c>
      <x:c r="M166" s="28" t="n">
        <x:f>IFERROR(H166/K166,0)</x:f>
        <x:v>4.6176738305941845</x:v>
      </x:c>
      <x:c r="N166" s="28" t="n">
        <x:f>IFERROR(H166/I166*1000,0)</x:f>
        <x:v>59.44083711695878</x:v>
      </x:c>
      <x:c r="O166" t="n">
        <x:v>1.061387</x:v>
      </x:c>
      <x:c r="P166" t="n">
        <x:v>0</x:v>
      </x:c>
      <x:c r="Q166" s="28" t="n">
        <x:v>0</x:v>
      </x:c>
      <x:c r="R166" s="28" t="n">
        <x:v>0</x:v>
      </x:c>
    </x:row>
    <x:row r="167">
      <x:c r="A167" t="str">
        <x:v>2026-07-17</x:v>
      </x:c>
      <x:c r="B167" t="str">
        <x:v>449281783851362</x:v>
      </x:c>
      <x:c r="C167" t="str">
        <x:v>Doruk Hastaneleri - SİNA ÖZEL Sağlık Hizmetleri A.ş</x:v>
      </x:c>
      <x:c r="D167" t="str">
        <x:v>120251414264130399</x:v>
      </x:c>
      <x:c r="E167" t="str">
        <x:v>Prostat Checkup - lead</x:v>
      </x:c>
      <x:c r="F167" t="str">
        <x:v>OUTCOME_LEADS</x:v>
      </x:c>
      <x:c r="G167" t="n">
        <x:v>6021</x:v>
      </x:c>
      <x:c r="H167" s="28" t="n">
        <x:v>524.6</x:v>
      </x:c>
      <x:c r="I167" t="n">
        <x:v>7554</x:v>
      </x:c>
      <x:c r="J167" t="n">
        <x:v>126</x:v>
      </x:c>
      <x:c r="K167" t="n">
        <x:v>65</x:v>
      </x:c>
      <x:c r="L167" s="27" t="n">
        <x:f>IFERROR(K167/I167,0)</x:f>
        <x:v>0.008604712734974847</x:v>
      </x:c>
      <x:c r="M167" s="28" t="n">
        <x:f>IFERROR(H167/K167,0)</x:f>
        <x:v>8.070769230769232</x:v>
      </x:c>
      <x:c r="N167" s="28" t="n">
        <x:f>IFERROR(H167/I167*1000,0)</x:f>
        <x:v>69.44665078104316</x:v>
      </x:c>
      <x:c r="O167" t="n">
        <x:v>1.254609</x:v>
      </x:c>
      <x:c r="P167" t="n">
        <x:v>4</x:v>
      </x:c>
      <x:c r="Q167" s="28" t="n">
        <x:v>0</x:v>
      </x:c>
      <x:c r="R167" s="28" t="n">
        <x:v>0</x:v>
      </x:c>
    </x:row>
    <x:row r="168">
      <x:c r="A168" t="str">
        <x:v>2026-07-17</x:v>
      </x:c>
      <x:c r="B168" t="str">
        <x:v>449281783851362</x:v>
      </x:c>
      <x:c r="C168" t="str">
        <x:v>Doruk Hastaneleri - SİNA ÖZEL Sağlık Hizmetleri A.ş</x:v>
      </x:c>
      <x:c r="D168" t="str">
        <x:v>120252323141170399</x:v>
      </x:c>
      <x:c r="E168" t="str">
        <x:v>Instagram gönderisi: Medikal estetik alanındaki...</x:v>
      </x:c>
      <x:c r="F168" t="str">
        <x:v>LINK_CLICKS</x:v>
      </x:c>
      <x:c r="G168" t="n">
        <x:v>6155</x:v>
      </x:c>
      <x:c r="H168" s="28" t="n">
        <x:v>457.54</x:v>
      </x:c>
      <x:c r="I168" t="n">
        <x:v>6365</x:v>
      </x:c>
      <x:c r="J168" t="n">
        <x:v>113</x:v>
      </x:c>
      <x:c r="K168" t="n">
        <x:v>112</x:v>
      </x:c>
      <x:c r="L168" s="27" t="n">
        <x:f>IFERROR(K168/I168,0)</x:f>
        <x:v>0.017596229379418696</x:v>
      </x:c>
      <x:c r="M168" s="28" t="n">
        <x:f>IFERROR(H168/K168,0)</x:f>
        <x:v>4.085178571428572</x:v>
      </x:c>
      <x:c r="N168" s="28" t="n">
        <x:f>IFERROR(H168/I168*1000,0)</x:f>
        <x:v>71.88373919874313</x:v>
      </x:c>
      <x:c r="O168" t="n">
        <x:v>1.034119</x:v>
      </x:c>
      <x:c r="P168" t="n">
        <x:v>0</x:v>
      </x:c>
      <x:c r="Q168" s="28" t="n">
        <x:v>0</x:v>
      </x:c>
      <x:c r="R168" s="28" t="n">
        <x:v>0</x:v>
      </x:c>
    </x:row>
    <x:row r="169">
      <x:c r="A169" t="str">
        <x:v>2026-07-17</x:v>
      </x:c>
      <x:c r="B169" t="str">
        <x:v>449281783851362</x:v>
      </x:c>
      <x:c r="C169" t="str">
        <x:v>Doruk Hastaneleri - SİNA ÖZEL Sağlık Hizmetleri A.ş</x:v>
      </x:c>
      <x:c r="D169" t="str">
        <x:v>120255099624540399</x:v>
      </x:c>
      <x:c r="E169" t="str">
        <x:v>Instagram gönderisi: Doruk Sağlık Grubu olarak,...</x:v>
      </x:c>
      <x:c r="F169" t="str">
        <x:v>LINK_CLICKS</x:v>
      </x:c>
      <x:c r="G169" t="n">
        <x:v>29556</x:v>
      </x:c>
      <x:c r="H169" s="28" t="n">
        <x:v>2810.28</x:v>
      </x:c>
      <x:c r="I169" t="n">
        <x:v>31497</x:v>
      </x:c>
      <x:c r="J169" t="n">
        <x:v>634</x:v>
      </x:c>
      <x:c r="K169" t="n">
        <x:v>632</x:v>
      </x:c>
      <x:c r="L169" s="27" t="n">
        <x:f>IFERROR(K169/I169,0)</x:f>
        <x:v>0.020065403054259134</x:v>
      </x:c>
      <x:c r="M169" s="28" t="n">
        <x:f>IFERROR(H169/K169,0)</x:f>
        <x:v>4.446645569620253</x:v>
      </x:c>
      <x:c r="N169" s="28" t="n">
        <x:f>IFERROR(H169/I169*1000,0)</x:f>
        <x:v>89.2237355938661</x:v>
      </x:c>
      <x:c r="O169" t="n">
        <x:v>1.065672</x:v>
      </x:c>
      <x:c r="P169" t="n">
        <x:v>0</x:v>
      </x:c>
      <x:c r="Q169" s="28" t="n">
        <x:v>0</x:v>
      </x:c>
      <x:c r="R169" s="28" t="n">
        <x:v>0</x:v>
      </x:c>
    </x:row>
    <x:row r="170">
      <x:c r="A170" t="str">
        <x:v>2026-07-17</x:v>
      </x:c>
      <x:c r="B170" t="str">
        <x:v>449281783851362</x:v>
      </x:c>
      <x:c r="C170" t="str">
        <x:v>Doruk Hastaneleri - SİNA ÖZEL Sağlık Hizmetleri A.ş</x:v>
      </x:c>
      <x:c r="D170" t="str">
        <x:v>120255158812950399</x:v>
      </x:c>
      <x:c r="E170" t="str">
        <x:v>Doktor - Bilinirlik Kampanyası - Yıldırım</x:v>
      </x:c>
      <x:c r="F170" t="str">
        <x:v>OUTCOME_AWARENESS</x:v>
      </x:c>
      <x:c r="G170" t="n">
        <x:v>173389</x:v>
      </x:c>
      <x:c r="H170" s="28" t="n">
        <x:v>1722.42</x:v>
      </x:c>
      <x:c r="I170" t="n">
        <x:v>192936</x:v>
      </x:c>
      <x:c r="J170" t="n">
        <x:v>152</x:v>
      </x:c>
      <x:c r="K170" t="n">
        <x:v>0</x:v>
      </x:c>
      <x:c r="L170" s="27" t="n">
        <x:f>IFERROR(K170/I170,0)</x:f>
        <x:v>0</x:v>
      </x:c>
      <x:c r="M170" s="28" t="n">
        <x:f>IFERROR(H170/K170,0)</x:f>
        <x:v>0</x:v>
      </x:c>
      <x:c r="N170" s="28" t="n">
        <x:f>IFERROR(H170/I170*1000,0)</x:f>
        <x:v>8.927416345316582</x:v>
      </x:c>
      <x:c r="O170" t="n">
        <x:v>1.112735</x:v>
      </x:c>
      <x:c r="P170" t="n">
        <x:v>0</x:v>
      </x:c>
      <x:c r="Q170" s="28" t="n">
        <x:v>0</x:v>
      </x:c>
      <x:c r="R170" s="28" t="n">
        <x:v>0</x:v>
      </x:c>
    </x:row>
    <x:row r="171">
      <x:c r="A171" t="str">
        <x:v>2026-07-18</x:v>
      </x:c>
      <x:c r="B171" t="str">
        <x:v>449281783851362</x:v>
      </x:c>
      <x:c r="C171" t="str">
        <x:v>Doruk Hastaneleri - SİNA ÖZEL Sağlık Hizmetleri A.ş</x:v>
      </x:c>
      <x:c r="D171" t="str">
        <x:v>120202624613730399</x:v>
      </x:c>
      <x:c r="E171" t="str">
        <x:v>CBO / Saç Ekimi - lead / soğuk</x:v>
      </x:c>
      <x:c r="F171" t="str">
        <x:v>OUTCOME_LEADS</x:v>
      </x:c>
      <x:c r="G171" t="n">
        <x:v>4727</x:v>
      </x:c>
      <x:c r="H171" s="28" t="n">
        <x:v>1190.17</x:v>
      </x:c>
      <x:c r="I171" t="n">
        <x:v>7701</x:v>
      </x:c>
      <x:c r="J171" t="n">
        <x:v>52</x:v>
      </x:c>
      <x:c r="K171" t="n">
        <x:v>29</x:v>
      </x:c>
      <x:c r="L171" s="27" t="n">
        <x:f>IFERROR(K171/I171,0)</x:f>
        <x:v>0.003765744708479418</x:v>
      </x:c>
      <x:c r="M171" s="28" t="n">
        <x:f>IFERROR(H171/K171,0)</x:f>
        <x:v>41.04034482758621</x:v>
      </x:c>
      <x:c r="N171" s="28" t="n">
        <x:f>IFERROR(H171/I171*1000,0)</x:f>
        <x:v>154.54746136865344</x:v>
      </x:c>
      <x:c r="O171" t="n">
        <x:v>1.629152</x:v>
      </x:c>
      <x:c r="P171" t="n">
        <x:v>0</x:v>
      </x:c>
      <x:c r="Q171" s="28" t="n">
        <x:v>0</x:v>
      </x:c>
      <x:c r="R171" s="28" t="n">
        <x:v>0</x:v>
      </x:c>
    </x:row>
    <x:row r="172">
      <x:c r="A172" t="str">
        <x:v>2026-07-18</x:v>
      </x:c>
      <x:c r="B172" t="str">
        <x:v>449281783851362</x:v>
      </x:c>
      <x:c r="C172" t="str">
        <x:v>Doruk Hastaneleri - SİNA ÖZEL Sağlık Hizmetleri A.ş</x:v>
      </x:c>
      <x:c r="D172" t="str">
        <x:v>120211731920800399</x:v>
      </x:c>
      <x:c r="E172" t="str">
        <x:v>ABO / Göz Kapağı Estetiği / plastik cerrahi / lead</x:v>
      </x:c>
      <x:c r="F172" t="str">
        <x:v>OUTCOME_LEADS</x:v>
      </x:c>
      <x:c r="G172" t="n">
        <x:v>2671</x:v>
      </x:c>
      <x:c r="H172" s="28" t="n">
        <x:v>345.9</x:v>
      </x:c>
      <x:c r="I172" t="n">
        <x:v>3379</x:v>
      </x:c>
      <x:c r="J172" t="n">
        <x:v>24</x:v>
      </x:c>
      <x:c r="K172" t="n">
        <x:v>12</x:v>
      </x:c>
      <x:c r="L172" s="27" t="n">
        <x:f>IFERROR(K172/I172,0)</x:f>
        <x:v>0.003551346552234389</x:v>
      </x:c>
      <x:c r="M172" s="28" t="n">
        <x:f>IFERROR(H172/K172,0)</x:f>
        <x:v>28.825</x:v>
      </x:c>
      <x:c r="N172" s="28" t="n">
        <x:f>IFERROR(H172/I172*1000,0)</x:f>
        <x:v>102.36756436815625</x:v>
      </x:c>
      <x:c r="O172" t="n">
        <x:v>1.265069</x:v>
      </x:c>
      <x:c r="P172" t="n">
        <x:v>1</x:v>
      </x:c>
      <x:c r="Q172" s="28" t="n">
        <x:v>0</x:v>
      </x:c>
      <x:c r="R172" s="28" t="n">
        <x:v>0</x:v>
      </x:c>
    </x:row>
    <x:row r="173">
      <x:c r="A173" t="str">
        <x:v>2026-07-18</x:v>
      </x:c>
      <x:c r="B173" t="str">
        <x:v>449281783851362</x:v>
      </x:c>
      <x:c r="C173" t="str">
        <x:v>Doruk Hastaneleri - SİNA ÖZEL Sağlık Hizmetleri A.ş</x:v>
      </x:c>
      <x:c r="D173" t="str">
        <x:v>120211732243050399</x:v>
      </x:c>
      <x:c r="E173" t="str">
        <x:v>ABO /Kepçe Kulak / plastik cerrahi / lead</x:v>
      </x:c>
      <x:c r="F173" t="str">
        <x:v>OUTCOME_LEADS</x:v>
      </x:c>
      <x:c r="G173" t="n">
        <x:v>7501</x:v>
      </x:c>
      <x:c r="H173" s="28" t="n">
        <x:v>354.97</x:v>
      </x:c>
      <x:c r="I173" t="n">
        <x:v>7995</x:v>
      </x:c>
      <x:c r="J173" t="n">
        <x:v>19</x:v>
      </x:c>
      <x:c r="K173" t="n">
        <x:v>15</x:v>
      </x:c>
      <x:c r="L173" s="27" t="n">
        <x:f>IFERROR(K173/I173,0)</x:f>
        <x:v>0.001876172607879925</x:v>
      </x:c>
      <x:c r="M173" s="28" t="n">
        <x:f>IFERROR(H173/K173,0)</x:f>
        <x:v>23.66466666666667</x:v>
      </x:c>
      <x:c r="N173" s="28" t="n">
        <x:f>IFERROR(H173/I173*1000,0)</x:f>
        <x:v>44.39899937460914</x:v>
      </x:c>
      <x:c r="O173" t="n">
        <x:v>1.065858</x:v>
      </x:c>
      <x:c r="P173" t="n">
        <x:v>0</x:v>
      </x:c>
      <x:c r="Q173" s="28" t="n">
        <x:v>0</x:v>
      </x:c>
      <x:c r="R173" s="28" t="n">
        <x:v>0</x:v>
      </x:c>
    </x:row>
    <x:row r="174">
      <x:c r="A174" t="str">
        <x:v>2026-07-18</x:v>
      </x:c>
      <x:c r="B174" t="str">
        <x:v>449281783851362</x:v>
      </x:c>
      <x:c r="C174" t="str">
        <x:v>Doruk Hastaneleri - SİNA ÖZEL Sağlık Hizmetleri A.ş</x:v>
      </x:c>
      <x:c r="D174" t="str">
        <x:v>120211732311210399</x:v>
      </x:c>
      <x:c r="E174" t="str">
        <x:v>ABO / Meme Estetiği / plastik cerrahi / lead</x:v>
      </x:c>
      <x:c r="F174" t="str">
        <x:v>OUTCOME_LEADS</x:v>
      </x:c>
      <x:c r="G174" t="n">
        <x:v>7625</x:v>
      </x:c>
      <x:c r="H174" s="28" t="n">
        <x:v>1193.3</x:v>
      </x:c>
      <x:c r="I174" t="n">
        <x:v>10573</x:v>
      </x:c>
      <x:c r="J174" t="n">
        <x:v>38</x:v>
      </x:c>
      <x:c r="K174" t="n">
        <x:v>20</x:v>
      </x:c>
      <x:c r="L174" s="27" t="n">
        <x:f>IFERROR(K174/I174,0)</x:f>
        <x:v>0.0018916107065165989</x:v>
      </x:c>
      <x:c r="M174" s="28" t="n">
        <x:f>IFERROR(H174/K174,0)</x:f>
        <x:v>59.665</x:v>
      </x:c>
      <x:c r="N174" s="28" t="n">
        <x:f>IFERROR(H174/I174*1000,0)</x:f>
        <x:v>112.86295280431287</x:v>
      </x:c>
      <x:c r="O174" t="n">
        <x:v>1.386623</x:v>
      </x:c>
      <x:c r="P174" t="n">
        <x:v>1</x:v>
      </x:c>
      <x:c r="Q174" s="28" t="n">
        <x:v>0</x:v>
      </x:c>
      <x:c r="R174" s="28" t="n">
        <x:v>0</x:v>
      </x:c>
    </x:row>
    <x:row r="175">
      <x:c r="A175" t="str">
        <x:v>2026-07-18</x:v>
      </x:c>
      <x:c r="B175" t="str">
        <x:v>449281783851362</x:v>
      </x:c>
      <x:c r="C175" t="str">
        <x:v>Doruk Hastaneleri - SİNA ÖZEL Sağlık Hizmetleri A.ş</x:v>
      </x:c>
      <x:c r="D175" t="str">
        <x:v>120211732618490399</x:v>
      </x:c>
      <x:c r="E175" t="str">
        <x:v>ABO /Jinekomasti / plastik cerrahi / lead</x:v>
      </x:c>
      <x:c r="F175" t="str">
        <x:v>OUTCOME_LEADS</x:v>
      </x:c>
      <x:c r="G175" t="n">
        <x:v>2980</x:v>
      </x:c>
      <x:c r="H175" s="28" t="n">
        <x:v>338.18</x:v>
      </x:c>
      <x:c r="I175" t="n">
        <x:v>3557</x:v>
      </x:c>
      <x:c r="J175" t="n">
        <x:v>12</x:v>
      </x:c>
      <x:c r="K175" t="n">
        <x:v>6</x:v>
      </x:c>
      <x:c r="L175" s="27" t="n">
        <x:f>IFERROR(K175/I175,0)</x:f>
        <x:v>0.0016868147315153219</x:v>
      </x:c>
      <x:c r="M175" s="28" t="n">
        <x:f>IFERROR(H175/K175,0)</x:f>
        <x:v>56.36333333333334</x:v>
      </x:c>
      <x:c r="N175" s="28" t="n">
        <x:f>IFERROR(H175/I175*1000,0)</x:f>
        <x:v>95.07450098397527</x:v>
      </x:c>
      <x:c r="O175" t="n">
        <x:v>1.193624</x:v>
      </x:c>
      <x:c r="P175" t="n">
        <x:v>1</x:v>
      </x:c>
      <x:c r="Q175" s="28" t="n">
        <x:v>0</x:v>
      </x:c>
      <x:c r="R175" s="28" t="n">
        <x:v>0</x:v>
      </x:c>
    </x:row>
    <x:row r="176">
      <x:c r="A176" t="str">
        <x:v>2026-07-18</x:v>
      </x:c>
      <x:c r="B176" t="str">
        <x:v>449281783851362</x:v>
      </x:c>
      <x:c r="C176" t="str">
        <x:v>Doruk Hastaneleri - SİNA ÖZEL Sağlık Hizmetleri A.ş</x:v>
      </x:c>
      <x:c r="D176" t="str">
        <x:v>120211732654260399</x:v>
      </x:c>
      <x:c r="E176" t="str">
        <x:v>ABO / Rinoplasti / plastik cerrahi / lead</x:v>
      </x:c>
      <x:c r="F176" t="str">
        <x:v>OUTCOME_LEADS</x:v>
      </x:c>
      <x:c r="G176" t="n">
        <x:v>4626</x:v>
      </x:c>
      <x:c r="H176" s="28" t="n">
        <x:v>956.58</x:v>
      </x:c>
      <x:c r="I176" t="n">
        <x:v>6664</x:v>
      </x:c>
      <x:c r="J176" t="n">
        <x:v>33</x:v>
      </x:c>
      <x:c r="K176" t="n">
        <x:v>27</x:v>
      </x:c>
      <x:c r="L176" s="27" t="n">
        <x:f>IFERROR(K176/I176,0)</x:f>
        <x:v>0.004051620648259304</x:v>
      </x:c>
      <x:c r="M176" s="28" t="n">
        <x:f>IFERROR(H176/K176,0)</x:f>
        <x:v>35.42888888888889</x:v>
      </x:c>
      <x:c r="N176" s="28" t="n">
        <x:f>IFERROR(H176/I176*1000,0)</x:f>
        <x:v>143.54441776710686</x:v>
      </x:c>
      <x:c r="O176" t="n">
        <x:v>1.440553</x:v>
      </x:c>
      <x:c r="P176" t="n">
        <x:v>0</x:v>
      </x:c>
      <x:c r="Q176" s="28" t="n">
        <x:v>0</x:v>
      </x:c>
      <x:c r="R176" s="28" t="n">
        <x:v>0</x:v>
      </x:c>
    </x:row>
    <x:row r="177">
      <x:c r="A177" t="str">
        <x:v>2026-07-18</x:v>
      </x:c>
      <x:c r="B177" t="str">
        <x:v>449281783851362</x:v>
      </x:c>
      <x:c r="C177" t="str">
        <x:v>Doruk Hastaneleri - SİNA ÖZEL Sağlık Hizmetleri A.ş</x:v>
      </x:c>
      <x:c r="D177" t="str">
        <x:v>120211732712890399</x:v>
      </x:c>
      <x:c r="E177" t="str">
        <x:v>ABO / Vücut Şekillendirme / plastik cerrahi / lead</x:v>
      </x:c>
      <x:c r="F177" t="str">
        <x:v>OUTCOME_LEADS</x:v>
      </x:c>
      <x:c r="G177" t="n">
        <x:v>1058</x:v>
      </x:c>
      <x:c r="H177" s="28" t="n">
        <x:v>357.74</x:v>
      </x:c>
      <x:c r="I177" t="n">
        <x:v>1567</x:v>
      </x:c>
      <x:c r="J177" t="n">
        <x:v>20</x:v>
      </x:c>
      <x:c r="K177" t="n">
        <x:v>15</x:v>
      </x:c>
      <x:c r="L177" s="27" t="n">
        <x:f>IFERROR(K177/I177,0)</x:f>
        <x:v>0.009572431397574984</x:v>
      </x:c>
      <x:c r="M177" s="28" t="n">
        <x:f>IFERROR(H177/K177,0)</x:f>
        <x:v>23.849333333333334</x:v>
      </x:c>
      <x:c r="N177" s="28" t="n">
        <x:f>IFERROR(H177/I177*1000,0)</x:f>
        <x:v>228.29610721123166</x:v>
      </x:c>
      <x:c r="O177" t="n">
        <x:v>1.481096</x:v>
      </x:c>
      <x:c r="P177" t="n">
        <x:v>2</x:v>
      </x:c>
      <x:c r="Q177" s="28" t="n">
        <x:v>0</x:v>
      </x:c>
      <x:c r="R177" s="28" t="n">
        <x:v>0</x:v>
      </x:c>
    </x:row>
    <x:row r="178">
      <x:c r="A178" t="str">
        <x:v>2026-07-18</x:v>
      </x:c>
      <x:c r="B178" t="str">
        <x:v>449281783851362</x:v>
      </x:c>
      <x:c r="C178" t="str">
        <x:v>Doruk Hastaneleri - SİNA ÖZEL Sağlık Hizmetleri A.ş</x:v>
      </x:c>
      <x:c r="D178" t="str">
        <x:v>120211732754080399</x:v>
      </x:c>
      <x:c r="E178" t="str">
        <x:v>ABO / Yüz Germe (Facelift) / plastik cerrahi / lead</x:v>
      </x:c>
      <x:c r="F178" t="str">
        <x:v>OUTCOME_LEADS</x:v>
      </x:c>
      <x:c r="G178" t="n">
        <x:v>854</x:v>
      </x:c>
      <x:c r="H178" s="28" t="n">
        <x:v>352.58</x:v>
      </x:c>
      <x:c r="I178" t="n">
        <x:v>1162</x:v>
      </x:c>
      <x:c r="J178" t="n">
        <x:v>15</x:v>
      </x:c>
      <x:c r="K178" t="n">
        <x:v>11</x:v>
      </x:c>
      <x:c r="L178" s="27" t="n">
        <x:f>IFERROR(K178/I178,0)</x:f>
        <x:v>0.00946643717728055</x:v>
      </x:c>
      <x:c r="M178" s="28" t="n">
        <x:f>IFERROR(H178/K178,0)</x:f>
        <x:v>32.052727272727275</x:v>
      </x:c>
      <x:c r="N178" s="28" t="n">
        <x:f>IFERROR(H178/I178*1000,0)</x:f>
        <x:v>303.4251290877797</x:v>
      </x:c>
      <x:c r="O178" t="n">
        <x:v>1.360656</x:v>
      </x:c>
      <x:c r="P178" t="n">
        <x:v>0</x:v>
      </x:c>
      <x:c r="Q178" s="28" t="n">
        <x:v>0</x:v>
      </x:c>
      <x:c r="R178" s="28" t="n">
        <x:v>0</x:v>
      </x:c>
    </x:row>
    <x:row r="179">
      <x:c r="A179" t="str">
        <x:v>2026-07-18</x:v>
      </x:c>
      <x:c r="B179" t="str">
        <x:v>449281783851362</x:v>
      </x:c>
      <x:c r="C179" t="str">
        <x:v>Doruk Hastaneleri - SİNA ÖZEL Sağlık Hizmetleri A.ş</x:v>
      </x:c>
      <x:c r="D179" t="str">
        <x:v>120214167265870399</x:v>
      </x:c>
      <x:c r="E179" t="str">
        <x:v>Baş Dönmesi ve Denge Ünitesi / lead</x:v>
      </x:c>
      <x:c r="F179" t="str">
        <x:v>OUTCOME_LEADS</x:v>
      </x:c>
      <x:c r="G179" t="n">
        <x:v>8421</x:v>
      </x:c>
      <x:c r="H179" s="28" t="n">
        <x:v>585.69</x:v>
      </x:c>
      <x:c r="I179" t="n">
        <x:v>10853</x:v>
      </x:c>
      <x:c r="J179" t="n">
        <x:v>145</x:v>
      </x:c>
      <x:c r="K179" t="n">
        <x:v>80</x:v>
      </x:c>
      <x:c r="L179" s="27" t="n">
        <x:f>IFERROR(K179/I179,0)</x:f>
        <x:v>0.007371233760250622</x:v>
      </x:c>
      <x:c r="M179" s="28" t="n">
        <x:f>IFERROR(H179/K179,0)</x:f>
        <x:v>7.321125</x:v>
      </x:c>
      <x:c r="N179" s="28" t="n">
        <x:f>IFERROR(H179/I179*1000,0)</x:f>
        <x:v>53.965723763014836</x:v>
      </x:c>
      <x:c r="O179" t="n">
        <x:v>1.288802</x:v>
      </x:c>
      <x:c r="P179" t="n">
        <x:v>7</x:v>
      </x:c>
      <x:c r="Q179" s="28" t="n">
        <x:v>0</x:v>
      </x:c>
      <x:c r="R179" s="28" t="n">
        <x:v>0</x:v>
      </x:c>
    </x:row>
    <x:row r="180">
      <x:c r="A180" t="str">
        <x:v>2026-07-18</x:v>
      </x:c>
      <x:c r="B180" t="str">
        <x:v>449281783851362</x:v>
      </x:c>
      <x:c r="C180" t="str">
        <x:v>Doruk Hastaneleri - SİNA ÖZEL Sağlık Hizmetleri A.ş</x:v>
      </x:c>
      <x:c r="D180" t="str">
        <x:v>120220089108220399</x:v>
      </x:c>
      <x:c r="E180" t="str">
        <x:v>Checkup - genel - lead</x:v>
      </x:c>
      <x:c r="F180" t="str">
        <x:v>OUTCOME_LEADS</x:v>
      </x:c>
      <x:c r="G180" t="n">
        <x:v>2480</x:v>
      </x:c>
      <x:c r="H180" s="28" t="n">
        <x:v>418.93</x:v>
      </x:c>
      <x:c r="I180" t="n">
        <x:v>2966</x:v>
      </x:c>
      <x:c r="J180" t="n">
        <x:v>21</x:v>
      </x:c>
      <x:c r="K180" t="n">
        <x:v>9</x:v>
      </x:c>
      <x:c r="L180" s="27" t="n">
        <x:f>IFERROR(K180/I180,0)</x:f>
        <x:v>0.0030343897505057315</x:v>
      </x:c>
      <x:c r="M180" s="28" t="n">
        <x:f>IFERROR(H180/K180,0)</x:f>
        <x:v>46.54777777777778</x:v>
      </x:c>
      <x:c r="N180" s="28" t="n">
        <x:f>IFERROR(H180/I180*1000,0)</x:f>
        <x:v>141.24409979770735</x:v>
      </x:c>
      <x:c r="O180" t="n">
        <x:v>1.195968</x:v>
      </x:c>
      <x:c r="P180" t="n">
        <x:v>1</x:v>
      </x:c>
      <x:c r="Q180" s="28" t="n">
        <x:v>0</x:v>
      </x:c>
      <x:c r="R180" s="28" t="n">
        <x:v>0</x:v>
      </x:c>
    </x:row>
    <x:row r="181">
      <x:c r="A181" t="str">
        <x:v>2026-07-18</x:v>
      </x:c>
      <x:c r="B181" t="str">
        <x:v>170008509278498</x:v>
      </x:c>
      <x:c r="C181" t="str">
        <x:v>Doruk Hospital</x:v>
      </x:c>
      <x:c r="D181" t="str">
        <x:v>120232382033210080</x:v>
      </x:c>
      <x:c r="E181" t="str">
        <x:v>Fizik Tedavi - Intensive FTR - Türki Cumhuriyetler - Tümü - RU - Lechenie v Turtsii - lead</x:v>
      </x:c>
      <x:c r="F181" t="str">
        <x:v>OUTCOME_LEADS</x:v>
      </x:c>
      <x:c r="G181" t="n">
        <x:v>135888</x:v>
      </x:c>
      <x:c r="H181" s="28" t="n">
        <x:v>26882.59</x:v>
      </x:c>
      <x:c r="I181" t="n">
        <x:v>177583</x:v>
      </x:c>
      <x:c r="J181" t="n">
        <x:v>1679</x:v>
      </x:c>
      <x:c r="K181" t="n">
        <x:v>1339</x:v>
      </x:c>
      <x:c r="L181" s="27" t="n">
        <x:f>IFERROR(K181/I181,0)</x:f>
        <x:v>0.007540136161682143</x:v>
      </x:c>
      <x:c r="M181" s="28" t="n">
        <x:f>IFERROR(H181/K181,0)</x:f>
        <x:v>20.076616878267362</x:v>
      </x:c>
      <x:c r="N181" s="28" t="n">
        <x:f>IFERROR(H181/I181*1000,0)</x:f>
        <x:v>151.3804249280618</x:v>
      </x:c>
      <x:c r="O181" t="n">
        <x:v>1.306834</x:v>
      </x:c>
      <x:c r="P181" t="n">
        <x:v>21</x:v>
      </x:c>
      <x:c r="Q181" s="28" t="n">
        <x:v>0</x:v>
      </x:c>
      <x:c r="R181" s="28" t="n">
        <x:v>0</x:v>
      </x:c>
    </x:row>
    <x:row r="182">
      <x:c r="A182" t="str">
        <x:v>2026-07-18</x:v>
      </x:c>
      <x:c r="B182" t="str">
        <x:v>170008509278498</x:v>
      </x:c>
      <x:c r="C182" t="str">
        <x:v>Doruk Hospital</x:v>
      </x:c>
      <x:c r="D182" t="str">
        <x:v>120238651325780080</x:v>
      </x:c>
      <x:c r="E182" t="str">
        <x:v>Whatsapp - Fizik Tedavi - Intensive FTR - Arap Bölgesi - Tümü - AR - Doruk İlaj Turkia</x:v>
      </x:c>
      <x:c r="F182" t="str">
        <x:v>OUTCOME_LEADS</x:v>
      </x:c>
      <x:c r="G182" t="n">
        <x:v>94626</x:v>
      </x:c>
      <x:c r="H182" s="28" t="n">
        <x:v>28596.9</x:v>
      </x:c>
      <x:c r="I182" t="n">
        <x:v>175439</x:v>
      </x:c>
      <x:c r="J182" t="n">
        <x:v>1535</x:v>
      </x:c>
      <x:c r="K182" t="n">
        <x:v>777</x:v>
      </x:c>
      <x:c r="L182" s="27" t="n">
        <x:f>IFERROR(K182/I182,0)</x:f>
        <x:v>0.004428889813553429</x:v>
      </x:c>
      <x:c r="M182" s="28" t="n">
        <x:f>IFERROR(H182/K182,0)</x:f>
        <x:v>36.8042471042471</x:v>
      </x:c>
      <x:c r="N182" s="28" t="n">
        <x:f>IFERROR(H182/I182*1000,0)</x:f>
        <x:v>163.00195509550326</x:v>
      </x:c>
      <x:c r="O182" t="n">
        <x:v>1.854025</x:v>
      </x:c>
      <x:c r="P182" t="n">
        <x:v>0</x:v>
      </x:c>
      <x:c r="Q182" s="28" t="n">
        <x:v>0</x:v>
      </x:c>
      <x:c r="R182" s="28" t="n">
        <x:v>0</x:v>
      </x:c>
    </x:row>
    <x:row r="183">
      <x:c r="A183" t="str">
        <x:v>2026-07-18</x:v>
      </x:c>
      <x:c r="B183" t="str">
        <x:v>449281783851362</x:v>
      </x:c>
      <x:c r="C183" t="str">
        <x:v>Doruk Hastaneleri - SİNA ÖZEL Sağlık Hizmetleri A.ş</x:v>
      </x:c>
      <x:c r="D183" t="str">
        <x:v>120242415465180399</x:v>
      </x:c>
      <x:c r="E183" t="str">
        <x:v>Gebe-Doğum Form Kampanyası</x:v>
      </x:c>
      <x:c r="F183" t="str">
        <x:v>OUTCOME_LEADS</x:v>
      </x:c>
      <x:c r="G183" t="n">
        <x:v>84208</x:v>
      </x:c>
      <x:c r="H183" s="28" t="n">
        <x:v>11222.21</x:v>
      </x:c>
      <x:c r="I183" t="n">
        <x:v>162024</x:v>
      </x:c>
      <x:c r="J183" t="n">
        <x:v>715</x:v>
      </x:c>
      <x:c r="K183" t="n">
        <x:v>474</x:v>
      </x:c>
      <x:c r="L183" s="27" t="n">
        <x:f>IFERROR(K183/I183,0)</x:f>
        <x:v>0.002925492519626722</x:v>
      </x:c>
      <x:c r="M183" s="28" t="n">
        <x:f>IFERROR(H183/K183,0)</x:f>
        <x:v>23.67554852320675</x:v>
      </x:c>
      <x:c r="N183" s="28" t="n">
        <x:f>IFERROR(H183/I183*1000,0)</x:f>
        <x:v>69.26264010270083</x:v>
      </x:c>
      <x:c r="O183" t="n">
        <x:v>1.924093</x:v>
      </x:c>
      <x:c r="P183" t="n">
        <x:v>24</x:v>
      </x:c>
      <x:c r="Q183" s="28" t="n">
        <x:v>0</x:v>
      </x:c>
      <x:c r="R183" s="28" t="n">
        <x:v>0</x:v>
      </x:c>
    </x:row>
    <x:row r="184">
      <x:c r="A184" t="str">
        <x:v>2026-07-18</x:v>
      </x:c>
      <x:c r="B184" t="str">
        <x:v>170008509278498</x:v>
      </x:c>
      <x:c r="C184" t="str">
        <x:v>Doruk Hospital</x:v>
      </x:c>
      <x:c r="D184" t="str">
        <x:v>120242709752170080</x:v>
      </x:c>
      <x:c r="E184" t="str">
        <x:v>Instagram gönderisi: Аппарат TrueBeam — одна из...</x:v>
      </x:c>
      <x:c r="F184" t="str">
        <x:v>LINK_CLICKS</x:v>
      </x:c>
      <x:c r="G184" t="n">
        <x:v>91919</x:v>
      </x:c>
      <x:c r="H184" s="28" t="n">
        <x:v>5507.48</x:v>
      </x:c>
      <x:c r="I184" t="n">
        <x:v>95810</x:v>
      </x:c>
      <x:c r="J184" t="n">
        <x:v>2109</x:v>
      </x:c>
      <x:c r="K184" t="n">
        <x:v>2056</x:v>
      </x:c>
      <x:c r="L184" s="27" t="n">
        <x:f>IFERROR(K184/I184,0)</x:f>
        <x:v>0.021459137877048326</x:v>
      </x:c>
      <x:c r="M184" s="28" t="n">
        <x:f>IFERROR(H184/K184,0)</x:f>
        <x:v>2.678735408560311</x:v>
      </x:c>
      <x:c r="N184" s="28" t="n">
        <x:f>IFERROR(H184/I184*1000,0)</x:f>
        <x:v>57.48335246842709</x:v>
      </x:c>
      <x:c r="O184" t="n">
        <x:v>1.042331</x:v>
      </x:c>
      <x:c r="P184" t="n">
        <x:v>0</x:v>
      </x:c>
      <x:c r="Q184" s="28" t="n">
        <x:v>0</x:v>
      </x:c>
      <x:c r="R184" s="28" t="n">
        <x:v>0</x:v>
      </x:c>
    </x:row>
    <x:row r="185">
      <x:c r="A185" t="str">
        <x:v>2026-07-18</x:v>
      </x:c>
      <x:c r="B185" t="str">
        <x:v>449281783851362</x:v>
      </x:c>
      <x:c r="C185" t="str">
        <x:v>Doruk Hastaneleri - SİNA ÖZEL Sağlık Hizmetleri A.ş</x:v>
      </x:c>
      <x:c r="D185" t="str">
        <x:v>120244050701710399</x:v>
      </x:c>
      <x:c r="E185" t="str">
        <x:v>Uzman Hekim Başvuru</x:v>
      </x:c>
      <x:c r="F185" t="str">
        <x:v>OUTCOME_LEADS</x:v>
      </x:c>
      <x:c r="G185" t="n">
        <x:v>10653</x:v>
      </x:c>
      <x:c r="H185" s="28" t="n">
        <x:v>1605.88</x:v>
      </x:c>
      <x:c r="I185" t="n">
        <x:v>13587</x:v>
      </x:c>
      <x:c r="J185" t="n">
        <x:v>168</x:v>
      </x:c>
      <x:c r="K185" t="n">
        <x:v>90</x:v>
      </x:c>
      <x:c r="L185" s="27" t="n">
        <x:f>IFERROR(K185/I185,0)</x:f>
        <x:v>0.00662397880326783</x:v>
      </x:c>
      <x:c r="M185" s="28" t="n">
        <x:f>IFERROR(H185/K185,0)</x:f>
        <x:v>17.843111111111114</x:v>
      </x:c>
      <x:c r="N185" s="28" t="n">
        <x:f>IFERROR(H185/I185*1000,0)</x:f>
        <x:v>118.1923897843527</x:v>
      </x:c>
      <x:c r="O185" t="n">
        <x:v>1.275415</x:v>
      </x:c>
      <x:c r="P185" t="n">
        <x:v>8</x:v>
      </x:c>
      <x:c r="Q185" s="28" t="n">
        <x:v>0</x:v>
      </x:c>
      <x:c r="R185" s="28" t="n">
        <x:v>0</x:v>
      </x:c>
    </x:row>
    <x:row r="186">
      <x:c r="A186" t="str">
        <x:v>2026-07-18</x:v>
      </x:c>
      <x:c r="B186" t="str">
        <x:v>449281783851362</x:v>
      </x:c>
      <x:c r="C186" t="str">
        <x:v>Doruk Hastaneleri - SİNA ÖZEL Sağlık Hizmetleri A.ş</x:v>
      </x:c>
      <x:c r="D186" t="str">
        <x:v>120246476228800399</x:v>
      </x:c>
      <x:c r="E186" t="str">
        <x:v>FTR Yatılı - lead</x:v>
      </x:c>
      <x:c r="F186" t="str">
        <x:v>OUTCOME_LEADS</x:v>
      </x:c>
      <x:c r="G186" t="n">
        <x:v>81324</x:v>
      </x:c>
      <x:c r="H186" s="28" t="n">
        <x:v>6637.99</x:v>
      </x:c>
      <x:c r="I186" t="n">
        <x:v>92618</x:v>
      </x:c>
      <x:c r="J186" t="n">
        <x:v>595</x:v>
      </x:c>
      <x:c r="K186" t="n">
        <x:v>270</x:v>
      </x:c>
      <x:c r="L186" s="27" t="n">
        <x:f>IFERROR(K186/I186,0)</x:f>
        <x:v>0.002915200069101039</x:v>
      </x:c>
      <x:c r="M186" s="28" t="n">
        <x:f>IFERROR(H186/K186,0)</x:f>
        <x:v>24.585148148148146</x:v>
      </x:c>
      <x:c r="N186" s="28" t="n">
        <x:f>IFERROR(H186/I186*1000,0)</x:f>
        <x:v>71.67062558034075</x:v>
      </x:c>
      <x:c r="O186" t="n">
        <x:v>1.138877</x:v>
      </x:c>
      <x:c r="P186" t="n">
        <x:v>6</x:v>
      </x:c>
      <x:c r="Q186" s="28" t="n">
        <x:v>0</x:v>
      </x:c>
      <x:c r="R186" s="28" t="n">
        <x:v>0</x:v>
      </x:c>
    </x:row>
    <x:row r="187">
      <x:c r="A187" t="str">
        <x:v>2026-07-18</x:v>
      </x:c>
      <x:c r="B187" t="str">
        <x:v>449281783851362</x:v>
      </x:c>
      <x:c r="C187" t="str">
        <x:v>Doruk Hastaneleri - SİNA ÖZEL Sağlık Hizmetleri A.ş</x:v>
      </x:c>
      <x:c r="D187" t="str">
        <x:v>120246691590090399</x:v>
      </x:c>
      <x:c r="E187" t="str">
        <x:v>Hemşire İş Başvuru - lead</x:v>
      </x:c>
      <x:c r="F187" t="str">
        <x:v>OUTCOME_LEADS</x:v>
      </x:c>
      <x:c r="G187" t="n">
        <x:v>15840</x:v>
      </x:c>
      <x:c r="H187" s="28" t="n">
        <x:v>1543.52</x:v>
      </x:c>
      <x:c r="I187" t="n">
        <x:v>25446</x:v>
      </x:c>
      <x:c r="J187" t="n">
        <x:v>171</x:v>
      </x:c>
      <x:c r="K187" t="n">
        <x:v>118</x:v>
      </x:c>
      <x:c r="L187" s="27" t="n">
        <x:f>IFERROR(K187/I187,0)</x:f>
        <x:v>0.004637271083863868</x:v>
      </x:c>
      <x:c r="M187" s="28" t="n">
        <x:f>IFERROR(H187/K187,0)</x:f>
        <x:v>13.080677966101694</x:v>
      </x:c>
      <x:c r="N187" s="28" t="n">
        <x:f>IFERROR(H187/I187*1000,0)</x:f>
        <x:v>60.65864968953863</x:v>
      </x:c>
      <x:c r="O187" t="n">
        <x:v>1.606439</x:v>
      </x:c>
      <x:c r="P187" t="n">
        <x:v>2</x:v>
      </x:c>
      <x:c r="Q187" s="28" t="n">
        <x:v>0</x:v>
      </x:c>
      <x:c r="R187" s="28" t="n">
        <x:v>0</x:v>
      </x:c>
    </x:row>
    <x:row r="188">
      <x:c r="A188" t="str">
        <x:v>2026-07-18</x:v>
      </x:c>
      <x:c r="B188" t="str">
        <x:v>449281783851362</x:v>
      </x:c>
      <x:c r="C188" t="str">
        <x:v>Doruk Hastaneleri - SİNA ÖZEL Sağlık Hizmetleri A.ş</x:v>
      </x:c>
      <x:c r="D188" t="str">
        <x:v>120246924981440399</x:v>
      </x:c>
      <x:c r="E188" t="str">
        <x:v>ÖSS-TSS - marka bilinirliği</x:v>
      </x:c>
      <x:c r="F188" t="str">
        <x:v>OUTCOME_AWARENESS</x:v>
      </x:c>
      <x:c r="G188" t="n">
        <x:v>226448</x:v>
      </x:c>
      <x:c r="H188" s="28" t="n">
        <x:v>3107.89</x:v>
      </x:c>
      <x:c r="I188" t="n">
        <x:v>231870</x:v>
      </x:c>
      <x:c r="J188" t="n">
        <x:v>270</x:v>
      </x:c>
      <x:c r="K188" t="n">
        <x:v>71</x:v>
      </x:c>
      <x:c r="L188" s="27" t="n">
        <x:f>IFERROR(K188/I188,0)</x:f>
        <x:v>0.0003062060637426144</x:v>
      </x:c>
      <x:c r="M188" s="28" t="n">
        <x:f>IFERROR(H188/K188,0)</x:f>
        <x:v>43.77309859154929</x:v>
      </x:c>
      <x:c r="N188" s="28" t="n">
        <x:f>IFERROR(H188/I188*1000,0)</x:f>
        <x:v>13.403588217535688</x:v>
      </x:c>
      <x:c r="O188" t="n">
        <x:v>1.023944</x:v>
      </x:c>
      <x:c r="P188" t="n">
        <x:v>0</x:v>
      </x:c>
      <x:c r="Q188" s="28" t="n">
        <x:v>0</x:v>
      </x:c>
      <x:c r="R188" s="28" t="n">
        <x:v>0</x:v>
      </x:c>
    </x:row>
    <x:row r="189">
      <x:c r="A189" t="str">
        <x:v>2026-07-18</x:v>
      </x:c>
      <x:c r="B189" t="str">
        <x:v>449281783851362</x:v>
      </x:c>
      <x:c r="C189" t="str">
        <x:v>Doruk Hastaneleri - SİNA ÖZEL Sağlık Hizmetleri A.ş</x:v>
      </x:c>
      <x:c r="D189" t="str">
        <x:v>120247034876600399</x:v>
      </x:c>
      <x:c r="E189" t="str">
        <x:v>Gebe-Doğum Bilinirlik</x:v>
      </x:c>
      <x:c r="F189" t="str">
        <x:v>OUTCOME_AWARENESS</x:v>
      </x:c>
      <x:c r="G189" t="n">
        <x:v>159902</x:v>
      </x:c>
      <x:c r="H189" s="28" t="n">
        <x:v>1563.95</x:v>
      </x:c>
      <x:c r="I189" t="n">
        <x:v>161740</x:v>
      </x:c>
      <x:c r="J189" t="n">
        <x:v>90</x:v>
      </x:c>
      <x:c r="K189" t="n">
        <x:v>0</x:v>
      </x:c>
      <x:c r="L189" s="27" t="n">
        <x:f>IFERROR(K189/I189,0)</x:f>
        <x:v>0</x:v>
      </x:c>
      <x:c r="M189" s="28" t="n">
        <x:f>IFERROR(H189/K189,0)</x:f>
        <x:v>0</x:v>
      </x:c>
      <x:c r="N189" s="28" t="n">
        <x:f>IFERROR(H189/I189*1000,0)</x:f>
        <x:v>9.669531346605662</x:v>
      </x:c>
      <x:c r="O189" t="n">
        <x:v>1.011495</x:v>
      </x:c>
      <x:c r="P189" t="n">
        <x:v>0</x:v>
      </x:c>
      <x:c r="Q189" s="28" t="n">
        <x:v>0</x:v>
      </x:c>
      <x:c r="R189" s="28" t="n">
        <x:v>0</x:v>
      </x:c>
    </x:row>
    <x:row r="190">
      <x:c r="A190" t="str">
        <x:v>2026-07-18</x:v>
      </x:c>
      <x:c r="B190" t="str">
        <x:v>449281783851362</x:v>
      </x:c>
      <x:c r="C190" t="str">
        <x:v>Doruk Hastaneleri - SİNA ÖZEL Sağlık Hizmetleri A.ş</x:v>
      </x:c>
      <x:c r="D190" t="str">
        <x:v>120248812698040399</x:v>
      </x:c>
      <x:c r="E190" t="str">
        <x:v>ABO / Medikal Estetik lead / 16.04.2026</x:v>
      </x:c>
      <x:c r="F190" t="str">
        <x:v>OUTCOME_LEADS</x:v>
      </x:c>
      <x:c r="G190" t="n">
        <x:v>26030</x:v>
      </x:c>
      <x:c r="H190" s="28" t="n">
        <x:v>4001.26</x:v>
      </x:c>
      <x:c r="I190" t="n">
        <x:v>33914</x:v>
      </x:c>
      <x:c r="J190" t="n">
        <x:v>381</x:v>
      </x:c>
      <x:c r="K190" t="n">
        <x:v>164</x:v>
      </x:c>
      <x:c r="L190" s="27" t="n">
        <x:f>IFERROR(K190/I190,0)</x:f>
        <x:v>0.004835761042637259</x:v>
      </x:c>
      <x:c r="M190" s="28" t="n">
        <x:f>IFERROR(H190/K190,0)</x:f>
        <x:v>24.397926829268293</x:v>
      </x:c>
      <x:c r="N190" s="28" t="n">
        <x:f>IFERROR(H190/I190*1000,0)</x:f>
        <x:v>117.98254408209</x:v>
      </x:c>
      <x:c r="O190" t="n">
        <x:v>1.302881</x:v>
      </x:c>
      <x:c r="P190" t="n">
        <x:v>42</x:v>
      </x:c>
      <x:c r="Q190" s="28" t="n">
        <x:v>0</x:v>
      </x:c>
      <x:c r="R190" s="28" t="n">
        <x:v>0</x:v>
      </x:c>
    </x:row>
    <x:row r="191">
      <x:c r="A191" t="str">
        <x:v>2026-07-18</x:v>
      </x:c>
      <x:c r="B191" t="str">
        <x:v>449281783851362</x:v>
      </x:c>
      <x:c r="C191" t="str">
        <x:v>Doruk Hastaneleri - SİNA ÖZEL Sağlık Hizmetleri A.ş</x:v>
      </x:c>
      <x:c r="D191" t="str">
        <x:v>120249061996540399</x:v>
      </x:c>
      <x:c r="E191" t="str">
        <x:v>Doktor - Bilinirlik Kampanyası - Nilüfer</x:v>
      </x:c>
      <x:c r="F191" t="str">
        <x:v>OUTCOME_AWARENESS</x:v>
      </x:c>
      <x:c r="G191" t="n">
        <x:v>789106</x:v>
      </x:c>
      <x:c r="H191" s="28" t="n">
        <x:v>9012.73</x:v>
      </x:c>
      <x:c r="I191" t="n">
        <x:v>954858</x:v>
      </x:c>
      <x:c r="J191" t="n">
        <x:v>550</x:v>
      </x:c>
      <x:c r="K191" t="n">
        <x:v>0</x:v>
      </x:c>
      <x:c r="L191" s="27" t="n">
        <x:f>IFERROR(K191/I191,0)</x:f>
        <x:v>0</x:v>
      </x:c>
      <x:c r="M191" s="28" t="n">
        <x:f>IFERROR(H191/K191,0)</x:f>
        <x:v>0</x:v>
      </x:c>
      <x:c r="N191" s="28" t="n">
        <x:f>IFERROR(H191/I191*1000,0)</x:f>
        <x:v>9.438817080654925</x:v>
      </x:c>
      <x:c r="O191" t="n">
        <x:v>1.21005</x:v>
      </x:c>
      <x:c r="P191" t="n">
        <x:v>0</x:v>
      </x:c>
      <x:c r="Q191" s="28" t="n">
        <x:v>0</x:v>
      </x:c>
      <x:c r="R191" s="28" t="n">
        <x:v>0</x:v>
      </x:c>
    </x:row>
    <x:row r="192">
      <x:c r="A192" t="str">
        <x:v>2026-07-18</x:v>
      </x:c>
      <x:c r="B192" t="str">
        <x:v>449281783851362</x:v>
      </x:c>
      <x:c r="C192" t="str">
        <x:v>Doruk Hastaneleri - SİNA ÖZEL Sağlık Hizmetleri A.ş</x:v>
      </x:c>
      <x:c r="D192" t="str">
        <x:v>120249614228610399</x:v>
      </x:c>
      <x:c r="E192" t="str">
        <x:v>Instagram gönderisi: Bir sezon boyunca ortaya...</x:v>
      </x:c>
      <x:c r="F192" t="str">
        <x:v>LINK_CLICKS</x:v>
      </x:c>
      <x:c r="G192" t="n">
        <x:v>100284</x:v>
      </x:c>
      <x:c r="H192" s="28" t="n">
        <x:v>6367.51</x:v>
      </x:c>
      <x:c r="I192" t="n">
        <x:v>116538</x:v>
      </x:c>
      <x:c r="J192" t="n">
        <x:v>1390</x:v>
      </x:c>
      <x:c r="K192" t="n">
        <x:v>1406</x:v>
      </x:c>
      <x:c r="L192" s="27" t="n">
        <x:f>IFERROR(K192/I192,0)</x:f>
        <x:v>0.012064734249772606</x:v>
      </x:c>
      <x:c r="M192" s="28" t="n">
        <x:f>IFERROR(H192/K192,0)</x:f>
        <x:v>4.528812233285918</x:v>
      </x:c>
      <x:c r="N192" s="28" t="n">
        <x:f>IFERROR(H192/I192*1000,0)</x:f>
        <x:v>54.63891606171378</x:v>
      </x:c>
      <x:c r="O192" t="n">
        <x:v>1.16208</x:v>
      </x:c>
      <x:c r="P192" t="n">
        <x:v>0</x:v>
      </x:c>
      <x:c r="Q192" s="28" t="n">
        <x:v>0</x:v>
      </x:c>
      <x:c r="R192" s="28" t="n">
        <x:v>0</x:v>
      </x:c>
    </x:row>
    <x:row r="193">
      <x:c r="A193" t="str">
        <x:v>2026-07-18</x:v>
      </x:c>
      <x:c r="B193" t="str">
        <x:v>449281783851362</x:v>
      </x:c>
      <x:c r="C193" t="str">
        <x:v>Doruk Hastaneleri - SİNA ÖZEL Sağlık Hizmetleri A.ş</x:v>
      </x:c>
      <x:c r="D193" t="str">
        <x:v>120251414264130399</x:v>
      </x:c>
      <x:c r="E193" t="str">
        <x:v>Prostat Checkup - lead</x:v>
      </x:c>
      <x:c r="F193" t="str">
        <x:v>OUTCOME_LEADS</x:v>
      </x:c>
      <x:c r="G193" t="n">
        <x:v>10290</x:v>
      </x:c>
      <x:c r="H193" s="28" t="n">
        <x:v>861.55</x:v>
      </x:c>
      <x:c r="I193" t="n">
        <x:v>14793</x:v>
      </x:c>
      <x:c r="J193" t="n">
        <x:v>389</x:v>
      </x:c>
      <x:c r="K193" t="n">
        <x:v>138</x:v>
      </x:c>
      <x:c r="L193" s="27" t="n">
        <x:f>IFERROR(K193/I193,0)</x:f>
        <x:v>0.00932873656459136</x:v>
      </x:c>
      <x:c r="M193" s="28" t="n">
        <x:f>IFERROR(H193/K193,0)</x:f>
        <x:v>6.243115942028985</x:v>
      </x:c>
      <x:c r="N193" s="28" t="n">
        <x:f>IFERROR(H193/I193*1000,0)</x:f>
        <x:v>58.240383965389036</x:v>
      </x:c>
      <x:c r="O193" t="n">
        <x:v>1.437609</x:v>
      </x:c>
      <x:c r="P193" t="n">
        <x:v>6</x:v>
      </x:c>
      <x:c r="Q193" s="28" t="n">
        <x:v>0</x:v>
      </x:c>
      <x:c r="R193" s="28" t="n">
        <x:v>0</x:v>
      </x:c>
    </x:row>
    <x:row r="194">
      <x:c r="A194" t="str">
        <x:v>2026-07-18</x:v>
      </x:c>
      <x:c r="B194" t="str">
        <x:v>449281783851362</x:v>
      </x:c>
      <x:c r="C194" t="str">
        <x:v>Doruk Hastaneleri - SİNA ÖZEL Sağlık Hizmetleri A.ş</x:v>
      </x:c>
      <x:c r="D194" t="str">
        <x:v>120252323141170399</x:v>
      </x:c>
      <x:c r="E194" t="str">
        <x:v>Instagram gönderisi: Medikal estetik alanındaki...</x:v>
      </x:c>
      <x:c r="F194" t="str">
        <x:v>LINK_CLICKS</x:v>
      </x:c>
      <x:c r="G194" t="n">
        <x:v>11049</x:v>
      </x:c>
      <x:c r="H194" s="28" t="n">
        <x:v>785.3</x:v>
      </x:c>
      <x:c r="I194" t="n">
        <x:v>12243</x:v>
      </x:c>
      <x:c r="J194" t="n">
        <x:v>188</x:v>
      </x:c>
      <x:c r="K194" t="n">
        <x:v>188</x:v>
      </x:c>
      <x:c r="L194" s="27" t="n">
        <x:f>IFERROR(K194/I194,0)</x:f>
        <x:v>0.015355713468921017</x:v>
      </x:c>
      <x:c r="M194" s="28" t="n">
        <x:f>IFERROR(H194/K194,0)</x:f>
        <x:v>4.1771276595744675</x:v>
      </x:c>
      <x:c r="N194" s="28" t="n">
        <x:f>IFERROR(H194/I194*1000,0)</x:f>
        <x:v>64.14277546353017</x:v>
      </x:c>
      <x:c r="O194" t="n">
        <x:v>1.108064</x:v>
      </x:c>
      <x:c r="P194" t="n">
        <x:v>0</x:v>
      </x:c>
      <x:c r="Q194" s="28" t="n">
        <x:v>0</x:v>
      </x:c>
      <x:c r="R194" s="28" t="n">
        <x:v>0</x:v>
      </x:c>
    </x:row>
    <x:row r="195">
      <x:c r="A195" t="str">
        <x:v>2026-07-18</x:v>
      </x:c>
      <x:c r="B195" t="str">
        <x:v>449281783851362</x:v>
      </x:c>
      <x:c r="C195" t="str">
        <x:v>Doruk Hastaneleri - SİNA ÖZEL Sağlık Hizmetleri A.ş</x:v>
      </x:c>
      <x:c r="D195" t="str">
        <x:v>120255099624540399</x:v>
      </x:c>
      <x:c r="E195" t="str">
        <x:v>Instagram gönderisi: Doruk Sağlık Grubu olarak,...</x:v>
      </x:c>
      <x:c r="F195" t="str">
        <x:v>LINK_CLICKS</x:v>
      </x:c>
      <x:c r="G195" t="n">
        <x:v>65029</x:v>
      </x:c>
      <x:c r="H195" s="28" t="n">
        <x:v>4703.02</x:v>
      </x:c>
      <x:c r="I195" t="n">
        <x:v>74529</x:v>
      </x:c>
      <x:c r="J195" t="n">
        <x:v>944</x:v>
      </x:c>
      <x:c r="K195" t="n">
        <x:v>930</x:v>
      </x:c>
      <x:c r="L195" s="27" t="n">
        <x:f>IFERROR(K195/I195,0)</x:f>
        <x:v>0.012478364126715775</x:v>
      </x:c>
      <x:c r="M195" s="28" t="n">
        <x:f>IFERROR(H195/K195,0)</x:f>
        <x:v>5.057010752688172</x:v>
      </x:c>
      <x:c r="N195" s="28" t="n">
        <x:f>IFERROR(H195/I195*1000,0)</x:f>
        <x:v>63.103221564760034</x:v>
      </x:c>
      <x:c r="O195" t="n">
        <x:v>1.146089</x:v>
      </x:c>
      <x:c r="P195" t="n">
        <x:v>0</x:v>
      </x:c>
      <x:c r="Q195" s="28" t="n">
        <x:v>0</x:v>
      </x:c>
      <x:c r="R195" s="28" t="n">
        <x:v>0</x:v>
      </x:c>
    </x:row>
    <x:row r="196">
      <x:c r="A196" t="str">
        <x:v>2026-07-18</x:v>
      </x:c>
      <x:c r="B196" t="str">
        <x:v>449281783851362</x:v>
      </x:c>
      <x:c r="C196" t="str">
        <x:v>Doruk Hastaneleri - SİNA ÖZEL Sağlık Hizmetleri A.ş</x:v>
      </x:c>
      <x:c r="D196" t="str">
        <x:v>120255158812950399</x:v>
      </x:c>
      <x:c r="E196" t="str">
        <x:v>Doktor - Bilinirlik Kampanyası - Yıldırım</x:v>
      </x:c>
      <x:c r="F196" t="str">
        <x:v>OUTCOME_AWARENESS</x:v>
      </x:c>
      <x:c r="G196" t="n">
        <x:v>370698</x:v>
      </x:c>
      <x:c r="H196" s="28" t="n">
        <x:v>4021.96</x:v>
      </x:c>
      <x:c r="I196" t="n">
        <x:v>427075</x:v>
      </x:c>
      <x:c r="J196" t="n">
        <x:v>241</x:v>
      </x:c>
      <x:c r="K196" t="n">
        <x:v>0</x:v>
      </x:c>
      <x:c r="L196" s="27" t="n">
        <x:f>IFERROR(K196/I196,0)</x:f>
        <x:v>0</x:v>
      </x:c>
      <x:c r="M196" s="28" t="n">
        <x:f>IFERROR(H196/K196,0)</x:f>
        <x:v>0</x:v>
      </x:c>
      <x:c r="N196" s="28" t="n">
        <x:f>IFERROR(H196/I196*1000,0)</x:f>
        <x:v>9.417455950360008</x:v>
      </x:c>
      <x:c r="O196" t="n">
        <x:v>1.152083</x:v>
      </x:c>
      <x:c r="P196" t="n">
        <x:v>0</x:v>
      </x:c>
      <x:c r="Q196" s="28" t="n">
        <x:v>0</x:v>
      </x:c>
      <x:c r="R196" s="28" t="n">
        <x:v>0</x:v>
      </x:c>
    </x:row>
    <x:row r="197">
      <x:c r="A197" t="str">
        <x:v>2026-07-19</x:v>
      </x:c>
      <x:c r="B197" t="str">
        <x:v>449281783851362</x:v>
      </x:c>
      <x:c r="C197" t="str">
        <x:v>Doruk Hastaneleri - SİNA ÖZEL Sağlık Hizmetleri A.ş</x:v>
      </x:c>
      <x:c r="D197" t="str">
        <x:v>120214167265870399</x:v>
      </x:c>
      <x:c r="E197" t="str">
        <x:v>Baş Dönmesi ve Denge Ünitesi / lead</x:v>
      </x:c>
      <x:c r="F197" t="str">
        <x:v>OUTCOME_LEADS</x:v>
      </x:c>
      <x:c r="G197" t="n">
        <x:v>0</x:v>
      </x:c>
      <x:c r="H197" s="28" t="n">
        <x:v>0</x:v>
      </x:c>
      <x:c r="I197" t="n">
        <x:v>0</x:v>
      </x:c>
      <x:c r="J197" t="n">
        <x:v>0</x:v>
      </x:c>
      <x:c r="K197" t="n">
        <x:v>0</x:v>
      </x:c>
      <x:c r="L197" s="27" t="n">
        <x:f>IFERROR(K197/I197,0)</x:f>
        <x:v>0</x:v>
      </x:c>
      <x:c r="M197" s="28" t="n">
        <x:f>IFERROR(H197/K197,0)</x:f>
        <x:v>0</x:v>
      </x:c>
      <x:c r="N197" s="28" t="n">
        <x:f>IFERROR(H197/I197*1000,0)</x:f>
        <x:v>0</x:v>
      </x:c>
      <x:c r="O197" t="n">
        <x:v>0</x:v>
      </x:c>
      <x:c r="P197" t="n">
        <x:v>0</x:v>
      </x:c>
      <x:c r="Q197" s="28" t="n">
        <x:v>0</x:v>
      </x:c>
      <x:c r="R197" s="28" t="n">
        <x:v>0</x:v>
      </x:c>
    </x:row>
    <x:row r="198">
      <x:c r="A198" t="str">
        <x:v>2026-07-19</x:v>
      </x:c>
      <x:c r="B198" t="str">
        <x:v>170008509278498</x:v>
      </x:c>
      <x:c r="C198" t="str">
        <x:v>Doruk Hospital</x:v>
      </x:c>
      <x:c r="D198" t="str">
        <x:v>120232382033210080</x:v>
      </x:c>
      <x:c r="E198" t="str">
        <x:v>Fizik Tedavi - Intensive FTR - Türki Cumhuriyetler - Tümü - RU - Lechenie v Turtsii - lead</x:v>
      </x:c>
      <x:c r="F198" t="str">
        <x:v>OUTCOME_LEADS</x:v>
      </x:c>
      <x:c r="G198" t="n">
        <x:v>133820</x:v>
      </x:c>
      <x:c r="H198" s="28" t="n">
        <x:v>27397.21</x:v>
      </x:c>
      <x:c r="I198" t="n">
        <x:v>174833</x:v>
      </x:c>
      <x:c r="J198" t="n">
        <x:v>1446</x:v>
      </x:c>
      <x:c r="K198" t="n">
        <x:v>1136</x:v>
      </x:c>
      <x:c r="L198" s="27" t="n">
        <x:f>IFERROR(K198/I198,0)</x:f>
        <x:v>0.006497629166118525</x:v>
      </x:c>
      <x:c r="M198" s="28" t="n">
        <x:f>IFERROR(H198/K198,0)</x:f>
        <x:v>24.11726232394366</x:v>
      </x:c>
      <x:c r="N198" s="28" t="n">
        <x:f>IFERROR(H198/I198*1000,0)</x:f>
        <x:v>156.70502708298775</x:v>
      </x:c>
      <x:c r="O198" t="n">
        <x:v>1.306479</x:v>
      </x:c>
      <x:c r="P198" t="n">
        <x:v>17</x:v>
      </x:c>
      <x:c r="Q198" s="28" t="n">
        <x:v>0</x:v>
      </x:c>
      <x:c r="R198" s="28" t="n">
        <x:v>0</x:v>
      </x:c>
    </x:row>
    <x:row r="199">
      <x:c r="A199" t="str">
        <x:v>2026-07-19</x:v>
      </x:c>
      <x:c r="B199" t="str">
        <x:v>170008509278498</x:v>
      </x:c>
      <x:c r="C199" t="str">
        <x:v>Doruk Hospital</x:v>
      </x:c>
      <x:c r="D199" t="str">
        <x:v>120238651325780080</x:v>
      </x:c>
      <x:c r="E199" t="str">
        <x:v>Whatsapp - Fizik Tedavi - Intensive FTR - Arap Bölgesi - Tümü - AR - Doruk İlaj Turkia</x:v>
      </x:c>
      <x:c r="F199" t="str">
        <x:v>OUTCOME_LEADS</x:v>
      </x:c>
      <x:c r="G199" t="n">
        <x:v>96951</x:v>
      </x:c>
      <x:c r="H199" s="28" t="n">
        <x:v>25759.05</x:v>
      </x:c>
      <x:c r="I199" t="n">
        <x:v>184418</x:v>
      </x:c>
      <x:c r="J199" t="n">
        <x:v>1511</x:v>
      </x:c>
      <x:c r="K199" t="n">
        <x:v>693</x:v>
      </x:c>
      <x:c r="L199" s="27" t="n">
        <x:f>IFERROR(K199/I199,0)</x:f>
        <x:v>0.003757767679944474</x:v>
      </x:c>
      <x:c r="M199" s="28" t="n">
        <x:f>IFERROR(H199/K199,0)</x:f>
        <x:v>37.17034632034632</x:v>
      </x:c>
      <x:c r="N199" s="28" t="n">
        <x:f>IFERROR(H199/I199*1000,0)</x:f>
        <x:v>139.67752605494042</x:v>
      </x:c>
      <x:c r="O199" t="n">
        <x:v>1.902177</x:v>
      </x:c>
      <x:c r="P199" t="n">
        <x:v>0</x:v>
      </x:c>
      <x:c r="Q199" s="28" t="n">
        <x:v>0</x:v>
      </x:c>
      <x:c r="R199" s="28" t="n">
        <x:v>0</x:v>
      </x:c>
    </x:row>
    <x:row r="200">
      <x:c r="A200" t="str">
        <x:v>2026-07-19</x:v>
      </x:c>
      <x:c r="B200" t="str">
        <x:v>449281783851362</x:v>
      </x:c>
      <x:c r="C200" t="str">
        <x:v>Doruk Hastaneleri - SİNA ÖZEL Sağlık Hizmetleri A.ş</x:v>
      </x:c>
      <x:c r="D200" t="str">
        <x:v>120242415465180399</x:v>
      </x:c>
      <x:c r="E200" t="str">
        <x:v>Gebe-Doğum Form Kampanyası</x:v>
      </x:c>
      <x:c r="F200" t="str">
        <x:v>OUTCOME_LEADS</x:v>
      </x:c>
      <x:c r="G200" t="n">
        <x:v>0</x:v>
      </x:c>
      <x:c r="H200" s="28" t="n">
        <x:v>0</x:v>
      </x:c>
      <x:c r="I200" t="n">
        <x:v>0</x:v>
      </x:c>
      <x:c r="J200" t="n">
        <x:v>0</x:v>
      </x:c>
      <x:c r="K200" t="n">
        <x:v>0</x:v>
      </x:c>
      <x:c r="L200" s="27" t="n">
        <x:f>IFERROR(K200/I200,0)</x:f>
        <x:v>0</x:v>
      </x:c>
      <x:c r="M200" s="28" t="n">
        <x:f>IFERROR(H200/K200,0)</x:f>
        <x:v>0</x:v>
      </x:c>
      <x:c r="N200" s="28" t="n">
        <x:f>IFERROR(H200/I200*1000,0)</x:f>
        <x:v>0</x:v>
      </x:c>
      <x:c r="O200" t="n">
        <x:v>0</x:v>
      </x:c>
      <x:c r="P200" t="n">
        <x:v>0</x:v>
      </x:c>
      <x:c r="Q200" s="28" t="n">
        <x:v>0</x:v>
      </x:c>
      <x:c r="R200" s="28" t="n">
        <x:v>0</x:v>
      </x:c>
    </x:row>
    <x:row r="201">
      <x:c r="A201" t="str">
        <x:v>2026-07-19</x:v>
      </x:c>
      <x:c r="B201" t="str">
        <x:v>170008509278498</x:v>
      </x:c>
      <x:c r="C201" t="str">
        <x:v>Doruk Hospital</x:v>
      </x:c>
      <x:c r="D201" t="str">
        <x:v>120242709752170080</x:v>
      </x:c>
      <x:c r="E201" t="str">
        <x:v>Instagram gönderisi: Аппарат TrueBeam — одна из...</x:v>
      </x:c>
      <x:c r="F201" t="str">
        <x:v>LINK_CLICKS</x:v>
      </x:c>
      <x:c r="G201" t="n">
        <x:v>73779</x:v>
      </x:c>
      <x:c r="H201" s="28" t="n">
        <x:v>4112.39</x:v>
      </x:c>
      <x:c r="I201" t="n">
        <x:v>80997</x:v>
      </x:c>
      <x:c r="J201" t="n">
        <x:v>1630</x:v>
      </x:c>
      <x:c r="K201" t="n">
        <x:v>1575</x:v>
      </x:c>
      <x:c r="L201" s="27" t="n">
        <x:f>IFERROR(K201/I201,0)</x:f>
        <x:v>0.01944516463572725</x:v>
      </x:c>
      <x:c r="M201" s="28" t="n">
        <x:f>IFERROR(H201/K201,0)</x:f>
        <x:v>2.61104126984127</x:v>
      </x:c>
      <x:c r="N201" s="28" t="n">
        <x:f>IFERROR(H201/I201*1000,0)</x:f>
        <x:v>50.772127362741834</x:v>
      </x:c>
      <x:c r="O201" t="n">
        <x:v>1.097833</x:v>
      </x:c>
      <x:c r="P201" t="n">
        <x:v>0</x:v>
      </x:c>
      <x:c r="Q201" s="28" t="n">
        <x:v>0</x:v>
      </x:c>
      <x:c r="R201" s="28" t="n">
        <x:v>0</x:v>
      </x:c>
    </x:row>
    <x:row r="202">
      <x:c r="A202" t="str">
        <x:v>2026-07-19</x:v>
      </x:c>
      <x:c r="B202" t="str">
        <x:v>449281783851362</x:v>
      </x:c>
      <x:c r="C202" t="str">
        <x:v>Doruk Hastaneleri - SİNA ÖZEL Sağlık Hizmetleri A.ş</x:v>
      </x:c>
      <x:c r="D202" t="str">
        <x:v>120248812698040399</x:v>
      </x:c>
      <x:c r="E202" t="str">
        <x:v>ABO / Medikal Estetik lead / 16.04.2026</x:v>
      </x:c>
      <x:c r="F202" t="str">
        <x:v>OUTCOME_LEADS</x:v>
      </x:c>
      <x:c r="G202" t="n">
        <x:v>0</x:v>
      </x:c>
      <x:c r="H202" s="28" t="n">
        <x:v>0</x:v>
      </x:c>
      <x:c r="I202" t="n">
        <x:v>0</x:v>
      </x:c>
      <x:c r="J202" t="n">
        <x:v>0</x:v>
      </x:c>
      <x:c r="K202" t="n">
        <x:v>0</x:v>
      </x:c>
      <x:c r="L202" s="27" t="n">
        <x:f>IFERROR(K202/I202,0)</x:f>
        <x:v>0</x:v>
      </x:c>
      <x:c r="M202" s="28" t="n">
        <x:f>IFERROR(H202/K202,0)</x:f>
        <x:v>0</x:v>
      </x:c>
      <x:c r="N202" s="28" t="n">
        <x:f>IFERROR(H202/I202*1000,0)</x:f>
        <x:v>0</x:v>
      </x:c>
      <x:c r="O202" t="n">
        <x:v>0</x:v>
      </x:c>
      <x:c r="P202" t="n">
        <x:v>0</x:v>
      </x:c>
      <x:c r="Q202" s="28" t="n">
        <x:v>0</x:v>
      </x:c>
      <x:c r="R202" s="28" t="n">
        <x:v>0</x:v>
      </x:c>
    </x:row>
    <x:row r="203">
      <x:c r="A203" t="str">
        <x:v>2026-07-19</x:v>
      </x:c>
      <x:c r="B203" t="str">
        <x:v>449281783851362</x:v>
      </x:c>
      <x:c r="C203" t="str">
        <x:v>Doruk Hastaneleri - SİNA ÖZEL Sağlık Hizmetleri A.ş</x:v>
      </x:c>
      <x:c r="D203" t="str">
        <x:v>120251414264130399</x:v>
      </x:c>
      <x:c r="E203" t="str">
        <x:v>Prostat Checkup - lead</x:v>
      </x:c>
      <x:c r="F203" t="str">
        <x:v>OUTCOME_LEADS</x:v>
      </x:c>
      <x:c r="G203" t="n">
        <x:v>0</x:v>
      </x:c>
      <x:c r="H203" s="28" t="n">
        <x:v>0</x:v>
      </x:c>
      <x:c r="I203" t="n">
        <x:v>0</x:v>
      </x:c>
      <x:c r="J203" t="n">
        <x:v>0</x:v>
      </x:c>
      <x:c r="K203" t="n">
        <x:v>0</x:v>
      </x:c>
      <x:c r="L203" s="27" t="n">
        <x:f>IFERROR(K203/I203,0)</x:f>
        <x:v>0</x:v>
      </x:c>
      <x:c r="M203" s="28" t="n">
        <x:f>IFERROR(H203/K203,0)</x:f>
        <x:v>0</x:v>
      </x:c>
      <x:c r="N203" s="28" t="n">
        <x:f>IFERROR(H203/I203*1000,0)</x:f>
        <x:v>0</x:v>
      </x:c>
      <x:c r="O203" t="n">
        <x:v>0</x:v>
      </x:c>
      <x:c r="P203" t="n">
        <x:v>0</x:v>
      </x:c>
      <x:c r="Q203" s="28" t="n">
        <x:v>0</x:v>
      </x:c>
      <x:c r="R203" s="28" t="n">
        <x:v>0</x:v>
      </x:c>
    </x:row>
    <x:row r="204">
      <x:c r="A204" t="str">
        <x:v>2026-07-19</x:v>
      </x:c>
      <x:c r="B204" t="str">
        <x:v>449281783851362</x:v>
      </x:c>
      <x:c r="C204" t="str">
        <x:v>Doruk Hastaneleri - SİNA ÖZEL Sağlık Hizmetleri A.ş</x:v>
      </x:c>
      <x:c r="D204" t="str">
        <x:v>120255158812950399</x:v>
      </x:c>
      <x:c r="E204" t="str">
        <x:v>Doktor - Bilinirlik Kampanyası - Yıldırım</x:v>
      </x:c>
      <x:c r="F204" t="str">
        <x:v>OUTCOME_AWARENESS</x:v>
      </x:c>
      <x:c r="G204" t="n">
        <x:v>0</x:v>
      </x:c>
      <x:c r="H204" s="28" t="n">
        <x:v>0</x:v>
      </x:c>
      <x:c r="I204" t="n">
        <x:v>0</x:v>
      </x:c>
      <x:c r="J204" t="n">
        <x:v>0</x:v>
      </x:c>
      <x:c r="K204" t="n">
        <x:v>0</x:v>
      </x:c>
      <x:c r="L204" s="27" t="n">
        <x:f>IFERROR(K204/I204,0)</x:f>
        <x:v>0</x:v>
      </x:c>
      <x:c r="M204" s="28" t="n">
        <x:f>IFERROR(H204/K204,0)</x:f>
        <x:v>0</x:v>
      </x:c>
      <x:c r="N204" s="28" t="n">
        <x:f>IFERROR(H204/I204*1000,0)</x:f>
        <x:v>0</x:v>
      </x:c>
      <x:c r="O204" t="n">
        <x:v>0</x:v>
      </x:c>
      <x:c r="P204" t="n">
        <x:v>0</x:v>
      </x:c>
      <x:c r="Q204" s="28" t="n">
        <x:v>0</x:v>
      </x:c>
      <x:c r="R204" s="28" t="n">
        <x:v>0</x:v>
      </x:c>
    </x:row>
    <x:row r="205">
      <x:c r="A205" t="str">
        <x:v>2026-07-20</x:v>
      </x:c>
      <x:c r="B205" t="str">
        <x:v>449281783851362</x:v>
      </x:c>
      <x:c r="C205" t="str">
        <x:v>Doruk Hastaneleri - SİNA ÖZEL Sağlık Hizmetleri A.ş</x:v>
      </x:c>
      <x:c r="D205" t="str">
        <x:v>120202624613730399</x:v>
      </x:c>
      <x:c r="E205" t="str">
        <x:v>CBO / Saç Ekimi - lead / soğuk</x:v>
      </x:c>
      <x:c r="F205" t="str">
        <x:v>OUTCOME_LEADS</x:v>
      </x:c>
      <x:c r="G205" t="n">
        <x:v>4962</x:v>
      </x:c>
      <x:c r="H205" s="28" t="n">
        <x:v>904.88</x:v>
      </x:c>
      <x:c r="I205" t="n">
        <x:v>7455</x:v>
      </x:c>
      <x:c r="J205" t="n">
        <x:v>44</x:v>
      </x:c>
      <x:c r="K205" t="n">
        <x:v>23</x:v>
      </x:c>
      <x:c r="L205" s="27" t="n">
        <x:f>IFERROR(K205/I205,0)</x:f>
        <x:v>0.003085177733065057</x:v>
      </x:c>
      <x:c r="M205" s="28" t="n">
        <x:f>IFERROR(H205/K205,0)</x:f>
        <x:v>39.342608695652174</x:v>
      </x:c>
      <x:c r="N205" s="28" t="n">
        <x:f>IFERROR(H205/I205*1000,0)</x:f>
        <x:v>121.37894030851777</x:v>
      </x:c>
      <x:c r="O205" t="n">
        <x:v>1.502418</x:v>
      </x:c>
      <x:c r="P205" t="n">
        <x:v>0</x:v>
      </x:c>
      <x:c r="Q205" s="28" t="n">
        <x:v>0</x:v>
      </x:c>
      <x:c r="R205" s="28" t="n">
        <x:v>0</x:v>
      </x:c>
    </x:row>
    <x:row r="206">
      <x:c r="A206" t="str">
        <x:v>2026-07-20</x:v>
      </x:c>
      <x:c r="B206" t="str">
        <x:v>449281783851362</x:v>
      </x:c>
      <x:c r="C206" t="str">
        <x:v>Doruk Hastaneleri - SİNA ÖZEL Sağlık Hizmetleri A.ş</x:v>
      </x:c>
      <x:c r="D206" t="str">
        <x:v>120211731920800399</x:v>
      </x:c>
      <x:c r="E206" t="str">
        <x:v>ABO / Göz Kapağı Estetiği / plastik cerrahi / lead</x:v>
      </x:c>
      <x:c r="F206" t="str">
        <x:v>OUTCOME_LEADS</x:v>
      </x:c>
      <x:c r="G206" t="n">
        <x:v>2806</x:v>
      </x:c>
      <x:c r="H206" s="28" t="n">
        <x:v>293.39</x:v>
      </x:c>
      <x:c r="I206" t="n">
        <x:v>3479</x:v>
      </x:c>
      <x:c r="J206" t="n">
        <x:v>21</x:v>
      </x:c>
      <x:c r="K206" t="n">
        <x:v>12</x:v>
      </x:c>
      <x:c r="L206" s="27" t="n">
        <x:f>IFERROR(K206/I206,0)</x:f>
        <x:v>0.0034492670307559644</x:v>
      </x:c>
      <x:c r="M206" s="28" t="n">
        <x:f>IFERROR(H206/K206,0)</x:f>
        <x:v>24.449166666666667</x:v>
      </x:c>
      <x:c r="N206" s="28" t="n">
        <x:f>IFERROR(H206/I206*1000,0)</x:f>
        <x:v>84.33170451279102</x:v>
      </x:c>
      <x:c r="O206" t="n">
        <x:v>1.239843</x:v>
      </x:c>
      <x:c r="P206" t="n">
        <x:v>2</x:v>
      </x:c>
      <x:c r="Q206" s="28" t="n">
        <x:v>0</x:v>
      </x:c>
      <x:c r="R206" s="28" t="n">
        <x:v>0</x:v>
      </x:c>
    </x:row>
    <x:row r="207">
      <x:c r="A207" t="str">
        <x:v>2026-07-20</x:v>
      </x:c>
      <x:c r="B207" t="str">
        <x:v>449281783851362</x:v>
      </x:c>
      <x:c r="C207" t="str">
        <x:v>Doruk Hastaneleri - SİNA ÖZEL Sağlık Hizmetleri A.ş</x:v>
      </x:c>
      <x:c r="D207" t="str">
        <x:v>120211732243050399</x:v>
      </x:c>
      <x:c r="E207" t="str">
        <x:v>ABO /Kepçe Kulak / plastik cerrahi / lead</x:v>
      </x:c>
      <x:c r="F207" t="str">
        <x:v>OUTCOME_LEADS</x:v>
      </x:c>
      <x:c r="G207" t="n">
        <x:v>6950</x:v>
      </x:c>
      <x:c r="H207" s="28" t="n">
        <x:v>277.14</x:v>
      </x:c>
      <x:c r="I207" t="n">
        <x:v>7631</x:v>
      </x:c>
      <x:c r="J207" t="n">
        <x:v>28</x:v>
      </x:c>
      <x:c r="K207" t="n">
        <x:v>20</x:v>
      </x:c>
      <x:c r="L207" s="27" t="n">
        <x:f>IFERROR(K207/I207,0)</x:f>
        <x:v>0.002620888481195125</x:v>
      </x:c>
      <x:c r="M207" s="28" t="n">
        <x:f>IFERROR(H207/K207,0)</x:f>
        <x:v>13.857</x:v>
      </x:c>
      <x:c r="N207" s="28" t="n">
        <x:f>IFERROR(H207/I207*1000,0)</x:f>
        <x:v>36.31765168392085</x:v>
      </x:c>
      <x:c r="O207" t="n">
        <x:v>1.097986</x:v>
      </x:c>
      <x:c r="P207" t="n">
        <x:v>0</x:v>
      </x:c>
      <x:c r="Q207" s="28" t="n">
        <x:v>0</x:v>
      </x:c>
      <x:c r="R207" s="28" t="n">
        <x:v>0</x:v>
      </x:c>
    </x:row>
    <x:row r="208">
      <x:c r="A208" t="str">
        <x:v>2026-07-20</x:v>
      </x:c>
      <x:c r="B208" t="str">
        <x:v>449281783851362</x:v>
      </x:c>
      <x:c r="C208" t="str">
        <x:v>Doruk Hastaneleri - SİNA ÖZEL Sağlık Hizmetleri A.ş</x:v>
      </x:c>
      <x:c r="D208" t="str">
        <x:v>120211732311210399</x:v>
      </x:c>
      <x:c r="E208" t="str">
        <x:v>ABO / Meme Estetiği / plastik cerrahi / lead</x:v>
      </x:c>
      <x:c r="F208" t="str">
        <x:v>OUTCOME_LEADS</x:v>
      </x:c>
      <x:c r="G208" t="n">
        <x:v>5243</x:v>
      </x:c>
      <x:c r="H208" s="28" t="n">
        <x:v>856.31</x:v>
      </x:c>
      <x:c r="I208" t="n">
        <x:v>7297</x:v>
      </x:c>
      <x:c r="J208" t="n">
        <x:v>55</x:v>
      </x:c>
      <x:c r="K208" t="n">
        <x:v>30</x:v>
      </x:c>
      <x:c r="L208" s="27" t="n">
        <x:f>IFERROR(K208/I208,0)</x:f>
        <x:v>0.004111278607646978</x:v>
      </x:c>
      <x:c r="M208" s="28" t="n">
        <x:f>IFERROR(H208/K208,0)</x:f>
        <x:v>28.543666666666663</x:v>
      </x:c>
      <x:c r="N208" s="28" t="n">
        <x:f>IFERROR(H208/I208*1000,0)</x:f>
        <x:v>117.35096615047279</x:v>
      </x:c>
      <x:c r="O208" t="n">
        <x:v>1.39176</x:v>
      </x:c>
      <x:c r="P208" t="n">
        <x:v>5</x:v>
      </x:c>
      <x:c r="Q208" s="28" t="n">
        <x:v>0</x:v>
      </x:c>
      <x:c r="R208" s="28" t="n">
        <x:v>0</x:v>
      </x:c>
    </x:row>
    <x:row r="209">
      <x:c r="A209" t="str">
        <x:v>2026-07-20</x:v>
      </x:c>
      <x:c r="B209" t="str">
        <x:v>449281783851362</x:v>
      </x:c>
      <x:c r="C209" t="str">
        <x:v>Doruk Hastaneleri - SİNA ÖZEL Sağlık Hizmetleri A.ş</x:v>
      </x:c>
      <x:c r="D209" t="str">
        <x:v>120211732618490399</x:v>
      </x:c>
      <x:c r="E209" t="str">
        <x:v>ABO /Jinekomasti / plastik cerrahi / lead</x:v>
      </x:c>
      <x:c r="F209" t="str">
        <x:v>OUTCOME_LEADS</x:v>
      </x:c>
      <x:c r="G209" t="n">
        <x:v>2384</x:v>
      </x:c>
      <x:c r="H209" s="28" t="n">
        <x:v>290.65</x:v>
      </x:c>
      <x:c r="I209" t="n">
        <x:v>3045</x:v>
      </x:c>
      <x:c r="J209" t="n">
        <x:v>15</x:v>
      </x:c>
      <x:c r="K209" t="n">
        <x:v>10</x:v>
      </x:c>
      <x:c r="L209" s="27" t="n">
        <x:f>IFERROR(K209/I209,0)</x:f>
        <x:v>0.003284072249589491</x:v>
      </x:c>
      <x:c r="M209" s="28" t="n">
        <x:f>IFERROR(H209/K209,0)</x:f>
        <x:v>29.064999999999998</x:v>
      </x:c>
      <x:c r="N209" s="28" t="n">
        <x:f>IFERROR(H209/I209*1000,0)</x:f>
        <x:v>95.45155993431854</x:v>
      </x:c>
      <x:c r="O209" t="n">
        <x:v>1.277265</x:v>
      </x:c>
      <x:c r="P209" t="n">
        <x:v>2</x:v>
      </x:c>
      <x:c r="Q209" s="28" t="n">
        <x:v>0</x:v>
      </x:c>
      <x:c r="R209" s="28" t="n">
        <x:v>0</x:v>
      </x:c>
    </x:row>
    <x:row r="210">
      <x:c r="A210" t="str">
        <x:v>2026-07-20</x:v>
      </x:c>
      <x:c r="B210" t="str">
        <x:v>449281783851362</x:v>
      </x:c>
      <x:c r="C210" t="str">
        <x:v>Doruk Hastaneleri - SİNA ÖZEL Sağlık Hizmetleri A.ş</x:v>
      </x:c>
      <x:c r="D210" t="str">
        <x:v>120211732654260399</x:v>
      </x:c>
      <x:c r="E210" t="str">
        <x:v>ABO / Rinoplasti / plastik cerrahi / lead</x:v>
      </x:c>
      <x:c r="F210" t="str">
        <x:v>OUTCOME_LEADS</x:v>
      </x:c>
      <x:c r="G210" t="n">
        <x:v>4185</x:v>
      </x:c>
      <x:c r="H210" s="28" t="n">
        <x:v>781.66</x:v>
      </x:c>
      <x:c r="I210" t="n">
        <x:v>5841</x:v>
      </x:c>
      <x:c r="J210" t="n">
        <x:v>37</x:v>
      </x:c>
      <x:c r="K210" t="n">
        <x:v>24</x:v>
      </x:c>
      <x:c r="L210" s="27" t="n">
        <x:f>IFERROR(K210/I210,0)</x:f>
        <x:v>0.004108885464817668</x:v>
      </x:c>
      <x:c r="M210" s="28" t="n">
        <x:f>IFERROR(H210/K210,0)</x:f>
        <x:v>32.56916666666667</x:v>
      </x:c>
      <x:c r="N210" s="28" t="n">
        <x:f>IFERROR(H210/I210*1000,0)</x:f>
        <x:v>133.82297551789077</x:v>
      </x:c>
      <x:c r="O210" t="n">
        <x:v>1.395699</x:v>
      </x:c>
      <x:c r="P210" t="n">
        <x:v>0</x:v>
      </x:c>
      <x:c r="Q210" s="28" t="n">
        <x:v>0</x:v>
      </x:c>
      <x:c r="R210" s="28" t="n">
        <x:v>0</x:v>
      </x:c>
    </x:row>
    <x:row r="211">
      <x:c r="A211" t="str">
        <x:v>2026-07-20</x:v>
      </x:c>
      <x:c r="B211" t="str">
        <x:v>449281783851362</x:v>
      </x:c>
      <x:c r="C211" t="str">
        <x:v>Doruk Hastaneleri - SİNA ÖZEL Sağlık Hizmetleri A.ş</x:v>
      </x:c>
      <x:c r="D211" t="str">
        <x:v>120211732712890399</x:v>
      </x:c>
      <x:c r="E211" t="str">
        <x:v>ABO / Vücut Şekillendirme / plastik cerrahi / lead</x:v>
      </x:c>
      <x:c r="F211" t="str">
        <x:v>OUTCOME_LEADS</x:v>
      </x:c>
      <x:c r="G211" t="n">
        <x:v>947</x:v>
      </x:c>
      <x:c r="H211" s="28" t="n">
        <x:v>325.91</x:v>
      </x:c>
      <x:c r="I211" t="n">
        <x:v>1393</x:v>
      </x:c>
      <x:c r="J211" t="n">
        <x:v>25</x:v>
      </x:c>
      <x:c r="K211" t="n">
        <x:v>10</x:v>
      </x:c>
      <x:c r="L211" s="27" t="n">
        <x:f>IFERROR(K211/I211,0)</x:f>
        <x:v>0.007178750897343862</x:v>
      </x:c>
      <x:c r="M211" s="28" t="n">
        <x:f>IFERROR(H211/K211,0)</x:f>
        <x:v>32.591</x:v>
      </x:c>
      <x:c r="N211" s="28" t="n">
        <x:f>IFERROR(H211/I211*1000,0)</x:f>
        <x:v>233.96267049533384</x:v>
      </x:c>
      <x:c r="O211" t="n">
        <x:v>1.470961</x:v>
      </x:c>
      <x:c r="P211" t="n">
        <x:v>2</x:v>
      </x:c>
      <x:c r="Q211" s="28" t="n">
        <x:v>0</x:v>
      </x:c>
      <x:c r="R211" s="28" t="n">
        <x:v>0</x:v>
      </x:c>
    </x:row>
    <x:row r="212">
      <x:c r="A212" t="str">
        <x:v>2026-07-20</x:v>
      </x:c>
      <x:c r="B212" t="str">
        <x:v>449281783851362</x:v>
      </x:c>
      <x:c r="C212" t="str">
        <x:v>Doruk Hastaneleri - SİNA ÖZEL Sağlık Hizmetleri A.ş</x:v>
      </x:c>
      <x:c r="D212" t="str">
        <x:v>120211732754080399</x:v>
      </x:c>
      <x:c r="E212" t="str">
        <x:v>ABO / Yüz Germe (Facelift) / plastik cerrahi / lead</x:v>
      </x:c>
      <x:c r="F212" t="str">
        <x:v>OUTCOME_LEADS</x:v>
      </x:c>
      <x:c r="G212" t="n">
        <x:v>624</x:v>
      </x:c>
      <x:c r="H212" s="28" t="n">
        <x:v>270.4</x:v>
      </x:c>
      <x:c r="I212" t="n">
        <x:v>912</x:v>
      </x:c>
      <x:c r="J212" t="n">
        <x:v>5</x:v>
      </x:c>
      <x:c r="K212" t="n">
        <x:v>2</x:v>
      </x:c>
      <x:c r="L212" s="27" t="n">
        <x:f>IFERROR(K212/I212,0)</x:f>
        <x:v>0.0021929824561403508</x:v>
      </x:c>
      <x:c r="M212" s="28" t="n">
        <x:f>IFERROR(H212/K212,0)</x:f>
        <x:v>135.2</x:v>
      </x:c>
      <x:c r="N212" s="28" t="n">
        <x:f>IFERROR(H212/I212*1000,0)</x:f>
        <x:v>296.4912280701754</x:v>
      </x:c>
      <x:c r="O212" t="n">
        <x:v>1.461538</x:v>
      </x:c>
      <x:c r="P212" t="n">
        <x:v>0</x:v>
      </x:c>
      <x:c r="Q212" s="28" t="n">
        <x:v>0</x:v>
      </x:c>
      <x:c r="R212" s="28" t="n">
        <x:v>0</x:v>
      </x:c>
    </x:row>
    <x:row r="213">
      <x:c r="A213" t="str">
        <x:v>2026-07-20</x:v>
      </x:c>
      <x:c r="B213" t="str">
        <x:v>449281783851362</x:v>
      </x:c>
      <x:c r="C213" t="str">
        <x:v>Doruk Hastaneleri - SİNA ÖZEL Sağlık Hizmetleri A.ş</x:v>
      </x:c>
      <x:c r="D213" t="str">
        <x:v>120214167265870399</x:v>
      </x:c>
      <x:c r="E213" t="str">
        <x:v>Baş Dönmesi ve Denge Ünitesi / lead</x:v>
      </x:c>
      <x:c r="F213" t="str">
        <x:v>OUTCOME_LEADS</x:v>
      </x:c>
      <x:c r="G213" t="n">
        <x:v>4625</x:v>
      </x:c>
      <x:c r="H213" s="28" t="n">
        <x:v>304.5</x:v>
      </x:c>
      <x:c r="I213" t="n">
        <x:v>5582</x:v>
      </x:c>
      <x:c r="J213" t="n">
        <x:v>67</x:v>
      </x:c>
      <x:c r="K213" t="n">
        <x:v>39</x:v>
      </x:c>
      <x:c r="L213" s="27" t="n">
        <x:f>IFERROR(K213/I213,0)</x:f>
        <x:v>0.006986743102830526</x:v>
      </x:c>
      <x:c r="M213" s="28" t="n">
        <x:f>IFERROR(H213/K213,0)</x:f>
        <x:v>7.8076923076923075</x:v>
      </x:c>
      <x:c r="N213" s="28" t="n">
        <x:f>IFERROR(H213/I213*1000,0)</x:f>
        <x:v>54.55034037979219</x:v>
      </x:c>
      <x:c r="O213" t="n">
        <x:v>1.206919</x:v>
      </x:c>
      <x:c r="P213" t="n">
        <x:v>2</x:v>
      </x:c>
      <x:c r="Q213" s="28" t="n">
        <x:v>0</x:v>
      </x:c>
      <x:c r="R213" s="28" t="n">
        <x:v>0</x:v>
      </x:c>
    </x:row>
    <x:row r="214">
      <x:c r="A214" t="str">
        <x:v>2026-07-20</x:v>
      </x:c>
      <x:c r="B214" t="str">
        <x:v>449281783851362</x:v>
      </x:c>
      <x:c r="C214" t="str">
        <x:v>Doruk Hastaneleri - SİNA ÖZEL Sağlık Hizmetleri A.ş</x:v>
      </x:c>
      <x:c r="D214" t="str">
        <x:v>120220089108220399</x:v>
      </x:c>
      <x:c r="E214" t="str">
        <x:v>Checkup - genel - lead</x:v>
      </x:c>
      <x:c r="F214" t="str">
        <x:v>OUTCOME_LEADS</x:v>
      </x:c>
      <x:c r="G214" t="n">
        <x:v>5806</x:v>
      </x:c>
      <x:c r="H214" s="28" t="n">
        <x:v>978.81</x:v>
      </x:c>
      <x:c r="I214" t="n">
        <x:v>8344</x:v>
      </x:c>
      <x:c r="J214" t="n">
        <x:v>41</x:v>
      </x:c>
      <x:c r="K214" t="n">
        <x:v>23</x:v>
      </x:c>
      <x:c r="L214" s="27" t="n">
        <x:f>IFERROR(K214/I214,0)</x:f>
        <x:v>0.00275647171620326</x:v>
      </x:c>
      <x:c r="M214" s="28" t="n">
        <x:f>IFERROR(H214/K214,0)</x:f>
        <x:v>42.55695652173913</x:v>
      </x:c>
      <x:c r="N214" s="28" t="n">
        <x:f>IFERROR(H214/I214*1000,0)</x:f>
        <x:v>117.30704697986577</x:v>
      </x:c>
      <x:c r="O214" t="n">
        <x:v>1.437134</x:v>
      </x:c>
      <x:c r="P214" t="n">
        <x:v>3</x:v>
      </x:c>
      <x:c r="Q214" s="28" t="n">
        <x:v>0</x:v>
      </x:c>
      <x:c r="R214" s="28" t="n">
        <x:v>0</x:v>
      </x:c>
    </x:row>
    <x:row r="215">
      <x:c r="A215" t="str">
        <x:v>2026-07-20</x:v>
      </x:c>
      <x:c r="B215" t="str">
        <x:v>170008509278498</x:v>
      </x:c>
      <x:c r="C215" t="str">
        <x:v>Doruk Hospital</x:v>
      </x:c>
      <x:c r="D215" t="str">
        <x:v>120232382033210080</x:v>
      </x:c>
      <x:c r="E215" t="str">
        <x:v>Fizik Tedavi - Intensive FTR - Türki Cumhuriyetler - Tümü - RU - Lechenie v Turtsii - lead</x:v>
      </x:c>
      <x:c r="F215" t="str">
        <x:v>OUTCOME_LEADS</x:v>
      </x:c>
      <x:c r="G215" t="n">
        <x:v>103234</x:v>
      </x:c>
      <x:c r="H215" s="28" t="n">
        <x:v>27159.48</x:v>
      </x:c>
      <x:c r="I215" t="n">
        <x:v>142711</x:v>
      </x:c>
      <x:c r="J215" t="n">
        <x:v>1295</x:v>
      </x:c>
      <x:c r="K215" t="n">
        <x:v>1010</x:v>
      </x:c>
      <x:c r="L215" s="27" t="n">
        <x:f>IFERROR(K215/I215,0)</x:f>
        <x:v>0.007077240016536917</x:v>
      </x:c>
      <x:c r="M215" s="28" t="n">
        <x:f>IFERROR(H215/K215,0)</x:f>
        <x:v>26.890574257425744</x:v>
      </x:c>
      <x:c r="N215" s="28" t="n">
        <x:f>IFERROR(H215/I215*1000,0)</x:f>
        <x:v>190.31104820231096</x:v>
      </x:c>
      <x:c r="O215" t="n">
        <x:v>1.382403</x:v>
      </x:c>
      <x:c r="P215" t="n">
        <x:v>27</x:v>
      </x:c>
      <x:c r="Q215" s="28" t="n">
        <x:v>0</x:v>
      </x:c>
      <x:c r="R215" s="28" t="n">
        <x:v>0</x:v>
      </x:c>
    </x:row>
    <x:row r="216">
      <x:c r="A216" t="str">
        <x:v>2026-07-20</x:v>
      </x:c>
      <x:c r="B216" t="str">
        <x:v>170008509278498</x:v>
      </x:c>
      <x:c r="C216" t="str">
        <x:v>Doruk Hospital</x:v>
      </x:c>
      <x:c r="D216" t="str">
        <x:v>120238651325780080</x:v>
      </x:c>
      <x:c r="E216" t="str">
        <x:v>Whatsapp - Fizik Tedavi - Intensive FTR - Arap Bölgesi - Tümü - AR - Doruk İlaj Turkia</x:v>
      </x:c>
      <x:c r="F216" t="str">
        <x:v>OUTCOME_LEADS</x:v>
      </x:c>
      <x:c r="G216" t="n">
        <x:v>105545</x:v>
      </x:c>
      <x:c r="H216" s="28" t="n">
        <x:v>26717.5</x:v>
      </x:c>
      <x:c r="I216" t="n">
        <x:v>203518</x:v>
      </x:c>
      <x:c r="J216" t="n">
        <x:v>1655</x:v>
      </x:c>
      <x:c r="K216" t="n">
        <x:v>781</x:v>
      </x:c>
      <x:c r="L216" s="27" t="n">
        <x:f>IFERROR(K216/I216,0)</x:f>
        <x:v>0.003837498403089653</x:v>
      </x:c>
      <x:c r="M216" s="28" t="n">
        <x:f>IFERROR(H216/K216,0)</x:f>
        <x:v>34.20934699103713</x:v>
      </x:c>
      <x:c r="N216" s="28" t="n">
        <x:f>IFERROR(H216/I216*1000,0)</x:f>
        <x:v>131.27831444884484</x:v>
      </x:c>
      <x:c r="O216" t="n">
        <x:v>1.928258</x:v>
      </x:c>
      <x:c r="P216" t="n">
        <x:v>0</x:v>
      </x:c>
      <x:c r="Q216" s="28" t="n">
        <x:v>0</x:v>
      </x:c>
      <x:c r="R216" s="28" t="n">
        <x:v>0</x:v>
      </x:c>
    </x:row>
    <x:row r="217">
      <x:c r="A217" t="str">
        <x:v>2026-07-20</x:v>
      </x:c>
      <x:c r="B217" t="str">
        <x:v>449281783851362</x:v>
      </x:c>
      <x:c r="C217" t="str">
        <x:v>Doruk Hastaneleri - SİNA ÖZEL Sağlık Hizmetleri A.ş</x:v>
      </x:c>
      <x:c r="D217" t="str">
        <x:v>120242415465180399</x:v>
      </x:c>
      <x:c r="E217" t="str">
        <x:v>Gebe-Doğum Form Kampanyası</x:v>
      </x:c>
      <x:c r="F217" t="str">
        <x:v>OUTCOME_LEADS</x:v>
      </x:c>
      <x:c r="G217" t="n">
        <x:v>40986</x:v>
      </x:c>
      <x:c r="H217" s="28" t="n">
        <x:v>6449.66</x:v>
      </x:c>
      <x:c r="I217" t="n">
        <x:v>85937</x:v>
      </x:c>
      <x:c r="J217" t="n">
        <x:v>422</x:v>
      </x:c>
      <x:c r="K217" t="n">
        <x:v>268</x:v>
      </x:c>
      <x:c r="L217" s="27" t="n">
        <x:f>IFERROR(K217/I217,0)</x:f>
        <x:v>0.0031185635989154845</x:v>
      </x:c>
      <x:c r="M217" s="28" t="n">
        <x:f>IFERROR(H217/K217,0)</x:f>
        <x:v>24.065895522388058</x:v>
      </x:c>
      <x:c r="N217" s="28" t="n">
        <x:f>IFERROR(H217/I217*1000,0)</x:f>
        <x:v>75.05102575142256</x:v>
      </x:c>
      <x:c r="O217" t="n">
        <x:v>2.09674</x:v>
      </x:c>
      <x:c r="P217" t="n">
        <x:v>17</x:v>
      </x:c>
      <x:c r="Q217" s="28" t="n">
        <x:v>0</x:v>
      </x:c>
      <x:c r="R217" s="28" t="n">
        <x:v>0</x:v>
      </x:c>
    </x:row>
    <x:row r="218">
      <x:c r="A218" t="str">
        <x:v>2026-07-20</x:v>
      </x:c>
      <x:c r="B218" t="str">
        <x:v>170008509278498</x:v>
      </x:c>
      <x:c r="C218" t="str">
        <x:v>Doruk Hospital</x:v>
      </x:c>
      <x:c r="D218" t="str">
        <x:v>120242709752170080</x:v>
      </x:c>
      <x:c r="E218" t="str">
        <x:v>Instagram gönderisi: Аппарат TrueBeam — одна из...</x:v>
      </x:c>
      <x:c r="F218" t="str">
        <x:v>LINK_CLICKS</x:v>
      </x:c>
      <x:c r="G218" t="n">
        <x:v>73292</x:v>
      </x:c>
      <x:c r="H218" s="28" t="n">
        <x:v>4017.11</x:v>
      </x:c>
      <x:c r="I218" t="n">
        <x:v>80115</x:v>
      </x:c>
      <x:c r="J218" t="n">
        <x:v>1804</x:v>
      </x:c>
      <x:c r="K218" t="n">
        <x:v>1761</x:v>
      </x:c>
      <x:c r="L218" s="27" t="n">
        <x:f>IFERROR(K218/I218,0)</x:f>
        <x:v>0.02198090245272421</x:v>
      </x:c>
      <x:c r="M218" s="28" t="n">
        <x:f>IFERROR(H218/K218,0)</x:f>
        <x:v>2.281152754116979</x:v>
      </x:c>
      <x:c r="N218" s="28" t="n">
        <x:f>IFERROR(H218/I218*1000,0)</x:f>
        <x:v>50.14179616800849</x:v>
      </x:c>
      <x:c r="O218" t="n">
        <x:v>1.093093</x:v>
      </x:c>
      <x:c r="P218" t="n">
        <x:v>0</x:v>
      </x:c>
      <x:c r="Q218" s="28" t="n">
        <x:v>0</x:v>
      </x:c>
      <x:c r="R218" s="28" t="n">
        <x:v>0</x:v>
      </x:c>
    </x:row>
    <x:row r="219">
      <x:c r="A219" t="str">
        <x:v>2026-07-20</x:v>
      </x:c>
      <x:c r="B219" t="str">
        <x:v>449281783851362</x:v>
      </x:c>
      <x:c r="C219" t="str">
        <x:v>Doruk Hastaneleri - SİNA ÖZEL Sağlık Hizmetleri A.ş</x:v>
      </x:c>
      <x:c r="D219" t="str">
        <x:v>120244050701710399</x:v>
      </x:c>
      <x:c r="E219" t="str">
        <x:v>Uzman Hekim Başvuru</x:v>
      </x:c>
      <x:c r="F219" t="str">
        <x:v>OUTCOME_LEADS</x:v>
      </x:c>
      <x:c r="G219" t="n">
        <x:v>5767</x:v>
      </x:c>
      <x:c r="H219" s="28" t="n">
        <x:v>891.77</x:v>
      </x:c>
      <x:c r="I219" t="n">
        <x:v>7644</x:v>
      </x:c>
      <x:c r="J219" t="n">
        <x:v>101</x:v>
      </x:c>
      <x:c r="K219" t="n">
        <x:v>54</x:v>
      </x:c>
      <x:c r="L219" s="27" t="n">
        <x:f>IFERROR(K219/I219,0)</x:f>
        <x:v>0.00706436420722135</x:v>
      </x:c>
      <x:c r="M219" s="28" t="n">
        <x:f>IFERROR(H219/K219,0)</x:f>
        <x:v>16.51425925925926</x:v>
      </x:c>
      <x:c r="N219" s="28" t="n">
        <x:f>IFERROR(H219/I219*1000,0)</x:f>
        <x:v>116.66274201988487</x:v>
      </x:c>
      <x:c r="O219" t="n">
        <x:v>1.325473</x:v>
      </x:c>
      <x:c r="P219" t="n">
        <x:v>3</x:v>
      </x:c>
      <x:c r="Q219" s="28" t="n">
        <x:v>0</x:v>
      </x:c>
      <x:c r="R219" s="28" t="n">
        <x:v>0</x:v>
      </x:c>
    </x:row>
    <x:row r="220">
      <x:c r="A220" t="str">
        <x:v>2026-07-20</x:v>
      </x:c>
      <x:c r="B220" t="str">
        <x:v>449281783851362</x:v>
      </x:c>
      <x:c r="C220" t="str">
        <x:v>Doruk Hastaneleri - SİNA ÖZEL Sağlık Hizmetleri A.ş</x:v>
      </x:c>
      <x:c r="D220" t="str">
        <x:v>120246476228800399</x:v>
      </x:c>
      <x:c r="E220" t="str">
        <x:v>FTR Yatılı - lead</x:v>
      </x:c>
      <x:c r="F220" t="str">
        <x:v>OUTCOME_LEADS</x:v>
      </x:c>
      <x:c r="G220" t="n">
        <x:v>38018</x:v>
      </x:c>
      <x:c r="H220" s="28" t="n">
        <x:v>3773.89</x:v>
      </x:c>
      <x:c r="I220" t="n">
        <x:v>45044</x:v>
      </x:c>
      <x:c r="J220" t="n">
        <x:v>299</x:v>
      </x:c>
      <x:c r="K220" t="n">
        <x:v>137</x:v>
      </x:c>
      <x:c r="L220" s="27" t="n">
        <x:f>IFERROR(K220/I220,0)</x:f>
        <x:v>0.003041470562117041</x:v>
      </x:c>
      <x:c r="M220" s="28" t="n">
        <x:f>IFERROR(H220/K220,0)</x:f>
        <x:v>27.54664233576642</x:v>
      </x:c>
      <x:c r="N220" s="28" t="n">
        <x:f>IFERROR(H220/I220*1000,0)</x:f>
        <x:v>83.78230174940059</x:v>
      </x:c>
      <x:c r="O220" t="n">
        <x:v>1.184807</x:v>
      </x:c>
      <x:c r="P220" t="n">
        <x:v>8</x:v>
      </x:c>
      <x:c r="Q220" s="28" t="n">
        <x:v>0</x:v>
      </x:c>
      <x:c r="R220" s="28" t="n">
        <x:v>0</x:v>
      </x:c>
    </x:row>
    <x:row r="221">
      <x:c r="A221" t="str">
        <x:v>2026-07-20</x:v>
      </x:c>
      <x:c r="B221" t="str">
        <x:v>449281783851362</x:v>
      </x:c>
      <x:c r="C221" t="str">
        <x:v>Doruk Hastaneleri - SİNA ÖZEL Sağlık Hizmetleri A.ş</x:v>
      </x:c>
      <x:c r="D221" t="str">
        <x:v>120246691590090399</x:v>
      </x:c>
      <x:c r="E221" t="str">
        <x:v>Hemşire İş Başvuru - lead</x:v>
      </x:c>
      <x:c r="F221" t="str">
        <x:v>OUTCOME_LEADS</x:v>
      </x:c>
      <x:c r="G221" t="n">
        <x:v>10401</x:v>
      </x:c>
      <x:c r="H221" s="28" t="n">
        <x:v>829.13</x:v>
      </x:c>
      <x:c r="I221" t="n">
        <x:v>16082</x:v>
      </x:c>
      <x:c r="J221" t="n">
        <x:v>86</x:v>
      </x:c>
      <x:c r="K221" t="n">
        <x:v>59</x:v>
      </x:c>
      <x:c r="L221" s="27" t="n">
        <x:f>IFERROR(K221/I221,0)</x:f>
        <x:v>0.0036686979231438876</x:v>
      </x:c>
      <x:c r="M221" s="28" t="n">
        <x:f>IFERROR(H221/K221,0)</x:f>
        <x:v>14.053050847457627</x:v>
      </x:c>
      <x:c r="N221" s="28" t="n">
        <x:f>IFERROR(H221/I221*1000,0)</x:f>
        <x:v>51.55639845790325</x:v>
      </x:c>
      <x:c r="O221" t="n">
        <x:v>1.546197</x:v>
      </x:c>
      <x:c r="P221" t="n">
        <x:v>0</x:v>
      </x:c>
      <x:c r="Q221" s="28" t="n">
        <x:v>0</x:v>
      </x:c>
      <x:c r="R221" s="28" t="n">
        <x:v>0</x:v>
      </x:c>
    </x:row>
    <x:row r="222">
      <x:c r="A222" t="str">
        <x:v>2026-07-20</x:v>
      </x:c>
      <x:c r="B222" t="str">
        <x:v>449281783851362</x:v>
      </x:c>
      <x:c r="C222" t="str">
        <x:v>Doruk Hastaneleri - SİNA ÖZEL Sağlık Hizmetleri A.ş</x:v>
      </x:c>
      <x:c r="D222" t="str">
        <x:v>120246924981440399</x:v>
      </x:c>
      <x:c r="E222" t="str">
        <x:v>ÖSS-TSS - marka bilinirliği</x:v>
      </x:c>
      <x:c r="F222" t="str">
        <x:v>OUTCOME_AWARENESS</x:v>
      </x:c>
      <x:c r="G222" t="n">
        <x:v>120487</x:v>
      </x:c>
      <x:c r="H222" s="28" t="n">
        <x:v>1559.24</x:v>
      </x:c>
      <x:c r="I222" t="n">
        <x:v>129873</x:v>
      </x:c>
      <x:c r="J222" t="n">
        <x:v>125</x:v>
      </x:c>
      <x:c r="K222" t="n">
        <x:v>30</x:v>
      </x:c>
      <x:c r="L222" s="27" t="n">
        <x:f>IFERROR(K222/I222,0)</x:f>
        <x:v>0.00023099489501282022</x:v>
      </x:c>
      <x:c r="M222" s="28" t="n">
        <x:f>IFERROR(H222/K222,0)</x:f>
        <x:v>51.974666666666664</x:v>
      </x:c>
      <x:c r="N222" s="28" t="n">
        <x:f>IFERROR(H222/I222*1000,0)</x:f>
        <x:v>12.005882669992994</x:v>
      </x:c>
      <x:c r="O222" t="n">
        <x:v>1.077901</x:v>
      </x:c>
      <x:c r="P222" t="n">
        <x:v>0</x:v>
      </x:c>
      <x:c r="Q222" s="28" t="n">
        <x:v>0</x:v>
      </x:c>
      <x:c r="R222" s="28" t="n">
        <x:v>0</x:v>
      </x:c>
    </x:row>
    <x:row r="223">
      <x:c r="A223" t="str">
        <x:v>2026-07-20</x:v>
      </x:c>
      <x:c r="B223" t="str">
        <x:v>449281783851362</x:v>
      </x:c>
      <x:c r="C223" t="str">
        <x:v>Doruk Hastaneleri - SİNA ÖZEL Sağlık Hizmetleri A.ş</x:v>
      </x:c>
      <x:c r="D223" t="str">
        <x:v>120247034876600399</x:v>
      </x:c>
      <x:c r="E223" t="str">
        <x:v>Gebe-Doğum Bilinirlik</x:v>
      </x:c>
      <x:c r="F223" t="str">
        <x:v>OUTCOME_AWARENESS</x:v>
      </x:c>
      <x:c r="G223" t="n">
        <x:v>87768</x:v>
      </x:c>
      <x:c r="H223" s="28" t="n">
        <x:v>812.93</x:v>
      </x:c>
      <x:c r="I223" t="n">
        <x:v>87768</x:v>
      </x:c>
      <x:c r="J223" t="n">
        <x:v>33</x:v>
      </x:c>
      <x:c r="K223" t="n">
        <x:v>0</x:v>
      </x:c>
      <x:c r="L223" s="27" t="n">
        <x:f>IFERROR(K223/I223,0)</x:f>
        <x:v>0</x:v>
      </x:c>
      <x:c r="M223" s="28" t="n">
        <x:f>IFERROR(H223/K223,0)</x:f>
        <x:v>0</x:v>
      </x:c>
      <x:c r="N223" s="28" t="n">
        <x:f>IFERROR(H223/I223*1000,0)</x:f>
        <x:v>9.262259593473702</x:v>
      </x:c>
      <x:c r="O223" t="n">
        <x:v>1</x:v>
      </x:c>
      <x:c r="P223" t="n">
        <x:v>0</x:v>
      </x:c>
      <x:c r="Q223" s="28" t="n">
        <x:v>0</x:v>
      </x:c>
      <x:c r="R223" s="28" t="n">
        <x:v>0</x:v>
      </x:c>
    </x:row>
    <x:row r="224">
      <x:c r="A224" t="str">
        <x:v>2026-07-20</x:v>
      </x:c>
      <x:c r="B224" t="str">
        <x:v>449281783851362</x:v>
      </x:c>
      <x:c r="C224" t="str">
        <x:v>Doruk Hastaneleri - SİNA ÖZEL Sağlık Hizmetleri A.ş</x:v>
      </x:c>
      <x:c r="D224" t="str">
        <x:v>120248812698040399</x:v>
      </x:c>
      <x:c r="E224" t="str">
        <x:v>ABO / Medikal Estetik lead / 16.04.2026</x:v>
      </x:c>
      <x:c r="F224" t="str">
        <x:v>OUTCOME_LEADS</x:v>
      </x:c>
      <x:c r="G224" t="n">
        <x:v>18328</x:v>
      </x:c>
      <x:c r="H224" s="28" t="n">
        <x:v>2364.73</x:v>
      </x:c>
      <x:c r="I224" t="n">
        <x:v>22835</x:v>
      </x:c>
      <x:c r="J224" t="n">
        <x:v>222</x:v>
      </x:c>
      <x:c r="K224" t="n">
        <x:v>107</x:v>
      </x:c>
      <x:c r="L224" s="27" t="n">
        <x:f>IFERROR(K224/I224,0)</x:f>
        <x:v>0.00468578935844099</x:v>
      </x:c>
      <x:c r="M224" s="28" t="n">
        <x:f>IFERROR(H224/K224,0)</x:f>
        <x:v>22.100280373831776</x:v>
      </x:c>
      <x:c r="N224" s="28" t="n">
        <x:f>IFERROR(H224/I224*1000,0)</x:f>
        <x:v>103.55725859426319</x:v>
      </x:c>
      <x:c r="O224" t="n">
        <x:v>1.245908</x:v>
      </x:c>
      <x:c r="P224" t="n">
        <x:v>20</x:v>
      </x:c>
      <x:c r="Q224" s="28" t="n">
        <x:v>0</x:v>
      </x:c>
      <x:c r="R224" s="28" t="n">
        <x:v>0</x:v>
      </x:c>
    </x:row>
    <x:row r="225">
      <x:c r="A225" t="str">
        <x:v>2026-07-20</x:v>
      </x:c>
      <x:c r="B225" t="str">
        <x:v>449281783851362</x:v>
      </x:c>
      <x:c r="C225" t="str">
        <x:v>Doruk Hastaneleri - SİNA ÖZEL Sağlık Hizmetleri A.ş</x:v>
      </x:c>
      <x:c r="D225" t="str">
        <x:v>120249061996540399</x:v>
      </x:c>
      <x:c r="E225" t="str">
        <x:v>Doktor - Bilinirlik Kampanyası - Nilüfer</x:v>
      </x:c>
      <x:c r="F225" t="str">
        <x:v>OUTCOME_AWARENESS</x:v>
      </x:c>
      <x:c r="G225" t="n">
        <x:v>504236</x:v>
      </x:c>
      <x:c r="H225" s="28" t="n">
        <x:v>4955.58</x:v>
      </x:c>
      <x:c r="I225" t="n">
        <x:v>562716</x:v>
      </x:c>
      <x:c r="J225" t="n">
        <x:v>303</x:v>
      </x:c>
      <x:c r="K225" t="n">
        <x:v>1</x:v>
      </x:c>
      <x:c r="L225" s="27" t="n">
        <x:f>IFERROR(K225/I225,0)</x:f>
        <x:v>0.0000017770953731544865</x:v>
      </x:c>
      <x:c r="M225" s="28" t="n">
        <x:f>IFERROR(H225/K225,0)</x:f>
        <x:v>4955.58</x:v>
      </x:c>
      <x:c r="N225" s="28" t="n">
        <x:f>IFERROR(H225/I225*1000,0)</x:f>
        <x:v>8.80653828929691</x:v>
      </x:c>
      <x:c r="O225" t="n">
        <x:v>1.115977</x:v>
      </x:c>
      <x:c r="P225" t="n">
        <x:v>0</x:v>
      </x:c>
      <x:c r="Q225" s="28" t="n">
        <x:v>0</x:v>
      </x:c>
      <x:c r="R225" s="28" t="n">
        <x:v>0</x:v>
      </x:c>
    </x:row>
    <x:row r="226">
      <x:c r="A226" t="str">
        <x:v>2026-07-20</x:v>
      </x:c>
      <x:c r="B226" t="str">
        <x:v>449281783851362</x:v>
      </x:c>
      <x:c r="C226" t="str">
        <x:v>Doruk Hastaneleri - SİNA ÖZEL Sağlık Hizmetleri A.ş</x:v>
      </x:c>
      <x:c r="D226" t="str">
        <x:v>120249614228610399</x:v>
      </x:c>
      <x:c r="E226" t="str">
        <x:v>Instagram gönderisi: Bir sezon boyunca ortaya...</x:v>
      </x:c>
      <x:c r="F226" t="str">
        <x:v>LINK_CLICKS</x:v>
      </x:c>
      <x:c r="G226" t="n">
        <x:v>51164</x:v>
      </x:c>
      <x:c r="H226" s="28" t="n">
        <x:v>3073.8</x:v>
      </x:c>
      <x:c r="I226" t="n">
        <x:v>56465</x:v>
      </x:c>
      <x:c r="J226" t="n">
        <x:v>664</x:v>
      </x:c>
      <x:c r="K226" t="n">
        <x:v>673</x:v>
      </x:c>
      <x:c r="L226" s="27" t="n">
        <x:f>IFERROR(K226/I226,0)</x:f>
        <x:v>0.011918887806605862</x:v>
      </x:c>
      <x:c r="M226" s="28" t="n">
        <x:f>IFERROR(H226/K226,0)</x:f>
        <x:v>4.567310549777118</x:v>
      </x:c>
      <x:c r="N226" s="28" t="n">
        <x:f>IFERROR(H226/I226*1000,0)</x:f>
        <x:v>54.43726202072081</x:v>
      </x:c>
      <x:c r="O226" t="n">
        <x:v>1.103608</x:v>
      </x:c>
      <x:c r="P226" t="n">
        <x:v>0</x:v>
      </x:c>
      <x:c r="Q226" s="28" t="n">
        <x:v>0</x:v>
      </x:c>
      <x:c r="R226" s="28" t="n">
        <x:v>0</x:v>
      </x:c>
    </x:row>
    <x:row r="227">
      <x:c r="A227" t="str">
        <x:v>2026-07-20</x:v>
      </x:c>
      <x:c r="B227" t="str">
        <x:v>449281783851362</x:v>
      </x:c>
      <x:c r="C227" t="str">
        <x:v>Doruk Hastaneleri - SİNA ÖZEL Sağlık Hizmetleri A.ş</x:v>
      </x:c>
      <x:c r="D227" t="str">
        <x:v>120251414264130399</x:v>
      </x:c>
      <x:c r="E227" t="str">
        <x:v>Prostat Checkup - lead</x:v>
      </x:c>
      <x:c r="F227" t="str">
        <x:v>OUTCOME_LEADS</x:v>
      </x:c>
      <x:c r="G227" t="n">
        <x:v>6245</x:v>
      </x:c>
      <x:c r="H227" s="28" t="n">
        <x:v>464.87</x:v>
      </x:c>
      <x:c r="I227" t="n">
        <x:v>8479</x:v>
      </x:c>
      <x:c r="J227" t="n">
        <x:v>230</x:v>
      </x:c>
      <x:c r="K227" t="n">
        <x:v>61</x:v>
      </x:c>
      <x:c r="L227" s="27" t="n">
        <x:f>IFERROR(K227/I227,0)</x:f>
        <x:v>0.007194244604316547</x:v>
      </x:c>
      <x:c r="M227" s="28" t="n">
        <x:f>IFERROR(H227/K227,0)</x:f>
        <x:v>7.620819672131147</x:v>
      </x:c>
      <x:c r="N227" s="28" t="n">
        <x:f>IFERROR(H227/I227*1000,0)</x:f>
        <x:v>54.8260408066989</x:v>
      </x:c>
      <x:c r="O227" t="n">
        <x:v>1.357726</x:v>
      </x:c>
      <x:c r="P227" t="n">
        <x:v>3</x:v>
      </x:c>
      <x:c r="Q227" s="28" t="n">
        <x:v>0</x:v>
      </x:c>
      <x:c r="R227" s="28" t="n">
        <x:v>0</x:v>
      </x:c>
    </x:row>
    <x:row r="228">
      <x:c r="A228" t="str">
        <x:v>2026-07-20</x:v>
      </x:c>
      <x:c r="B228" t="str">
        <x:v>449281783851362</x:v>
      </x:c>
      <x:c r="C228" t="str">
        <x:v>Doruk Hastaneleri - SİNA ÖZEL Sağlık Hizmetleri A.ş</x:v>
      </x:c>
      <x:c r="D228" t="str">
        <x:v>120252323141170399</x:v>
      </x:c>
      <x:c r="E228" t="str">
        <x:v>Instagram gönderisi: Medikal estetik alanındaki...</x:v>
      </x:c>
      <x:c r="F228" t="str">
        <x:v>LINK_CLICKS</x:v>
      </x:c>
      <x:c r="G228" t="n">
        <x:v>5615</x:v>
      </x:c>
      <x:c r="H228" s="28" t="n">
        <x:v>365.35</x:v>
      </x:c>
      <x:c r="I228" t="n">
        <x:v>6050</x:v>
      </x:c>
      <x:c r="J228" t="n">
        <x:v>109</x:v>
      </x:c>
      <x:c r="K228" t="n">
        <x:v>109</x:v>
      </x:c>
      <x:c r="L228" s="27" t="n">
        <x:f>IFERROR(K228/I228,0)</x:f>
        <x:v>0.018016528925619835</x:v>
      </x:c>
      <x:c r="M228" s="28" t="n">
        <x:f>IFERROR(H228/K228,0)</x:f>
        <x:v>3.351834862385321</x:v>
      </x:c>
      <x:c r="N228" s="28" t="n">
        <x:f>IFERROR(H228/I228*1000,0)</x:f>
        <x:v>60.388429752066116</x:v>
      </x:c>
      <x:c r="O228" t="n">
        <x:v>1.077471</x:v>
      </x:c>
      <x:c r="P228" t="n">
        <x:v>0</x:v>
      </x:c>
      <x:c r="Q228" s="28" t="n">
        <x:v>0</x:v>
      </x:c>
      <x:c r="R228" s="28" t="n">
        <x:v>0</x:v>
      </x:c>
    </x:row>
    <x:row r="229">
      <x:c r="A229" t="str">
        <x:v>2026-07-20</x:v>
      </x:c>
      <x:c r="B229" t="str">
        <x:v>449281783851362</x:v>
      </x:c>
      <x:c r="C229" t="str">
        <x:v>Doruk Hastaneleri - SİNA ÖZEL Sağlık Hizmetleri A.ş</x:v>
      </x:c>
      <x:c r="D229" t="str">
        <x:v>120255099624540399</x:v>
      </x:c>
      <x:c r="E229" t="str">
        <x:v>Instagram gönderisi: Doruk Sağlık Grubu olarak,...</x:v>
      </x:c>
      <x:c r="F229" t="str">
        <x:v>LINK_CLICKS</x:v>
      </x:c>
      <x:c r="G229" t="n">
        <x:v>35866</x:v>
      </x:c>
      <x:c r="H229" s="28" t="n">
        <x:v>2374.15</x:v>
      </x:c>
      <x:c r="I229" t="n">
        <x:v>38852</x:v>
      </x:c>
      <x:c r="J229" t="n">
        <x:v>498</x:v>
      </x:c>
      <x:c r="K229" t="n">
        <x:v>494</x:v>
      </x:c>
      <x:c r="L229" s="27" t="n">
        <x:f>IFERROR(K229/I229,0)</x:f>
        <x:v>0.012714918150931741</x:v>
      </x:c>
      <x:c r="M229" s="28" t="n">
        <x:f>IFERROR(H229/K229,0)</x:f>
        <x:v>4.805971659919028</x:v>
      </x:c>
      <x:c r="N229" s="28" t="n">
        <x:f>IFERROR(H229/I229*1000,0)</x:f>
        <x:v>61.107536291568</x:v>
      </x:c>
      <x:c r="O229" t="n">
        <x:v>1.083254</x:v>
      </x:c>
      <x:c r="P229" t="n">
        <x:v>0</x:v>
      </x:c>
      <x:c r="Q229" s="28" t="n">
        <x:v>0</x:v>
      </x:c>
      <x:c r="R229" s="28" t="n">
        <x:v>0</x:v>
      </x:c>
    </x:row>
    <x:row r="230">
      <x:c r="A230" t="str">
        <x:v>2026-07-20</x:v>
      </x:c>
      <x:c r="B230" t="str">
        <x:v>449281783851362</x:v>
      </x:c>
      <x:c r="C230" t="str">
        <x:v>Doruk Hastaneleri - SİNA ÖZEL Sağlık Hizmetleri A.ş</x:v>
      </x:c>
      <x:c r="D230" t="str">
        <x:v>120255158812950399</x:v>
      </x:c>
      <x:c r="E230" t="str">
        <x:v>Doktor - Bilinirlik Kampanyası - Yıldırım</x:v>
      </x:c>
      <x:c r="F230" t="str">
        <x:v>OUTCOME_AWARENESS</x:v>
      </x:c>
      <x:c r="G230" t="n">
        <x:v>226652</x:v>
      </x:c>
      <x:c r="H230" s="28" t="n">
        <x:v>2137.07</x:v>
      </x:c>
      <x:c r="I230" t="n">
        <x:v>244693</x:v>
      </x:c>
      <x:c r="J230" t="n">
        <x:v>135</x:v>
      </x:c>
      <x:c r="K230" t="n">
        <x:v>0</x:v>
      </x:c>
      <x:c r="L230" s="27" t="n">
        <x:f>IFERROR(K230/I230,0)</x:f>
        <x:v>0</x:v>
      </x:c>
      <x:c r="M230" s="28" t="n">
        <x:f>IFERROR(H230/K230,0)</x:f>
        <x:v>0</x:v>
      </x:c>
      <x:c r="N230" s="28" t="n">
        <x:f>IFERROR(H230/I230*1000,0)</x:f>
        <x:v>8.73367852778788</x:v>
      </x:c>
      <x:c r="O230" t="n">
        <x:v>1.079598</x:v>
      </x:c>
      <x:c r="P230" t="n">
        <x:v>0</x:v>
      </x:c>
      <x:c r="Q230" s="28" t="n">
        <x:v>0</x:v>
      </x:c>
      <x:c r="R230" s="28" t="n">
        <x:v>0</x:v>
      </x:c>
    </x:row>
    <x:row r="231">
      <x:c r="A231" t="str">
        <x:v>2026-07-21</x:v>
      </x:c>
      <x:c r="B231" t="str">
        <x:v>449281783851362</x:v>
      </x:c>
      <x:c r="C231" t="str">
        <x:v>Doruk Hastaneleri - SİNA ÖZEL Sağlık Hizmetleri A.ş</x:v>
      </x:c>
      <x:c r="D231" t="str">
        <x:v>120202624613730399</x:v>
      </x:c>
      <x:c r="E231" t="str">
        <x:v>CBO / Saç Ekimi - lead / soğuk</x:v>
      </x:c>
      <x:c r="F231" t="str">
        <x:v>OUTCOME_LEADS</x:v>
      </x:c>
      <x:c r="G231" t="n">
        <x:v>1202</x:v>
      </x:c>
      <x:c r="H231" s="28" t="n">
        <x:v>280.99</x:v>
      </x:c>
      <x:c r="I231" t="n">
        <x:v>1601</x:v>
      </x:c>
      <x:c r="J231" t="n">
        <x:v>14</x:v>
      </x:c>
      <x:c r="K231" t="n">
        <x:v>3</x:v>
      </x:c>
      <x:c r="L231" s="27" t="n">
        <x:f>IFERROR(K231/I231,0)</x:f>
        <x:v>0.0018738288569643974</x:v>
      </x:c>
      <x:c r="M231" s="28" t="n">
        <x:f>IFERROR(H231/K231,0)</x:f>
        <x:v>93.66333333333334</x:v>
      </x:c>
      <x:c r="N231" s="28" t="n">
        <x:f>IFERROR(H231/I231*1000,0)</x:f>
        <x:v>175.50905683947533</x:v>
      </x:c>
      <x:c r="O231" t="n">
        <x:v>1.331947</x:v>
      </x:c>
      <x:c r="P231" t="n">
        <x:v>1</x:v>
      </x:c>
      <x:c r="Q231" s="28" t="n">
        <x:v>0</x:v>
      </x:c>
      <x:c r="R231" s="28" t="n">
        <x:v>0</x:v>
      </x:c>
    </x:row>
    <x:row r="232">
      <x:c r="A232" t="str">
        <x:v>2026-07-21</x:v>
      </x:c>
      <x:c r="B232" t="str">
        <x:v>449281783851362</x:v>
      </x:c>
      <x:c r="C232" t="str">
        <x:v>Doruk Hastaneleri - SİNA ÖZEL Sağlık Hizmetleri A.ş</x:v>
      </x:c>
      <x:c r="D232" t="str">
        <x:v>120211731920800399</x:v>
      </x:c>
      <x:c r="E232" t="str">
        <x:v>ABO / Göz Kapağı Estetiği / plastik cerrahi / lead</x:v>
      </x:c>
      <x:c r="F232" t="str">
        <x:v>OUTCOME_LEADS</x:v>
      </x:c>
      <x:c r="G232" t="n">
        <x:v>600</x:v>
      </x:c>
      <x:c r="H232" s="28" t="n">
        <x:v>71.5</x:v>
      </x:c>
      <x:c r="I232" t="n">
        <x:v>672</x:v>
      </x:c>
      <x:c r="J232" t="n">
        <x:v>7</x:v>
      </x:c>
      <x:c r="K232" t="n">
        <x:v>5</x:v>
      </x:c>
      <x:c r="L232" s="27" t="n">
        <x:f>IFERROR(K232/I232,0)</x:f>
        <x:v>0.00744047619047619</x:v>
      </x:c>
      <x:c r="M232" s="28" t="n">
        <x:f>IFERROR(H232/K232,0)</x:f>
        <x:v>14.3</x:v>
      </x:c>
      <x:c r="N232" s="28" t="n">
        <x:f>IFERROR(H232/I232*1000,0)</x:f>
        <x:v>106.39880952380952</x:v>
      </x:c>
      <x:c r="O232" t="n">
        <x:v>1.12</x:v>
      </x:c>
      <x:c r="P232" t="n">
        <x:v>1</x:v>
      </x:c>
      <x:c r="Q232" s="28" t="n">
        <x:v>0</x:v>
      </x:c>
      <x:c r="R232" s="28" t="n">
        <x:v>0</x:v>
      </x:c>
    </x:row>
    <x:row r="233">
      <x:c r="A233" t="str">
        <x:v>2026-07-21</x:v>
      </x:c>
      <x:c r="B233" t="str">
        <x:v>449281783851362</x:v>
      </x:c>
      <x:c r="C233" t="str">
        <x:v>Doruk Hastaneleri - SİNA ÖZEL Sağlık Hizmetleri A.ş</x:v>
      </x:c>
      <x:c r="D233" t="str">
        <x:v>120211732243050399</x:v>
      </x:c>
      <x:c r="E233" t="str">
        <x:v>ABO /Kepçe Kulak / plastik cerrahi / lead</x:v>
      </x:c>
      <x:c r="F233" t="str">
        <x:v>OUTCOME_LEADS</x:v>
      </x:c>
      <x:c r="G233" t="n">
        <x:v>1550</x:v>
      </x:c>
      <x:c r="H233" s="28" t="n">
        <x:v>67.25</x:v>
      </x:c>
      <x:c r="I233" t="n">
        <x:v>1660</x:v>
      </x:c>
      <x:c r="J233" t="n">
        <x:v>10</x:v>
      </x:c>
      <x:c r="K233" t="n">
        <x:v>8</x:v>
      </x:c>
      <x:c r="L233" s="27" t="n">
        <x:f>IFERROR(K233/I233,0)</x:f>
        <x:v>0.004819277108433735</x:v>
      </x:c>
      <x:c r="M233" s="28" t="n">
        <x:f>IFERROR(H233/K233,0)</x:f>
        <x:v>8.40625</x:v>
      </x:c>
      <x:c r="N233" s="28" t="n">
        <x:f>IFERROR(H233/I233*1000,0)</x:f>
        <x:v>40.51204819277108</x:v>
      </x:c>
      <x:c r="O233" t="n">
        <x:v>1.070968</x:v>
      </x:c>
      <x:c r="P233" t="n">
        <x:v>1</x:v>
      </x:c>
      <x:c r="Q233" s="28" t="n">
        <x:v>0</x:v>
      </x:c>
      <x:c r="R233" s="28" t="n">
        <x:v>0</x:v>
      </x:c>
    </x:row>
    <x:row r="234">
      <x:c r="A234" t="str">
        <x:v>2026-07-21</x:v>
      </x:c>
      <x:c r="B234" t="str">
        <x:v>449281783851362</x:v>
      </x:c>
      <x:c r="C234" t="str">
        <x:v>Doruk Hastaneleri - SİNA ÖZEL Sağlık Hizmetleri A.ş</x:v>
      </x:c>
      <x:c r="D234" t="str">
        <x:v>120211732311210399</x:v>
      </x:c>
      <x:c r="E234" t="str">
        <x:v>ABO / Meme Estetiği / plastik cerrahi / lead</x:v>
      </x:c>
      <x:c r="F234" t="str">
        <x:v>OUTCOME_LEADS</x:v>
      </x:c>
      <x:c r="G234" t="n">
        <x:v>1711</x:v>
      </x:c>
      <x:c r="H234" s="28" t="n">
        <x:v>219.81</x:v>
      </x:c>
      <x:c r="I234" t="n">
        <x:v>1956</x:v>
      </x:c>
      <x:c r="J234" t="n">
        <x:v>10</x:v>
      </x:c>
      <x:c r="K234" t="n">
        <x:v>4</x:v>
      </x:c>
      <x:c r="L234" s="27" t="n">
        <x:f>IFERROR(K234/I234,0)</x:f>
        <x:v>0.002044989775051125</x:v>
      </x:c>
      <x:c r="M234" s="28" t="n">
        <x:f>IFERROR(H234/K234,0)</x:f>
        <x:v>54.9525</x:v>
      </x:c>
      <x:c r="N234" s="28" t="n">
        <x:f>IFERROR(H234/I234*1000,0)</x:f>
        <x:v>112.37730061349693</x:v>
      </x:c>
      <x:c r="O234" t="n">
        <x:v>1.143191</x:v>
      </x:c>
      <x:c r="P234" t="n">
        <x:v>1</x:v>
      </x:c>
      <x:c r="Q234" s="28" t="n">
        <x:v>0</x:v>
      </x:c>
      <x:c r="R234" s="28" t="n">
        <x:v>0</x:v>
      </x:c>
    </x:row>
    <x:row r="235">
      <x:c r="A235" t="str">
        <x:v>2026-07-21</x:v>
      </x:c>
      <x:c r="B235" t="str">
        <x:v>449281783851362</x:v>
      </x:c>
      <x:c r="C235" t="str">
        <x:v>Doruk Hastaneleri - SİNA ÖZEL Sağlık Hizmetleri A.ş</x:v>
      </x:c>
      <x:c r="D235" t="str">
        <x:v>120211732618490399</x:v>
      </x:c>
      <x:c r="E235" t="str">
        <x:v>ABO /Jinekomasti / plastik cerrahi / lead</x:v>
      </x:c>
      <x:c r="F235" t="str">
        <x:v>OUTCOME_LEADS</x:v>
      </x:c>
      <x:c r="G235" t="n">
        <x:v>527</x:v>
      </x:c>
      <x:c r="H235" s="28" t="n">
        <x:v>88.64</x:v>
      </x:c>
      <x:c r="I235" t="n">
        <x:v>602</x:v>
      </x:c>
      <x:c r="J235" t="n">
        <x:v>7</x:v>
      </x:c>
      <x:c r="K235" t="n">
        <x:v>5</x:v>
      </x:c>
      <x:c r="L235" s="27" t="n">
        <x:f>IFERROR(K235/I235,0)</x:f>
        <x:v>0.008305647840531562</x:v>
      </x:c>
      <x:c r="M235" s="28" t="n">
        <x:f>IFERROR(H235/K235,0)</x:f>
        <x:v>17.728</x:v>
      </x:c>
      <x:c r="N235" s="28" t="n">
        <x:f>IFERROR(H235/I235*1000,0)</x:f>
        <x:v>147.24252491694352</x:v>
      </x:c>
      <x:c r="O235" t="n">
        <x:v>1.142315</x:v>
      </x:c>
      <x:c r="P235" t="n">
        <x:v>0</x:v>
      </x:c>
      <x:c r="Q235" s="28" t="n">
        <x:v>0</x:v>
      </x:c>
      <x:c r="R235" s="28" t="n">
        <x:v>0</x:v>
      </x:c>
    </x:row>
    <x:row r="236">
      <x:c r="A236" t="str">
        <x:v>2026-07-21</x:v>
      </x:c>
      <x:c r="B236" t="str">
        <x:v>449281783851362</x:v>
      </x:c>
      <x:c r="C236" t="str">
        <x:v>Doruk Hastaneleri - SİNA ÖZEL Sağlık Hizmetleri A.ş</x:v>
      </x:c>
      <x:c r="D236" t="str">
        <x:v>120211732654260399</x:v>
      </x:c>
      <x:c r="E236" t="str">
        <x:v>ABO / Rinoplasti / plastik cerrahi / lead</x:v>
      </x:c>
      <x:c r="F236" t="str">
        <x:v>OUTCOME_LEADS</x:v>
      </x:c>
      <x:c r="G236" t="n">
        <x:v>1061</x:v>
      </x:c>
      <x:c r="H236" s="28" t="n">
        <x:v>236.68</x:v>
      </x:c>
      <x:c r="I236" t="n">
        <x:v>1309</x:v>
      </x:c>
      <x:c r="J236" t="n">
        <x:v>8</x:v>
      </x:c>
      <x:c r="K236" t="n">
        <x:v>5</x:v>
      </x:c>
      <x:c r="L236" s="27" t="n">
        <x:f>IFERROR(K236/I236,0)</x:f>
        <x:v>0.0038197097020626434</x:v>
      </x:c>
      <x:c r="M236" s="28" t="n">
        <x:f>IFERROR(H236/K236,0)</x:f>
        <x:v>47.336</x:v>
      </x:c>
      <x:c r="N236" s="28" t="n">
        <x:f>IFERROR(H236/I236*1000,0)</x:f>
        <x:v>180.8097784568373</x:v>
      </x:c>
      <x:c r="O236" t="n">
        <x:v>1.233742</x:v>
      </x:c>
      <x:c r="P236" t="n">
        <x:v>0</x:v>
      </x:c>
      <x:c r="Q236" s="28" t="n">
        <x:v>0</x:v>
      </x:c>
      <x:c r="R236" s="28" t="n">
        <x:v>0</x:v>
      </x:c>
    </x:row>
    <x:row r="237">
      <x:c r="A237" t="str">
        <x:v>2026-07-21</x:v>
      </x:c>
      <x:c r="B237" t="str">
        <x:v>449281783851362</x:v>
      </x:c>
      <x:c r="C237" t="str">
        <x:v>Doruk Hastaneleri - SİNA ÖZEL Sağlık Hizmetleri A.ş</x:v>
      </x:c>
      <x:c r="D237" t="str">
        <x:v>120211732712890399</x:v>
      </x:c>
      <x:c r="E237" t="str">
        <x:v>ABO / Vücut Şekillendirme / plastik cerrahi / lead</x:v>
      </x:c>
      <x:c r="F237" t="str">
        <x:v>OUTCOME_LEADS</x:v>
      </x:c>
      <x:c r="G237" t="n">
        <x:v>294</x:v>
      </x:c>
      <x:c r="H237" s="28" t="n">
        <x:v>91.54</x:v>
      </x:c>
      <x:c r="I237" t="n">
        <x:v>349</x:v>
      </x:c>
      <x:c r="J237" t="n">
        <x:v>1</x:v>
      </x:c>
      <x:c r="K237" t="n">
        <x:v>1</x:v>
      </x:c>
      <x:c r="L237" s="27" t="n">
        <x:f>IFERROR(K237/I237,0)</x:f>
        <x:v>0.0028653295128939827</x:v>
      </x:c>
      <x:c r="M237" s="28" t="n">
        <x:f>IFERROR(H237/K237,0)</x:f>
        <x:v>91.54</x:v>
      </x:c>
      <x:c r="N237" s="28" t="n">
        <x:f>IFERROR(H237/I237*1000,0)</x:f>
        <x:v>262.2922636103152</x:v>
      </x:c>
      <x:c r="O237" t="n">
        <x:v>1.187075</x:v>
      </x:c>
      <x:c r="P237" t="n">
        <x:v>0</x:v>
      </x:c>
      <x:c r="Q237" s="28" t="n">
        <x:v>0</x:v>
      </x:c>
      <x:c r="R237" s="28" t="n">
        <x:v>0</x:v>
      </x:c>
    </x:row>
    <x:row r="238">
      <x:c r="A238" t="str">
        <x:v>2026-07-21</x:v>
      </x:c>
      <x:c r="B238" t="str">
        <x:v>449281783851362</x:v>
      </x:c>
      <x:c r="C238" t="str">
        <x:v>Doruk Hastaneleri - SİNA ÖZEL Sağlık Hizmetleri A.ş</x:v>
      </x:c>
      <x:c r="D238" t="str">
        <x:v>120211732754080399</x:v>
      </x:c>
      <x:c r="E238" t="str">
        <x:v>ABO / Yüz Germe (Facelift) / plastik cerrahi / lead</x:v>
      </x:c>
      <x:c r="F238" t="str">
        <x:v>OUTCOME_LEADS</x:v>
      </x:c>
      <x:c r="G238" t="n">
        <x:v>152</x:v>
      </x:c>
      <x:c r="H238" s="28" t="n">
        <x:v>70</x:v>
      </x:c>
      <x:c r="I238" t="n">
        <x:v>180</x:v>
      </x:c>
      <x:c r="J238" t="n">
        <x:v>3</x:v>
      </x:c>
      <x:c r="K238" t="n">
        <x:v>2</x:v>
      </x:c>
      <x:c r="L238" s="27" t="n">
        <x:f>IFERROR(K238/I238,0)</x:f>
        <x:v>0.011111111111111112</x:v>
      </x:c>
      <x:c r="M238" s="28" t="n">
        <x:f>IFERROR(H238/K238,0)</x:f>
        <x:v>35</x:v>
      </x:c>
      <x:c r="N238" s="28" t="n">
        <x:f>IFERROR(H238/I238*1000,0)</x:f>
        <x:v>388.8888888888889</x:v>
      </x:c>
      <x:c r="O238" t="n">
        <x:v>1.184211</x:v>
      </x:c>
      <x:c r="P238" t="n">
        <x:v>0</x:v>
      </x:c>
      <x:c r="Q238" s="28" t="n">
        <x:v>0</x:v>
      </x:c>
      <x:c r="R238" s="28" t="n">
        <x:v>0</x:v>
      </x:c>
    </x:row>
    <x:row r="239">
      <x:c r="A239" t="str">
        <x:v>2026-07-21</x:v>
      </x:c>
      <x:c r="B239" t="str">
        <x:v>449281783851362</x:v>
      </x:c>
      <x:c r="C239" t="str">
        <x:v>Doruk Hastaneleri - SİNA ÖZEL Sağlık Hizmetleri A.ş</x:v>
      </x:c>
      <x:c r="D239" t="str">
        <x:v>120214167265870399</x:v>
      </x:c>
      <x:c r="E239" t="str">
        <x:v>Baş Dönmesi ve Denge Ünitesi / lead</x:v>
      </x:c>
      <x:c r="F239" t="str">
        <x:v>OUTCOME_LEADS</x:v>
      </x:c>
      <x:c r="G239" t="n">
        <x:v>1675</x:v>
      </x:c>
      <x:c r="H239" s="28" t="n">
        <x:v>94.02</x:v>
      </x:c>
      <x:c r="I239" t="n">
        <x:v>1808</x:v>
      </x:c>
      <x:c r="J239" t="n">
        <x:v>23</x:v>
      </x:c>
      <x:c r="K239" t="n">
        <x:v>14</x:v>
      </x:c>
      <x:c r="L239" s="27" t="n">
        <x:f>IFERROR(K239/I239,0)</x:f>
        <x:v>0.007743362831858407</x:v>
      </x:c>
      <x:c r="M239" s="28" t="n">
        <x:f>IFERROR(H239/K239,0)</x:f>
        <x:v>6.715714285714285</x:v>
      </x:c>
      <x:c r="N239" s="28" t="n">
        <x:f>IFERROR(H239/I239*1000,0)</x:f>
        <x:v>52.002212389380524</x:v>
      </x:c>
      <x:c r="O239" t="n">
        <x:v>1.079403</x:v>
      </x:c>
      <x:c r="P239" t="n">
        <x:v>1</x:v>
      </x:c>
      <x:c r="Q239" s="28" t="n">
        <x:v>0</x:v>
      </x:c>
      <x:c r="R239" s="28" t="n">
        <x:v>0</x:v>
      </x:c>
    </x:row>
    <x:row r="240">
      <x:c r="A240" t="str">
        <x:v>2026-07-21</x:v>
      </x:c>
      <x:c r="B240" t="str">
        <x:v>449281783851362</x:v>
      </x:c>
      <x:c r="C240" t="str">
        <x:v>Doruk Hastaneleri - SİNA ÖZEL Sağlık Hizmetleri A.ş</x:v>
      </x:c>
      <x:c r="D240" t="str">
        <x:v>120220089108220399</x:v>
      </x:c>
      <x:c r="E240" t="str">
        <x:v>Checkup - genel - lead</x:v>
      </x:c>
      <x:c r="F240" t="str">
        <x:v>OUTCOME_LEADS</x:v>
      </x:c>
      <x:c r="G240" t="n">
        <x:v>1657</x:v>
      </x:c>
      <x:c r="H240" s="28" t="n">
        <x:v>324.2</x:v>
      </x:c>
      <x:c r="I240" t="n">
        <x:v>1966</x:v>
      </x:c>
      <x:c r="J240" t="n">
        <x:v>19</x:v>
      </x:c>
      <x:c r="K240" t="n">
        <x:v>10</x:v>
      </x:c>
      <x:c r="L240" s="27" t="n">
        <x:f>IFERROR(K240/I240,0)</x:f>
        <x:v>0.00508646998982706</x:v>
      </x:c>
      <x:c r="M240" s="28" t="n">
        <x:f>IFERROR(H240/K240,0)</x:f>
        <x:v>32.42</x:v>
      </x:c>
      <x:c r="N240" s="28" t="n">
        <x:f>IFERROR(H240/I240*1000,0)</x:f>
        <x:v>164.90335707019327</x:v>
      </x:c>
      <x:c r="O240" t="n">
        <x:v>1.186482</x:v>
      </x:c>
      <x:c r="P240" t="n">
        <x:v>2</x:v>
      </x:c>
      <x:c r="Q240" s="28" t="n">
        <x:v>0</x:v>
      </x:c>
      <x:c r="R240" s="28" t="n">
        <x:v>0</x:v>
      </x:c>
    </x:row>
    <x:row r="241">
      <x:c r="A241" t="str">
        <x:v>2026-07-21</x:v>
      </x:c>
      <x:c r="B241" t="str">
        <x:v>170008509278498</x:v>
      </x:c>
      <x:c r="C241" t="str">
        <x:v>Doruk Hospital</x:v>
      </x:c>
      <x:c r="D241" t="str">
        <x:v>120232382033210080</x:v>
      </x:c>
      <x:c r="E241" t="str">
        <x:v>Fizik Tedavi - Intensive FTR - Türki Cumhuriyetler - Tümü - RU - Lechenie v Turtsii - lead</x:v>
      </x:c>
      <x:c r="F241" t="str">
        <x:v>OUTCOME_LEADS</x:v>
      </x:c>
      <x:c r="G241" t="n">
        <x:v>15094</x:v>
      </x:c>
      <x:c r="H241" s="28" t="n">
        <x:v>2695.4</x:v>
      </x:c>
      <x:c r="I241" t="n">
        <x:v>16836</x:v>
      </x:c>
      <x:c r="J241" t="n">
        <x:v>133</x:v>
      </x:c>
      <x:c r="K241" t="n">
        <x:v>106</x:v>
      </x:c>
      <x:c r="L241" s="27" t="n">
        <x:f>IFERROR(K241/I241,0)</x:f>
        <x:v>0.006296032311712996</x:v>
      </x:c>
      <x:c r="M241" s="28" t="n">
        <x:f>IFERROR(H241/K241,0)</x:f>
        <x:v>25.428301886792454</x:v>
      </x:c>
      <x:c r="N241" s="28" t="n">
        <x:f>IFERROR(H241/I241*1000,0)</x:f>
        <x:v>160.09741031123784</x:v>
      </x:c>
      <x:c r="O241" t="n">
        <x:v>1.11541</x:v>
      </x:c>
      <x:c r="P241" t="n">
        <x:v>0</x:v>
      </x:c>
      <x:c r="Q241" s="28" t="n">
        <x:v>0</x:v>
      </x:c>
      <x:c r="R241" s="28" t="n">
        <x:v>0</x:v>
      </x:c>
    </x:row>
    <x:row r="242">
      <x:c r="A242" t="str">
        <x:v>2026-07-21</x:v>
      </x:c>
      <x:c r="B242" t="str">
        <x:v>170008509278498</x:v>
      </x:c>
      <x:c r="C242" t="str">
        <x:v>Doruk Hospital</x:v>
      </x:c>
      <x:c r="D242" t="str">
        <x:v>120238651325780080</x:v>
      </x:c>
      <x:c r="E242" t="str">
        <x:v>Whatsapp - Fizik Tedavi - Intensive FTR - Arap Bölgesi - Tümü - AR - Doruk İlaj Turkia</x:v>
      </x:c>
      <x:c r="F242" t="str">
        <x:v>OUTCOME_LEADS</x:v>
      </x:c>
      <x:c r="G242" t="n">
        <x:v>22719</x:v>
      </x:c>
      <x:c r="H242" s="28" t="n">
        <x:v>4186.81</x:v>
      </x:c>
      <x:c r="I242" t="n">
        <x:v>30471</x:v>
      </x:c>
      <x:c r="J242" t="n">
        <x:v>277</x:v>
      </x:c>
      <x:c r="K242" t="n">
        <x:v>140</x:v>
      </x:c>
      <x:c r="L242" s="27" t="n">
        <x:f>IFERROR(K242/I242,0)</x:f>
        <x:v>0.004594532506317482</x:v>
      </x:c>
      <x:c r="M242" s="28" t="n">
        <x:f>IFERROR(H242/K242,0)</x:f>
        <x:v>29.905785714285717</x:v>
      </x:c>
      <x:c r="N242" s="28" t="n">
        <x:f>IFERROR(H242/I242*1000,0)</x:f>
        <x:v>137.40310459125072</x:v>
      </x:c>
      <x:c r="O242" t="n">
        <x:v>1.341212</x:v>
      </x:c>
      <x:c r="P242" t="n">
        <x:v>0</x:v>
      </x:c>
      <x:c r="Q242" s="28" t="n">
        <x:v>0</x:v>
      </x:c>
      <x:c r="R242" s="28" t="n">
        <x:v>0</x:v>
      </x:c>
    </x:row>
    <x:row r="243">
      <x:c r="A243" t="str">
        <x:v>2026-07-21</x:v>
      </x:c>
      <x:c r="B243" t="str">
        <x:v>449281783851362</x:v>
      </x:c>
      <x:c r="C243" t="str">
        <x:v>Doruk Hastaneleri - SİNA ÖZEL Sağlık Hizmetleri A.ş</x:v>
      </x:c>
      <x:c r="D243" t="str">
        <x:v>120242415465180399</x:v>
      </x:c>
      <x:c r="E243" t="str">
        <x:v>Gebe-Doğum Form Kampanyası</x:v>
      </x:c>
      <x:c r="F243" t="str">
        <x:v>OUTCOME_LEADS</x:v>
      </x:c>
      <x:c r="G243" t="n">
        <x:v>13551</x:v>
      </x:c>
      <x:c r="H243" s="28" t="n">
        <x:v>1368.96</x:v>
      </x:c>
      <x:c r="I243" t="n">
        <x:v>18833</x:v>
      </x:c>
      <x:c r="J243" t="n">
        <x:v>97</x:v>
      </x:c>
      <x:c r="K243" t="n">
        <x:v>57</x:v>
      </x:c>
      <x:c r="L243" s="27" t="n">
        <x:f>IFERROR(K243/I243,0)</x:f>
        <x:v>0.003026602240747624</x:v>
      </x:c>
      <x:c r="M243" s="28" t="n">
        <x:f>IFERROR(H243/K243,0)</x:f>
        <x:v>24.01684210526316</x:v>
      </x:c>
      <x:c r="N243" s="28" t="n">
        <x:f>IFERROR(H243/I243*1000,0)</x:f>
        <x:v>72.68942813147136</x:v>
      </x:c>
      <x:c r="O243" t="n">
        <x:v>1.389787</x:v>
      </x:c>
      <x:c r="P243" t="n">
        <x:v>6</x:v>
      </x:c>
      <x:c r="Q243" s="28" t="n">
        <x:v>0</x:v>
      </x:c>
      <x:c r="R243" s="28" t="n">
        <x:v>0</x:v>
      </x:c>
    </x:row>
    <x:row r="244">
      <x:c r="A244" t="str">
        <x:v>2026-07-21</x:v>
      </x:c>
      <x:c r="B244" t="str">
        <x:v>170008509278498</x:v>
      </x:c>
      <x:c r="C244" t="str">
        <x:v>Doruk Hospital</x:v>
      </x:c>
      <x:c r="D244" t="str">
        <x:v>120242709752170080</x:v>
      </x:c>
      <x:c r="E244" t="str">
        <x:v>Instagram gönderisi: Аппарат TrueBeam — одна из...</x:v>
      </x:c>
      <x:c r="F244" t="str">
        <x:v>LINK_CLICKS</x:v>
      </x:c>
      <x:c r="G244" t="n">
        <x:v>17178</x:v>
      </x:c>
      <x:c r="H244" s="28" t="n">
        <x:v>505.03</x:v>
      </x:c>
      <x:c r="I244" t="n">
        <x:v>17178</x:v>
      </x:c>
      <x:c r="J244" t="n">
        <x:v>188</x:v>
      </x:c>
      <x:c r="K244" t="n">
        <x:v>185</x:v>
      </x:c>
      <x:c r="L244" s="27" t="n">
        <x:f>IFERROR(K244/I244,0)</x:f>
        <x:v>0.01076958900919781</x:v>
      </x:c>
      <x:c r="M244" s="28" t="n">
        <x:f>IFERROR(H244/K244,0)</x:f>
        <x:v>2.7298918918918917</x:v>
      </x:c>
      <x:c r="N244" s="28" t="n">
        <x:f>IFERROR(H244/I244*1000,0)</x:f>
        <x:v>29.399813715217135</x:v>
      </x:c>
      <x:c r="O244" t="n">
        <x:v>1</x:v>
      </x:c>
      <x:c r="P244" t="n">
        <x:v>0</x:v>
      </x:c>
      <x:c r="Q244" s="28" t="n">
        <x:v>0</x:v>
      </x:c>
      <x:c r="R244" s="28" t="n">
        <x:v>0</x:v>
      </x:c>
    </x:row>
    <x:row r="245">
      <x:c r="A245" t="str">
        <x:v>2026-07-21</x:v>
      </x:c>
      <x:c r="B245" t="str">
        <x:v>449281783851362</x:v>
      </x:c>
      <x:c r="C245" t="str">
        <x:v>Doruk Hastaneleri - SİNA ÖZEL Sağlık Hizmetleri A.ş</x:v>
      </x:c>
      <x:c r="D245" t="str">
        <x:v>120244050701710399</x:v>
      </x:c>
      <x:c r="E245" t="str">
        <x:v>Uzman Hekim Başvuru</x:v>
      </x:c>
      <x:c r="F245" t="str">
        <x:v>OUTCOME_LEADS</x:v>
      </x:c>
      <x:c r="G245" t="n">
        <x:v>1612</x:v>
      </x:c>
      <x:c r="H245" s="28" t="n">
        <x:v>183.04</x:v>
      </x:c>
      <x:c r="I245" t="n">
        <x:v>1800</x:v>
      </x:c>
      <x:c r="J245" t="n">
        <x:v>15</x:v>
      </x:c>
      <x:c r="K245" t="n">
        <x:v>5</x:v>
      </x:c>
      <x:c r="L245" s="27" t="n">
        <x:f>IFERROR(K245/I245,0)</x:f>
        <x:v>0.002777777777777778</x:v>
      </x:c>
      <x:c r="M245" s="28" t="n">
        <x:f>IFERROR(H245/K245,0)</x:f>
        <x:v>36.608</x:v>
      </x:c>
      <x:c r="N245" s="28" t="n">
        <x:f>IFERROR(H245/I245*1000,0)</x:f>
        <x:v>101.68888888888888</x:v>
      </x:c>
      <x:c r="O245" t="n">
        <x:v>1.116625</x:v>
      </x:c>
      <x:c r="P245" t="n">
        <x:v>1</x:v>
      </x:c>
      <x:c r="Q245" s="28" t="n">
        <x:v>0</x:v>
      </x:c>
      <x:c r="R245" s="28" t="n">
        <x:v>0</x:v>
      </x:c>
    </x:row>
    <x:row r="246">
      <x:c r="A246" t="str">
        <x:v>2026-07-21</x:v>
      </x:c>
      <x:c r="B246" t="str">
        <x:v>449281783851362</x:v>
      </x:c>
      <x:c r="C246" t="str">
        <x:v>Doruk Hastaneleri - SİNA ÖZEL Sağlık Hizmetleri A.ş</x:v>
      </x:c>
      <x:c r="D246" t="str">
        <x:v>120246476228800399</x:v>
      </x:c>
      <x:c r="E246" t="str">
        <x:v>FTR Yatılı - lead</x:v>
      </x:c>
      <x:c r="F246" t="str">
        <x:v>OUTCOME_LEADS</x:v>
      </x:c>
      <x:c r="G246" t="n">
        <x:v>10520</x:v>
      </x:c>
      <x:c r="H246" s="28" t="n">
        <x:v>754.22</x:v>
      </x:c>
      <x:c r="I246" t="n">
        <x:v>11160</x:v>
      </x:c>
      <x:c r="J246" t="n">
        <x:v>58</x:v>
      </x:c>
      <x:c r="K246" t="n">
        <x:v>29</x:v>
      </x:c>
      <x:c r="L246" s="27" t="n">
        <x:f>IFERROR(K246/I246,0)</x:f>
        <x:v>0.0025985663082437275</x:v>
      </x:c>
      <x:c r="M246" s="28" t="n">
        <x:f>IFERROR(H246/K246,0)</x:f>
        <x:v>26.00758620689655</x:v>
      </x:c>
      <x:c r="N246" s="28" t="n">
        <x:f>IFERROR(H246/I246*1000,0)</x:f>
        <x:v>67.58243727598565</x:v>
      </x:c>
      <x:c r="O246" t="n">
        <x:v>1.060837</x:v>
      </x:c>
      <x:c r="P246" t="n">
        <x:v>2</x:v>
      </x:c>
      <x:c r="Q246" s="28" t="n">
        <x:v>0</x:v>
      </x:c>
      <x:c r="R246" s="28" t="n">
        <x:v>0</x:v>
      </x:c>
    </x:row>
    <x:row r="247">
      <x:c r="A247" t="str">
        <x:v>2026-07-21</x:v>
      </x:c>
      <x:c r="B247" t="str">
        <x:v>449281783851362</x:v>
      </x:c>
      <x:c r="C247" t="str">
        <x:v>Doruk Hastaneleri - SİNA ÖZEL Sağlık Hizmetleri A.ş</x:v>
      </x:c>
      <x:c r="D247" t="str">
        <x:v>120246691590090399</x:v>
      </x:c>
      <x:c r="E247" t="str">
        <x:v>Hemşire İş Başvuru - lead</x:v>
      </x:c>
      <x:c r="F247" t="str">
        <x:v>OUTCOME_LEADS</x:v>
      </x:c>
      <x:c r="G247" t="n">
        <x:v>4295</x:v>
      </x:c>
      <x:c r="H247" s="28" t="n">
        <x:v>239.24</x:v>
      </x:c>
      <x:c r="I247" t="n">
        <x:v>5238</x:v>
      </x:c>
      <x:c r="J247" t="n">
        <x:v>37</x:v>
      </x:c>
      <x:c r="K247" t="n">
        <x:v>19</x:v>
      </x:c>
      <x:c r="L247" s="27" t="n">
        <x:f>IFERROR(K247/I247,0)</x:f>
        <x:v>0.0036273386788850705</x:v>
      </x:c>
      <x:c r="M247" s="28" t="n">
        <x:f>IFERROR(H247/K247,0)</x:f>
        <x:v>12.591578947368422</x:v>
      </x:c>
      <x:c r="N247" s="28" t="n">
        <x:f>IFERROR(H247/I247*1000,0)</x:f>
        <x:v>45.67392134402444</x:v>
      </x:c>
      <x:c r="O247" t="n">
        <x:v>1.219558</x:v>
      </x:c>
      <x:c r="P247" t="n">
        <x:v>2</x:v>
      </x:c>
      <x:c r="Q247" s="28" t="n">
        <x:v>0</x:v>
      </x:c>
      <x:c r="R247" s="28" t="n">
        <x:v>0</x:v>
      </x:c>
    </x:row>
    <x:row r="248">
      <x:c r="A248" t="str">
        <x:v>2026-07-21</x:v>
      </x:c>
      <x:c r="B248" t="str">
        <x:v>449281783851362</x:v>
      </x:c>
      <x:c r="C248" t="str">
        <x:v>Doruk Hastaneleri - SİNA ÖZEL Sağlık Hizmetleri A.ş</x:v>
      </x:c>
      <x:c r="D248" t="str">
        <x:v>120246924981440399</x:v>
      </x:c>
      <x:c r="E248" t="str">
        <x:v>ÖSS-TSS - marka bilinirliği</x:v>
      </x:c>
      <x:c r="F248" t="str">
        <x:v>OUTCOME_AWARENESS</x:v>
      </x:c>
      <x:c r="G248" t="n">
        <x:v>36670</x:v>
      </x:c>
      <x:c r="H248" s="28" t="n">
        <x:v>408.31</x:v>
      </x:c>
      <x:c r="I248" t="n">
        <x:v>37292</x:v>
      </x:c>
      <x:c r="J248" t="n">
        <x:v>36</x:v>
      </x:c>
      <x:c r="K248" t="n">
        <x:v>6</x:v>
      </x:c>
      <x:c r="L248" s="27" t="n">
        <x:f>IFERROR(K248/I248,0)</x:f>
        <x:v>0.0001608924166040974</x:v>
      </x:c>
      <x:c r="M248" s="28" t="n">
        <x:f>IFERROR(H248/K248,0)</x:f>
        <x:v>68.05166666666666</x:v>
      </x:c>
      <x:c r="N248" s="28" t="n">
        <x:f>IFERROR(H248/I248*1000,0)</x:f>
        <x:v>10.948997103936502</x:v>
      </x:c>
      <x:c r="O248" t="n">
        <x:v>1.016962</x:v>
      </x:c>
      <x:c r="P248" t="n">
        <x:v>0</x:v>
      </x:c>
      <x:c r="Q248" s="28" t="n">
        <x:v>0</x:v>
      </x:c>
      <x:c r="R248" s="28" t="n">
        <x:v>0</x:v>
      </x:c>
    </x:row>
    <x:row r="249">
      <x:c r="A249" t="str">
        <x:v>2026-07-21</x:v>
      </x:c>
      <x:c r="B249" t="str">
        <x:v>449281783851362</x:v>
      </x:c>
      <x:c r="C249" t="str">
        <x:v>Doruk Hastaneleri - SİNA ÖZEL Sağlık Hizmetleri A.ş</x:v>
      </x:c>
      <x:c r="D249" t="str">
        <x:v>120247034876600399</x:v>
      </x:c>
      <x:c r="E249" t="str">
        <x:v>Gebe-Doğum Bilinirlik</x:v>
      </x:c>
      <x:c r="F249" t="str">
        <x:v>OUTCOME_AWARENESS</x:v>
      </x:c>
      <x:c r="G249" t="n">
        <x:v>26160</x:v>
      </x:c>
      <x:c r="H249" s="28" t="n">
        <x:v>234.53</x:v>
      </x:c>
      <x:c r="I249" t="n">
        <x:v>26160</x:v>
      </x:c>
      <x:c r="J249" t="n">
        <x:v>13</x:v>
      </x:c>
      <x:c r="K249" t="n">
        <x:v>0</x:v>
      </x:c>
      <x:c r="L249" s="27" t="n">
        <x:f>IFERROR(K249/I249,0)</x:f>
        <x:v>0</x:v>
      </x:c>
      <x:c r="M249" s="28" t="n">
        <x:f>IFERROR(H249/K249,0)</x:f>
        <x:v>0</x:v>
      </x:c>
      <x:c r="N249" s="28" t="n">
        <x:f>IFERROR(H249/I249*1000,0)</x:f>
        <x:v>8.965214067278287</x:v>
      </x:c>
      <x:c r="O249" t="n">
        <x:v>1</x:v>
      </x:c>
      <x:c r="P249" t="n">
        <x:v>0</x:v>
      </x:c>
      <x:c r="Q249" s="28" t="n">
        <x:v>0</x:v>
      </x:c>
      <x:c r="R249" s="28" t="n">
        <x:v>0</x:v>
      </x:c>
    </x:row>
    <x:row r="250">
      <x:c r="A250" t="str">
        <x:v>2026-07-21</x:v>
      </x:c>
      <x:c r="B250" t="str">
        <x:v>449281783851362</x:v>
      </x:c>
      <x:c r="C250" t="str">
        <x:v>Doruk Hastaneleri - SİNA ÖZEL Sağlık Hizmetleri A.ş</x:v>
      </x:c>
      <x:c r="D250" t="str">
        <x:v>120248812698040399</x:v>
      </x:c>
      <x:c r="E250" t="str">
        <x:v>ABO / Medikal Estetik lead / 16.04.2026</x:v>
      </x:c>
      <x:c r="F250" t="str">
        <x:v>OUTCOME_LEADS</x:v>
      </x:c>
      <x:c r="G250" t="n">
        <x:v>5757</x:v>
      </x:c>
      <x:c r="H250" s="28" t="n">
        <x:v>745.41</x:v>
      </x:c>
      <x:c r="I250" t="n">
        <x:v>6525</x:v>
      </x:c>
      <x:c r="J250" t="n">
        <x:v>74</x:v>
      </x:c>
      <x:c r="K250" t="n">
        <x:v>30</x:v>
      </x:c>
      <x:c r="L250" s="27" t="n">
        <x:f>IFERROR(K250/I250,0)</x:f>
        <x:v>0.004597701149425287</x:v>
      </x:c>
      <x:c r="M250" s="28" t="n">
        <x:f>IFERROR(H250/K250,0)</x:f>
        <x:v>24.846999999999998</x:v>
      </x:c>
      <x:c r="N250" s="28" t="n">
        <x:f>IFERROR(H250/I250*1000,0)</x:f>
        <x:v>114.23908045977011</x:v>
      </x:c>
      <x:c r="O250" t="n">
        <x:v>1.133403</x:v>
      </x:c>
      <x:c r="P250" t="n">
        <x:v>7</x:v>
      </x:c>
      <x:c r="Q250" s="28" t="n">
        <x:v>0</x:v>
      </x:c>
      <x:c r="R250" s="28" t="n">
        <x:v>0</x:v>
      </x:c>
    </x:row>
    <x:row r="251">
      <x:c r="A251" t="str">
        <x:v>2026-07-21</x:v>
      </x:c>
      <x:c r="B251" t="str">
        <x:v>449281783851362</x:v>
      </x:c>
      <x:c r="C251" t="str">
        <x:v>Doruk Hastaneleri - SİNA ÖZEL Sağlık Hizmetleri A.ş</x:v>
      </x:c>
      <x:c r="D251" t="str">
        <x:v>120249061996540399</x:v>
      </x:c>
      <x:c r="E251" t="str">
        <x:v>Doktor - Bilinirlik Kampanyası - Nilüfer</x:v>
      </x:c>
      <x:c r="F251" t="str">
        <x:v>OUTCOME_AWARENESS</x:v>
      </x:c>
      <x:c r="G251" t="n">
        <x:v>90307</x:v>
      </x:c>
      <x:c r="H251" s="28" t="n">
        <x:v>824.79</x:v>
      </x:c>
      <x:c r="I251" t="n">
        <x:v>95324</x:v>
      </x:c>
      <x:c r="J251" t="n">
        <x:v>51</x:v>
      </x:c>
      <x:c r="K251" t="n">
        <x:v>1</x:v>
      </x:c>
      <x:c r="L251" s="27" t="n">
        <x:f>IFERROR(K251/I251,0)</x:f>
        <x:v>0.0000104905375351433</x:v>
      </x:c>
      <x:c r="M251" s="28" t="n">
        <x:f>IFERROR(H251/K251,0)</x:f>
        <x:v>824.79</x:v>
      </x:c>
      <x:c r="N251" s="28" t="n">
        <x:f>IFERROR(H251/I251*1000,0)</x:f>
        <x:v>8.652490453610842</x:v>
      </x:c>
      <x:c r="O251" t="n">
        <x:v>1.055555</x:v>
      </x:c>
      <x:c r="P251" t="n">
        <x:v>0</x:v>
      </x:c>
      <x:c r="Q251" s="28" t="n">
        <x:v>0</x:v>
      </x:c>
      <x:c r="R251" s="28" t="n">
        <x:v>0</x:v>
      </x:c>
    </x:row>
    <x:row r="252">
      <x:c r="A252" t="str">
        <x:v>2026-07-21</x:v>
      </x:c>
      <x:c r="B252" t="str">
        <x:v>449281783851362</x:v>
      </x:c>
      <x:c r="C252" t="str">
        <x:v>Doruk Hastaneleri - SİNA ÖZEL Sağlık Hizmetleri A.ş</x:v>
      </x:c>
      <x:c r="D252" t="str">
        <x:v>120249614228610399</x:v>
      </x:c>
      <x:c r="E252" t="str">
        <x:v>Instagram gönderisi: Bir sezon boyunca ortaya...</x:v>
      </x:c>
      <x:c r="F252" t="str">
        <x:v>LINK_CLICKS</x:v>
      </x:c>
      <x:c r="G252" t="n">
        <x:v>23149</x:v>
      </x:c>
      <x:c r="H252" s="28" t="n">
        <x:v>1149.79</x:v>
      </x:c>
      <x:c r="I252" t="n">
        <x:v>24954</x:v>
      </x:c>
      <x:c r="J252" t="n">
        <x:v>260</x:v>
      </x:c>
      <x:c r="K252" t="n">
        <x:v>263</x:v>
      </x:c>
      <x:c r="L252" s="27" t="n">
        <x:f>IFERROR(K252/I252,0)</x:f>
        <x:v>0.010539392482167188</x:v>
      </x:c>
      <x:c r="M252" s="28" t="n">
        <x:f>IFERROR(H252/K252,0)</x:f>
        <x:v>4.371825095057034</x:v>
      </x:c>
      <x:c r="N252" s="28" t="n">
        <x:f>IFERROR(H252/I252*1000,0)</x:f>
        <x:v>46.07638054019395</x:v>
      </x:c>
      <x:c r="O252" t="n">
        <x:v>1.077973</x:v>
      </x:c>
      <x:c r="P252" t="n">
        <x:v>0</x:v>
      </x:c>
      <x:c r="Q252" s="28" t="n">
        <x:v>0</x:v>
      </x:c>
      <x:c r="R252" s="28" t="n">
        <x:v>0</x:v>
      </x:c>
    </x:row>
    <x:row r="253">
      <x:c r="A253" t="str">
        <x:v>2026-07-21</x:v>
      </x:c>
      <x:c r="B253" t="str">
        <x:v>449281783851362</x:v>
      </x:c>
      <x:c r="C253" t="str">
        <x:v>Doruk Hastaneleri - SİNA ÖZEL Sağlık Hizmetleri A.ş</x:v>
      </x:c>
      <x:c r="D253" t="str">
        <x:v>120251414264130399</x:v>
      </x:c>
      <x:c r="E253" t="str">
        <x:v>Prostat Checkup - lead</x:v>
      </x:c>
      <x:c r="F253" t="str">
        <x:v>OUTCOME_LEADS</x:v>
      </x:c>
      <x:c r="G253" t="n">
        <x:v>3089</x:v>
      </x:c>
      <x:c r="H253" s="28" t="n">
        <x:v>186.88</x:v>
      </x:c>
      <x:c r="I253" t="n">
        <x:v>3270</x:v>
      </x:c>
      <x:c r="J253" t="n">
        <x:v>84</x:v>
      </x:c>
      <x:c r="K253" t="n">
        <x:v>27</x:v>
      </x:c>
      <x:c r="L253" s="27" t="n">
        <x:f>IFERROR(K253/I253,0)</x:f>
        <x:v>0.008256880733944955</x:v>
      </x:c>
      <x:c r="M253" s="28" t="n">
        <x:f>IFERROR(H253/K253,0)</x:f>
        <x:v>6.921481481481481</x:v>
      </x:c>
      <x:c r="N253" s="28" t="n">
        <x:f>IFERROR(H253/I253*1000,0)</x:f>
        <x:v>57.14984709480122</x:v>
      </x:c>
      <x:c r="O253" t="n">
        <x:v>1.058595</x:v>
      </x:c>
      <x:c r="P253" t="n">
        <x:v>3</x:v>
      </x:c>
      <x:c r="Q253" s="28" t="n">
        <x:v>0</x:v>
      </x:c>
      <x:c r="R253" s="28" t="n">
        <x:v>0</x:v>
      </x:c>
    </x:row>
    <x:row r="254">
      <x:c r="A254" t="str">
        <x:v>2026-07-21</x:v>
      </x:c>
      <x:c r="B254" t="str">
        <x:v>449281783851362</x:v>
      </x:c>
      <x:c r="C254" t="str">
        <x:v>Doruk Hastaneleri - SİNA ÖZEL Sağlık Hizmetleri A.ş</x:v>
      </x:c>
      <x:c r="D254" t="str">
        <x:v>120252323141170399</x:v>
      </x:c>
      <x:c r="E254" t="str">
        <x:v>Instagram gönderisi: Medikal estetik alanındaki...</x:v>
      </x:c>
      <x:c r="F254" t="str">
        <x:v>LINK_CLICKS</x:v>
      </x:c>
      <x:c r="G254" t="n">
        <x:v>1784</x:v>
      </x:c>
      <x:c r="H254" s="28" t="n">
        <x:v>119.9</x:v>
      </x:c>
      <x:c r="I254" t="n">
        <x:v>1813</x:v>
      </x:c>
      <x:c r="J254" t="n">
        <x:v>30</x:v>
      </x:c>
      <x:c r="K254" t="n">
        <x:v>32</x:v>
      </x:c>
      <x:c r="L254" s="27" t="n">
        <x:f>IFERROR(K254/I254,0)</x:f>
        <x:v>0.01765030336458908</x:v>
      </x:c>
      <x:c r="M254" s="28" t="n">
        <x:f>IFERROR(H254/K254,0)</x:f>
        <x:v>3.746875</x:v>
      </x:c>
      <x:c r="N254" s="28" t="n">
        <x:f>IFERROR(H254/I254*1000,0)</x:f>
        <x:v>66.1334804191947</x:v>
      </x:c>
      <x:c r="O254" t="n">
        <x:v>1.016256</x:v>
      </x:c>
      <x:c r="P254" t="n">
        <x:v>0</x:v>
      </x:c>
      <x:c r="Q254" s="28" t="n">
        <x:v>0</x:v>
      </x:c>
      <x:c r="R254" s="28" t="n">
        <x:v>0</x:v>
      </x:c>
    </x:row>
    <x:row r="255">
      <x:c r="A255" t="str">
        <x:v>2026-07-21</x:v>
      </x:c>
      <x:c r="B255" t="str">
        <x:v>449281783851362</x:v>
      </x:c>
      <x:c r="C255" t="str">
        <x:v>Doruk Hastaneleri - SİNA ÖZEL Sağlık Hizmetleri A.ş</x:v>
      </x:c>
      <x:c r="D255" t="str">
        <x:v>120255099624540399</x:v>
      </x:c>
      <x:c r="E255" t="str">
        <x:v>Instagram gönderisi: Doruk Sağlık Grubu olarak,...</x:v>
      </x:c>
      <x:c r="F255" t="str">
        <x:v>LINK_CLICKS</x:v>
      </x:c>
      <x:c r="G255" t="n">
        <x:v>15750</x:v>
      </x:c>
      <x:c r="H255" s="28" t="n">
        <x:v>878.43</x:v>
      </x:c>
      <x:c r="I255" t="n">
        <x:v>16640</x:v>
      </x:c>
      <x:c r="J255" t="n">
        <x:v>187</x:v>
      </x:c>
      <x:c r="K255" t="n">
        <x:v>192</x:v>
      </x:c>
      <x:c r="L255" s="27" t="n">
        <x:f>IFERROR(K255/I255,0)</x:f>
        <x:v>0.011538461538461539</x:v>
      </x:c>
      <x:c r="M255" s="28" t="n">
        <x:f>IFERROR(H255/K255,0)</x:f>
        <x:v>4.57515625</x:v>
      </x:c>
      <x:c r="N255" s="28" t="n">
        <x:f>IFERROR(H255/I255*1000,0)</x:f>
        <x:v>52.79026442307692</x:v>
      </x:c>
      <x:c r="O255" t="n">
        <x:v>1.056508</x:v>
      </x:c>
      <x:c r="P255" t="n">
        <x:v>0</x:v>
      </x:c>
      <x:c r="Q255" s="28" t="n">
        <x:v>0</x:v>
      </x:c>
      <x:c r="R255" s="28" t="n">
        <x:v>0</x:v>
      </x:c>
    </x:row>
    <x:row r="256">
      <x:c r="A256" t="str">
        <x:v>2026-07-21</x:v>
      </x:c>
      <x:c r="B256" t="str">
        <x:v>449281783851362</x:v>
      </x:c>
      <x:c r="C256" t="str">
        <x:v>Doruk Hastaneleri - SİNA ÖZEL Sağlık Hizmetleri A.ş</x:v>
      </x:c>
      <x:c r="D256" t="str">
        <x:v>120255158812950399</x:v>
      </x:c>
      <x:c r="E256" t="str">
        <x:v>Doktor - Bilinirlik Kampanyası - Yıldırım</x:v>
      </x:c>
      <x:c r="F256" t="str">
        <x:v>OUTCOME_AWARENESS</x:v>
      </x:c>
      <x:c r="G256" t="n">
        <x:v>43326</x:v>
      </x:c>
      <x:c r="H256" s="28" t="n">
        <x:v>382.36</x:v>
      </x:c>
      <x:c r="I256" t="n">
        <x:v>44263</x:v>
      </x:c>
      <x:c r="J256" t="n">
        <x:v>21</x:v>
      </x:c>
      <x:c r="K256" t="n">
        <x:v>0</x:v>
      </x:c>
      <x:c r="L256" s="27" t="n">
        <x:f>IFERROR(K256/I256,0)</x:f>
        <x:v>0</x:v>
      </x:c>
      <x:c r="M256" s="28" t="n">
        <x:f>IFERROR(H256/K256,0)</x:f>
        <x:v>0</x:v>
      </x:c>
      <x:c r="N256" s="28" t="n">
        <x:f>IFERROR(H256/I256*1000,0)</x:f>
        <x:v>8.6383661297246</x:v>
      </x:c>
      <x:c r="O256" t="n">
        <x:v>1.021627</x:v>
      </x:c>
      <x:c r="P256" t="n">
        <x:v>0</x:v>
      </x:c>
      <x:c r="Q256" s="28" t="n">
        <x:v>0</x:v>
      </x:c>
      <x:c r="R256" s="28" t="n">
        <x:v>0</x:v>
      </x:c>
    </x:row>
    <x:row r="257">
      <x:c r="A257" t="str">
        <x:v>2026-07-22</x:v>
      </x:c>
      <x:c r="B257" t="str">
        <x:v>449281783851362</x:v>
      </x:c>
      <x:c r="C257" t="str">
        <x:v>Doruk Hastaneleri - SİNA ÖZEL Sağlık Hizmetleri A.ş</x:v>
      </x:c>
      <x:c r="D257" t="str">
        <x:v>120202624613730399</x:v>
      </x:c>
      <x:c r="E257" t="str">
        <x:v>CBO / Saç Ekimi - lead / soğuk</x:v>
      </x:c>
      <x:c r="F257" t="str">
        <x:v>OUTCOME_LEADS</x:v>
      </x:c>
      <x:c r="G257" t="n">
        <x:v>3278</x:v>
      </x:c>
      <x:c r="H257" s="28" t="n">
        <x:v>595.91</x:v>
      </x:c>
      <x:c r="I257" t="n">
        <x:v>4551</x:v>
      </x:c>
      <x:c r="J257" t="n">
        <x:v>22</x:v>
      </x:c>
      <x:c r="K257" t="n">
        <x:v>11</x:v>
      </x:c>
      <x:c r="L257" s="27" t="n">
        <x:f>IFERROR(K257/I257,0)</x:f>
        <x:v>0.0024170511975390024</x:v>
      </x:c>
      <x:c r="M257" s="28" t="n">
        <x:f>IFERROR(H257/K257,0)</x:f>
        <x:v>54.17363636363636</x:v>
      </x:c>
      <x:c r="N257" s="28" t="n">
        <x:f>IFERROR(H257/I257*1000,0)</x:f>
        <x:v>130.94045264776972</x:v>
      </x:c>
      <x:c r="O257" t="n">
        <x:v>1.388347</x:v>
      </x:c>
      <x:c r="P257" t="n">
        <x:v>1</x:v>
      </x:c>
      <x:c r="Q257" s="28" t="n">
        <x:v>0</x:v>
      </x:c>
      <x:c r="R257" s="28" t="n">
        <x:v>0</x:v>
      </x:c>
    </x:row>
    <x:row r="258">
      <x:c r="A258" t="str">
        <x:v>2026-07-22</x:v>
      </x:c>
      <x:c r="B258" t="str">
        <x:v>449281783851362</x:v>
      </x:c>
      <x:c r="C258" t="str">
        <x:v>Doruk Hastaneleri - SİNA ÖZEL Sağlık Hizmetleri A.ş</x:v>
      </x:c>
      <x:c r="D258" t="str">
        <x:v>120211731920800399</x:v>
      </x:c>
      <x:c r="E258" t="str">
        <x:v>ABO / Göz Kapağı Estetiği / plastik cerrahi / lead</x:v>
      </x:c>
      <x:c r="F258" t="str">
        <x:v>OUTCOME_LEADS</x:v>
      </x:c>
      <x:c r="G258" t="n">
        <x:v>1182</x:v>
      </x:c>
      <x:c r="H258" s="28" t="n">
        <x:v>143.51</x:v>
      </x:c>
      <x:c r="I258" t="n">
        <x:v>1414</x:v>
      </x:c>
      <x:c r="J258" t="n">
        <x:v>7</x:v>
      </x:c>
      <x:c r="K258" t="n">
        <x:v>3</x:v>
      </x:c>
      <x:c r="L258" s="27" t="n">
        <x:f>IFERROR(K258/I258,0)</x:f>
        <x:v>0.0021216407355021216</x:v>
      </x:c>
      <x:c r="M258" s="28" t="n">
        <x:f>IFERROR(H258/K258,0)</x:f>
        <x:v>47.836666666666666</x:v>
      </x:c>
      <x:c r="N258" s="28" t="n">
        <x:f>IFERROR(H258/I258*1000,0)</x:f>
        <x:v>101.49222065063648</x:v>
      </x:c>
      <x:c r="O258" t="n">
        <x:v>1.196278</x:v>
      </x:c>
      <x:c r="P258" t="n">
        <x:v>0</x:v>
      </x:c>
      <x:c r="Q258" s="28" t="n">
        <x:v>0</x:v>
      </x:c>
      <x:c r="R258" s="28" t="n">
        <x:v>0</x:v>
      </x:c>
    </x:row>
    <x:row r="259">
      <x:c r="A259" t="str">
        <x:v>2026-07-22</x:v>
      </x:c>
      <x:c r="B259" t="str">
        <x:v>449281783851362</x:v>
      </x:c>
      <x:c r="C259" t="str">
        <x:v>Doruk Hastaneleri - SİNA ÖZEL Sağlık Hizmetleri A.ş</x:v>
      </x:c>
      <x:c r="D259" t="str">
        <x:v>120211732243050399</x:v>
      </x:c>
      <x:c r="E259" t="str">
        <x:v>ABO /Kepçe Kulak / plastik cerrahi / lead</x:v>
      </x:c>
      <x:c r="F259" t="str">
        <x:v>OUTCOME_LEADS</x:v>
      </x:c>
      <x:c r="G259" t="n">
        <x:v>3332</x:v>
      </x:c>
      <x:c r="H259" s="28" t="n">
        <x:v>143.99</x:v>
      </x:c>
      <x:c r="I259" t="n">
        <x:v>3575</x:v>
      </x:c>
      <x:c r="J259" t="n">
        <x:v>6</x:v>
      </x:c>
      <x:c r="K259" t="n">
        <x:v>5</x:v>
      </x:c>
      <x:c r="L259" s="27" t="n">
        <x:f>IFERROR(K259/I259,0)</x:f>
        <x:v>0.0013986013986013986</x:v>
      </x:c>
      <x:c r="M259" s="28" t="n">
        <x:f>IFERROR(H259/K259,0)</x:f>
        <x:v>28.798000000000002</x:v>
      </x:c>
      <x:c r="N259" s="28" t="n">
        <x:f>IFERROR(H259/I259*1000,0)</x:f>
        <x:v>40.276923076923076</x:v>
      </x:c>
      <x:c r="O259" t="n">
        <x:v>1.072929</x:v>
      </x:c>
      <x:c r="P259" t="n">
        <x:v>0</x:v>
      </x:c>
      <x:c r="Q259" s="28" t="n">
        <x:v>0</x:v>
      </x:c>
      <x:c r="R259" s="28" t="n">
        <x:v>0</x:v>
      </x:c>
    </x:row>
    <x:row r="260">
      <x:c r="A260" t="str">
        <x:v>2026-07-22</x:v>
      </x:c>
      <x:c r="B260" t="str">
        <x:v>449281783851362</x:v>
      </x:c>
      <x:c r="C260" t="str">
        <x:v>Doruk Hastaneleri - SİNA ÖZEL Sağlık Hizmetleri A.ş</x:v>
      </x:c>
      <x:c r="D260" t="str">
        <x:v>120211732311210399</x:v>
      </x:c>
      <x:c r="E260" t="str">
        <x:v>ABO / Meme Estetiği / plastik cerrahi / lead</x:v>
      </x:c>
      <x:c r="F260" t="str">
        <x:v>OUTCOME_LEADS</x:v>
      </x:c>
      <x:c r="G260" t="n">
        <x:v>3772</x:v>
      </x:c>
      <x:c r="H260" s="28" t="n">
        <x:v>578.83</x:v>
      </x:c>
      <x:c r="I260" t="n">
        <x:v>4618</x:v>
      </x:c>
      <x:c r="J260" t="n">
        <x:v>30</x:v>
      </x:c>
      <x:c r="K260" t="n">
        <x:v>17</x:v>
      </x:c>
      <x:c r="L260" s="27" t="n">
        <x:f>IFERROR(K260/I260,0)</x:f>
        <x:v>0.0036812472932005198</x:v>
      </x:c>
      <x:c r="M260" s="28" t="n">
        <x:f>IFERROR(H260/K260,0)</x:f>
        <x:v>34.04882352941177</x:v>
      </x:c>
      <x:c r="N260" s="28" t="n">
        <x:f>IFERROR(H260/I260*1000,0)</x:f>
        <x:v>125.34213945430922</x:v>
      </x:c>
      <x:c r="O260" t="n">
        <x:v>1.224284</x:v>
      </x:c>
      <x:c r="P260" t="n">
        <x:v>2</x:v>
      </x:c>
      <x:c r="Q260" s="28" t="n">
        <x:v>0</x:v>
      </x:c>
      <x:c r="R260" s="28" t="n">
        <x:v>0</x:v>
      </x:c>
    </x:row>
    <x:row r="261">
      <x:c r="A261" t="str">
        <x:v>2026-07-22</x:v>
      </x:c>
      <x:c r="B261" t="str">
        <x:v>449281783851362</x:v>
      </x:c>
      <x:c r="C261" t="str">
        <x:v>Doruk Hastaneleri - SİNA ÖZEL Sağlık Hizmetleri A.ş</x:v>
      </x:c>
      <x:c r="D261" t="str">
        <x:v>120211732618490399</x:v>
      </x:c>
      <x:c r="E261" t="str">
        <x:v>ABO /Jinekomasti / plastik cerrahi / lead</x:v>
      </x:c>
      <x:c r="F261" t="str">
        <x:v>OUTCOME_LEADS</x:v>
      </x:c>
      <x:c r="G261" t="n">
        <x:v>1189</x:v>
      </x:c>
      <x:c r="H261" s="28" t="n">
        <x:v>147.4</x:v>
      </x:c>
      <x:c r="I261" t="n">
        <x:v>1417</x:v>
      </x:c>
      <x:c r="J261" t="n">
        <x:v>9</x:v>
      </x:c>
      <x:c r="K261" t="n">
        <x:v>6</x:v>
      </x:c>
      <x:c r="L261" s="27" t="n">
        <x:f>IFERROR(K261/I261,0)</x:f>
        <x:v>0.004234297812279464</x:v>
      </x:c>
      <x:c r="M261" s="28" t="n">
        <x:f>IFERROR(H261/K261,0)</x:f>
        <x:v>24.566666666666666</x:v>
      </x:c>
      <x:c r="N261" s="28" t="n">
        <x:f>IFERROR(H261/I261*1000,0)</x:f>
        <x:v>104.0225829216655</x:v>
      </x:c>
      <x:c r="O261" t="n">
        <x:v>1.191758</x:v>
      </x:c>
      <x:c r="P261" t="n">
        <x:v>1</x:v>
      </x:c>
      <x:c r="Q261" s="28" t="n">
        <x:v>0</x:v>
      </x:c>
      <x:c r="R261" s="28" t="n">
        <x:v>0</x:v>
      </x:c>
    </x:row>
    <x:row r="262">
      <x:c r="A262" t="str">
        <x:v>2026-07-22</x:v>
      </x:c>
      <x:c r="B262" t="str">
        <x:v>449281783851362</x:v>
      </x:c>
      <x:c r="C262" t="str">
        <x:v>Doruk Hastaneleri - SİNA ÖZEL Sağlık Hizmetleri A.ş</x:v>
      </x:c>
      <x:c r="D262" t="str">
        <x:v>120211732654260399</x:v>
      </x:c>
      <x:c r="E262" t="str">
        <x:v>ABO / Rinoplasti / plastik cerrahi / lead</x:v>
      </x:c>
      <x:c r="F262" t="str">
        <x:v>OUTCOME_LEADS</x:v>
      </x:c>
      <x:c r="G262" t="n">
        <x:v>2336</x:v>
      </x:c>
      <x:c r="H262" s="28" t="n">
        <x:v>519.88</x:v>
      </x:c>
      <x:c r="I262" t="n">
        <x:v>2973</x:v>
      </x:c>
      <x:c r="J262" t="n">
        <x:v>22</x:v>
      </x:c>
      <x:c r="K262" t="n">
        <x:v>13</x:v>
      </x:c>
      <x:c r="L262" s="27" t="n">
        <x:f>IFERROR(K262/I262,0)</x:f>
        <x:v>0.004372687521022536</x:v>
      </x:c>
      <x:c r="M262" s="28" t="n">
        <x:f>IFERROR(H262/K262,0)</x:f>
        <x:v>39.99076923076923</x:v>
      </x:c>
      <x:c r="N262" s="28" t="n">
        <x:f>IFERROR(H262/I262*1000,0)</x:f>
        <x:v>174.86713757147663</x:v>
      </x:c>
      <x:c r="O262" t="n">
        <x:v>1.272688</x:v>
      </x:c>
      <x:c r="P262" t="n">
        <x:v>0</x:v>
      </x:c>
      <x:c r="Q262" s="28" t="n">
        <x:v>0</x:v>
      </x:c>
      <x:c r="R262" s="28" t="n">
        <x:v>0</x:v>
      </x:c>
    </x:row>
    <x:row r="263">
      <x:c r="A263" t="str">
        <x:v>2026-07-22</x:v>
      </x:c>
      <x:c r="B263" t="str">
        <x:v>449281783851362</x:v>
      </x:c>
      <x:c r="C263" t="str">
        <x:v>Doruk Hastaneleri - SİNA ÖZEL Sağlık Hizmetleri A.ş</x:v>
      </x:c>
      <x:c r="D263" t="str">
        <x:v>120211732712890399</x:v>
      </x:c>
      <x:c r="E263" t="str">
        <x:v>ABO / Vücut Şekillendirme / plastik cerrahi / lead</x:v>
      </x:c>
      <x:c r="F263" t="str">
        <x:v>OUTCOME_LEADS</x:v>
      </x:c>
      <x:c r="G263" t="n">
        <x:v>525</x:v>
      </x:c>
      <x:c r="H263" s="28" t="n">
        <x:v>149.08</x:v>
      </x:c>
      <x:c r="I263" t="n">
        <x:v>685</x:v>
      </x:c>
      <x:c r="J263" t="n">
        <x:v>4</x:v>
      </x:c>
      <x:c r="K263" t="n">
        <x:v>3</x:v>
      </x:c>
      <x:c r="L263" s="27" t="n">
        <x:f>IFERROR(K263/I263,0)</x:f>
        <x:v>0.004379562043795621</x:v>
      </x:c>
      <x:c r="M263" s="28" t="n">
        <x:f>IFERROR(H263/K263,0)</x:f>
        <x:v>49.693333333333335</x:v>
      </x:c>
      <x:c r="N263" s="28" t="n">
        <x:f>IFERROR(H263/I263*1000,0)</x:f>
        <x:v>217.63503649635038</x:v>
      </x:c>
      <x:c r="O263" t="n">
        <x:v>1.304762</x:v>
      </x:c>
      <x:c r="P263" t="n">
        <x:v>1</x:v>
      </x:c>
      <x:c r="Q263" s="28" t="n">
        <x:v>0</x:v>
      </x:c>
      <x:c r="R263" s="28" t="n">
        <x:v>0</x:v>
      </x:c>
    </x:row>
    <x:row r="264">
      <x:c r="A264" t="str">
        <x:v>2026-07-22</x:v>
      </x:c>
      <x:c r="B264" t="str">
        <x:v>449281783851362</x:v>
      </x:c>
      <x:c r="C264" t="str">
        <x:v>Doruk Hastaneleri - SİNA ÖZEL Sağlık Hizmetleri A.ş</x:v>
      </x:c>
      <x:c r="D264" t="str">
        <x:v>120211732754080399</x:v>
      </x:c>
      <x:c r="E264" t="str">
        <x:v>ABO / Yüz Germe (Facelift) / plastik cerrahi / lead</x:v>
      </x:c>
      <x:c r="F264" t="str">
        <x:v>OUTCOME_LEADS</x:v>
      </x:c>
      <x:c r="G264" t="n">
        <x:v>338</x:v>
      </x:c>
      <x:c r="H264" s="28" t="n">
        <x:v>174.15</x:v>
      </x:c>
      <x:c r="I264" t="n">
        <x:v>442</x:v>
      </x:c>
      <x:c r="J264" t="n">
        <x:v>6</x:v>
      </x:c>
      <x:c r="K264" t="n">
        <x:v>1</x:v>
      </x:c>
      <x:c r="L264" s="27" t="n">
        <x:f>IFERROR(K264/I264,0)</x:f>
        <x:v>0.0022624434389140274</x:v>
      </x:c>
      <x:c r="M264" s="28" t="n">
        <x:f>IFERROR(H264/K264,0)</x:f>
        <x:v>174.15</x:v>
      </x:c>
      <x:c r="N264" s="28" t="n">
        <x:f>IFERROR(H264/I264*1000,0)</x:f>
        <x:v>394.0045248868778</x:v>
      </x:c>
      <x:c r="O264" t="n">
        <x:v>1.307692</x:v>
      </x:c>
      <x:c r="P264" t="n">
        <x:v>0</x:v>
      </x:c>
      <x:c r="Q264" s="28" t="n">
        <x:v>0</x:v>
      </x:c>
      <x:c r="R264" s="28" t="n">
        <x:v>0</x:v>
      </x:c>
    </x:row>
    <x:row r="265">
      <x:c r="A265" t="str">
        <x:v>2026-07-22</x:v>
      </x:c>
      <x:c r="B265" t="str">
        <x:v>449281783851362</x:v>
      </x:c>
      <x:c r="C265" t="str">
        <x:v>Doruk Hastaneleri - SİNA ÖZEL Sağlık Hizmetleri A.ş</x:v>
      </x:c>
      <x:c r="D265" t="str">
        <x:v>120214167265870399</x:v>
      </x:c>
      <x:c r="E265" t="str">
        <x:v>Baş Dönmesi ve Denge Ünitesi / lead</x:v>
      </x:c>
      <x:c r="F265" t="str">
        <x:v>OUTCOME_LEADS</x:v>
      </x:c>
      <x:c r="G265" t="n">
        <x:v>3205</x:v>
      </x:c>
      <x:c r="H265" s="28" t="n">
        <x:v>238.03</x:v>
      </x:c>
      <x:c r="I265" t="n">
        <x:v>3575</x:v>
      </x:c>
      <x:c r="J265" t="n">
        <x:v>55</x:v>
      </x:c>
      <x:c r="K265" t="n">
        <x:v>36</x:v>
      </x:c>
      <x:c r="L265" s="27" t="n">
        <x:f>IFERROR(K265/I265,0)</x:f>
        <x:v>0.01006993006993007</x:v>
      </x:c>
      <x:c r="M265" s="28" t="n">
        <x:f>IFERROR(H265/K265,0)</x:f>
        <x:v>6.611944444444444</x:v>
      </x:c>
      <x:c r="N265" s="28" t="n">
        <x:f>IFERROR(H265/I265*1000,0)</x:f>
        <x:v>66.58181818181819</x:v>
      </x:c>
      <x:c r="O265" t="n">
        <x:v>1.115445</x:v>
      </x:c>
      <x:c r="P265" t="n">
        <x:v>1</x:v>
      </x:c>
      <x:c r="Q265" s="28" t="n">
        <x:v>0</x:v>
      </x:c>
      <x:c r="R265" s="28" t="n">
        <x:v>0</x:v>
      </x:c>
    </x:row>
    <x:row r="266">
      <x:c r="A266" t="str">
        <x:v>2026-07-22</x:v>
      </x:c>
      <x:c r="B266" t="str">
        <x:v>449281783851362</x:v>
      </x:c>
      <x:c r="C266" t="str">
        <x:v>Doruk Hastaneleri - SİNA ÖZEL Sağlık Hizmetleri A.ş</x:v>
      </x:c>
      <x:c r="D266" t="str">
        <x:v>120220089108220399</x:v>
      </x:c>
      <x:c r="E266" t="str">
        <x:v>Checkup - genel - lead</x:v>
      </x:c>
      <x:c r="F266" t="str">
        <x:v>OUTCOME_LEADS</x:v>
      </x:c>
      <x:c r="G266" t="n">
        <x:v>3166</x:v>
      </x:c>
      <x:c r="H266" s="28" t="n">
        <x:v>544.96</x:v>
      </x:c>
      <x:c r="I266" t="n">
        <x:v>4207</x:v>
      </x:c>
      <x:c r="J266" t="n">
        <x:v>31</x:v>
      </x:c>
      <x:c r="K266" t="n">
        <x:v>14</x:v>
      </x:c>
      <x:c r="L266" s="27" t="n">
        <x:f>IFERROR(K266/I266,0)</x:f>
        <x:v>0.0033277870216306157</x:v>
      </x:c>
      <x:c r="M266" s="28" t="n">
        <x:f>IFERROR(H266/K266,0)</x:f>
        <x:v>38.925714285714285</x:v>
      </x:c>
      <x:c r="N266" s="28" t="n">
        <x:f>IFERROR(H266/I266*1000,0)</x:f>
        <x:v>129.53648680770146</x:v>
      </x:c>
      <x:c r="O266" t="n">
        <x:v>1.328806</x:v>
      </x:c>
      <x:c r="P266" t="n">
        <x:v>0</x:v>
      </x:c>
      <x:c r="Q266" s="28" t="n">
        <x:v>0</x:v>
      </x:c>
      <x:c r="R266" s="28" t="n">
        <x:v>0</x:v>
      </x:c>
    </x:row>
    <x:row r="267">
      <x:c r="A267" t="str">
        <x:v>2026-07-22</x:v>
      </x:c>
      <x:c r="B267" t="str">
        <x:v>449281783851362</x:v>
      </x:c>
      <x:c r="C267" t="str">
        <x:v>Doruk Hastaneleri - SİNA ÖZEL Sağlık Hizmetleri A.ş</x:v>
      </x:c>
      <x:c r="D267" t="str">
        <x:v>120242415465180399</x:v>
      </x:c>
      <x:c r="E267" t="str">
        <x:v>Gebe-Doğum Form Kampanyası</x:v>
      </x:c>
      <x:c r="F267" t="str">
        <x:v>OUTCOME_LEADS</x:v>
      </x:c>
      <x:c r="G267" t="n">
        <x:v>32781</x:v>
      </x:c>
      <x:c r="H267" s="28" t="n">
        <x:v>4621.69</x:v>
      </x:c>
      <x:c r="I267" t="n">
        <x:v>60609</x:v>
      </x:c>
      <x:c r="J267" t="n">
        <x:v>305</x:v>
      </x:c>
      <x:c r="K267" t="n">
        <x:v>169</x:v>
      </x:c>
      <x:c r="L267" s="27" t="n">
        <x:f>IFERROR(K267/I267,0)</x:f>
        <x:v>0.002788364764308931</x:v>
      </x:c>
      <x:c r="M267" s="28" t="n">
        <x:f>IFERROR(H267/K267,0)</x:f>
        <x:v>27.347278106508874</x:v>
      </x:c>
      <x:c r="N267" s="28" t="n">
        <x:f>IFERROR(H267/I267*1000,0)</x:f>
        <x:v>76.2541866719464</x:v>
      </x:c>
      <x:c r="O267" t="n">
        <x:v>1.848906</x:v>
      </x:c>
      <x:c r="P267" t="n">
        <x:v>16</x:v>
      </x:c>
      <x:c r="Q267" s="28" t="n">
        <x:v>0</x:v>
      </x:c>
      <x:c r="R267" s="28" t="n">
        <x:v>0</x:v>
      </x:c>
    </x:row>
    <x:row r="268">
      <x:c r="A268" t="str">
        <x:v>2026-07-22</x:v>
      </x:c>
      <x:c r="B268" t="str">
        <x:v>449281783851362</x:v>
      </x:c>
      <x:c r="C268" t="str">
        <x:v>Doruk Hastaneleri - SİNA ÖZEL Sağlık Hizmetleri A.ş</x:v>
      </x:c>
      <x:c r="D268" t="str">
        <x:v>120244050701710399</x:v>
      </x:c>
      <x:c r="E268" t="str">
        <x:v>Uzman Hekim Başvuru</x:v>
      </x:c>
      <x:c r="F268" t="str">
        <x:v>OUTCOME_LEADS</x:v>
      </x:c>
      <x:c r="G268" t="n">
        <x:v>4088</x:v>
      </x:c>
      <x:c r="H268" s="28" t="n">
        <x:v>627.52</x:v>
      </x:c>
      <x:c r="I268" t="n">
        <x:v>5234</x:v>
      </x:c>
      <x:c r="J268" t="n">
        <x:v>62</x:v>
      </x:c>
      <x:c r="K268" t="n">
        <x:v>30</x:v>
      </x:c>
      <x:c r="L268" s="27" t="n">
        <x:f>IFERROR(K268/I268,0)</x:f>
        <x:v>0.00573175391669851</x:v>
      </x:c>
      <x:c r="M268" s="28" t="n">
        <x:f>IFERROR(H268/K268,0)</x:f>
        <x:v>20.917333333333332</x:v>
      </x:c>
      <x:c r="N268" s="28" t="n">
        <x:f>IFERROR(H268/I268*1000,0)</x:f>
        <x:v>119.89300726022162</x:v>
      </x:c>
      <x:c r="O268" t="n">
        <x:v>1.280333</x:v>
      </x:c>
      <x:c r="P268" t="n">
        <x:v>4</x:v>
      </x:c>
      <x:c r="Q268" s="28" t="n">
        <x:v>0</x:v>
      </x:c>
      <x:c r="R268" s="28" t="n">
        <x:v>0</x:v>
      </x:c>
    </x:row>
    <x:row r="269">
      <x:c r="A269" t="str">
        <x:v>2026-07-22</x:v>
      </x:c>
      <x:c r="B269" t="str">
        <x:v>449281783851362</x:v>
      </x:c>
      <x:c r="C269" t="str">
        <x:v>Doruk Hastaneleri - SİNA ÖZEL Sağlık Hizmetleri A.ş</x:v>
      </x:c>
      <x:c r="D269" t="str">
        <x:v>120246476228800399</x:v>
      </x:c>
      <x:c r="E269" t="str">
        <x:v>FTR Yatılı - lead</x:v>
      </x:c>
      <x:c r="F269" t="str">
        <x:v>OUTCOME_LEADS</x:v>
      </x:c>
      <x:c r="G269" t="n">
        <x:v>28768</x:v>
      </x:c>
      <x:c r="H269" s="28" t="n">
        <x:v>2401.83</x:v>
      </x:c>
      <x:c r="I269" t="n">
        <x:v>33578</x:v>
      </x:c>
      <x:c r="J269" t="n">
        <x:v>199</x:v>
      </x:c>
      <x:c r="K269" t="n">
        <x:v>100</x:v>
      </x:c>
      <x:c r="L269" s="27" t="n">
        <x:f>IFERROR(K269/I269,0)</x:f>
        <x:v>0.0029781404491035796</x:v>
      </x:c>
      <x:c r="M269" s="28" t="n">
        <x:f>IFERROR(H269/K269,0)</x:f>
        <x:v>24.0183</x:v>
      </x:c>
      <x:c r="N269" s="28" t="n">
        <x:f>IFERROR(H269/I269*1000,0)</x:f>
        <x:v>71.52987074870451</x:v>
      </x:c>
      <x:c r="O269" t="n">
        <x:v>1.1672</x:v>
      </x:c>
      <x:c r="P269" t="n">
        <x:v>4</x:v>
      </x:c>
      <x:c r="Q269" s="28" t="n">
        <x:v>0</x:v>
      </x:c>
      <x:c r="R269" s="28" t="n">
        <x:v>0</x:v>
      </x:c>
    </x:row>
    <x:row r="270">
      <x:c r="A270" t="str">
        <x:v>2026-07-22</x:v>
      </x:c>
      <x:c r="B270" t="str">
        <x:v>449281783851362</x:v>
      </x:c>
      <x:c r="C270" t="str">
        <x:v>Doruk Hastaneleri - SİNA ÖZEL Sağlık Hizmetleri A.ş</x:v>
      </x:c>
      <x:c r="D270" t="str">
        <x:v>120246691590090399</x:v>
      </x:c>
      <x:c r="E270" t="str">
        <x:v>Hemşire İş Başvuru - lead</x:v>
      </x:c>
      <x:c r="F270" t="str">
        <x:v>OUTCOME_LEADS</x:v>
      </x:c>
      <x:c r="G270" t="n">
        <x:v>10122</x:v>
      </x:c>
      <x:c r="H270" s="28" t="n">
        <x:v>674.07</x:v>
      </x:c>
      <x:c r="I270" t="n">
        <x:v>13558</x:v>
      </x:c>
      <x:c r="J270" t="n">
        <x:v>83</x:v>
      </x:c>
      <x:c r="K270" t="n">
        <x:v>55</x:v>
      </x:c>
      <x:c r="L270" s="27" t="n">
        <x:f>IFERROR(K270/I270,0)</x:f>
        <x:v>0.004056645522938486</x:v>
      </x:c>
      <x:c r="M270" s="28" t="n">
        <x:f>IFERROR(H270/K270,0)</x:f>
        <x:v>12.255818181818183</x:v>
      </x:c>
      <x:c r="N270" s="28" t="n">
        <x:f>IFERROR(H270/I270*1000,0)</x:f>
        <x:v>49.717509957220834</x:v>
      </x:c>
      <x:c r="O270" t="n">
        <x:v>1.339459</x:v>
      </x:c>
      <x:c r="P270" t="n">
        <x:v>0</x:v>
      </x:c>
      <x:c r="Q270" s="28" t="n">
        <x:v>0</x:v>
      </x:c>
      <x:c r="R270" s="28" t="n">
        <x:v>0</x:v>
      </x:c>
    </x:row>
    <x:row r="271">
      <x:c r="A271" t="str">
        <x:v>2026-07-22</x:v>
      </x:c>
      <x:c r="B271" t="str">
        <x:v>449281783851362</x:v>
      </x:c>
      <x:c r="C271" t="str">
        <x:v>Doruk Hastaneleri - SİNA ÖZEL Sağlık Hizmetleri A.ş</x:v>
      </x:c>
      <x:c r="D271" t="str">
        <x:v>120246924981440399</x:v>
      </x:c>
      <x:c r="E271" t="str">
        <x:v>ÖSS-TSS - marka bilinirliği</x:v>
      </x:c>
      <x:c r="F271" t="str">
        <x:v>OUTCOME_AWARENESS</x:v>
      </x:c>
      <x:c r="G271" t="n">
        <x:v>88613</x:v>
      </x:c>
      <x:c r="H271" s="28" t="n">
        <x:v>1334.96</x:v>
      </x:c>
      <x:c r="I271" t="n">
        <x:v>93659</x:v>
      </x:c>
      <x:c r="J271" t="n">
        <x:v>107</x:v>
      </x:c>
      <x:c r="K271" t="n">
        <x:v>28</x:v>
      </x:c>
      <x:c r="L271" s="27" t="n">
        <x:f>IFERROR(K271/I271,0)</x:f>
        <x:v>0.0002989568541197322</x:v>
      </x:c>
      <x:c r="M271" s="28" t="n">
        <x:f>IFERROR(H271/K271,0)</x:f>
        <x:v>47.67714285714286</x:v>
      </x:c>
      <x:c r="N271" s="28" t="n">
        <x:f>IFERROR(H271/I271*1000,0)</x:f>
        <x:v>14.253408641988491</x:v>
      </x:c>
      <x:c r="O271" t="n">
        <x:v>1.056944</x:v>
      </x:c>
      <x:c r="P271" t="n">
        <x:v>0</x:v>
      </x:c>
      <x:c r="Q271" s="28" t="n">
        <x:v>0</x:v>
      </x:c>
      <x:c r="R271" s="28" t="n">
        <x:v>0</x:v>
      </x:c>
    </x:row>
    <x:row r="272">
      <x:c r="A272" t="str">
        <x:v>2026-07-22</x:v>
      </x:c>
      <x:c r="B272" t="str">
        <x:v>449281783851362</x:v>
      </x:c>
      <x:c r="C272" t="str">
        <x:v>Doruk Hastaneleri - SİNA ÖZEL Sağlık Hizmetleri A.ş</x:v>
      </x:c>
      <x:c r="D272" t="str">
        <x:v>120247034876600399</x:v>
      </x:c>
      <x:c r="E272" t="str">
        <x:v>Gebe-Doğum Bilinirlik</x:v>
      </x:c>
      <x:c r="F272" t="str">
        <x:v>OUTCOME_AWARENESS</x:v>
      </x:c>
      <x:c r="G272" t="n">
        <x:v>61371</x:v>
      </x:c>
      <x:c r="H272" s="28" t="n">
        <x:v>626.26</x:v>
      </x:c>
      <x:c r="I272" t="n">
        <x:v>63938</x:v>
      </x:c>
      <x:c r="J272" t="n">
        <x:v>50</x:v>
      </x:c>
      <x:c r="K272" t="n">
        <x:v>0</x:v>
      </x:c>
      <x:c r="L272" s="27" t="n">
        <x:f>IFERROR(K272/I272,0)</x:f>
        <x:v>0</x:v>
      </x:c>
      <x:c r="M272" s="28" t="n">
        <x:f>IFERROR(H272/K272,0)</x:f>
        <x:v>0</x:v>
      </x:c>
      <x:c r="N272" s="28" t="n">
        <x:f>IFERROR(H272/I272*1000,0)</x:f>
        <x:v>9.794801213675747</x:v>
      </x:c>
      <x:c r="O272" t="n">
        <x:v>1.041828</x:v>
      </x:c>
      <x:c r="P272" t="n">
        <x:v>0</x:v>
      </x:c>
      <x:c r="Q272" s="28" t="n">
        <x:v>0</x:v>
      </x:c>
      <x:c r="R272" s="28" t="n">
        <x:v>0</x:v>
      </x:c>
    </x:row>
    <x:row r="273">
      <x:c r="A273" t="str">
        <x:v>2026-07-22</x:v>
      </x:c>
      <x:c r="B273" t="str">
        <x:v>449281783851362</x:v>
      </x:c>
      <x:c r="C273" t="str">
        <x:v>Doruk Hastaneleri - SİNA ÖZEL Sağlık Hizmetleri A.ş</x:v>
      </x:c>
      <x:c r="D273" t="str">
        <x:v>120248812698040399</x:v>
      </x:c>
      <x:c r="E273" t="str">
        <x:v>ABO / Medikal Estetik lead / 16.04.2026</x:v>
      </x:c>
      <x:c r="F273" t="str">
        <x:v>OUTCOME_LEADS</x:v>
      </x:c>
      <x:c r="G273" t="n">
        <x:v>11290</x:v>
      </x:c>
      <x:c r="H273" s="28" t="n">
        <x:v>1513.88</x:v>
      </x:c>
      <x:c r="I273" t="n">
        <x:v>13675</x:v>
      </x:c>
      <x:c r="J273" t="n">
        <x:v>125</x:v>
      </x:c>
      <x:c r="K273" t="n">
        <x:v>50</x:v>
      </x:c>
      <x:c r="L273" s="27" t="n">
        <x:f>IFERROR(K273/I273,0)</x:f>
        <x:v>0.003656307129798903</x:v>
      </x:c>
      <x:c r="M273" s="28" t="n">
        <x:f>IFERROR(H273/K273,0)</x:f>
        <x:v>30.277600000000003</x:v>
      </x:c>
      <x:c r="N273" s="28" t="n">
        <x:f>IFERROR(H273/I273*1000,0)</x:f>
        <x:v>110.70420475319928</x:v>
      </x:c>
      <x:c r="O273" t="n">
        <x:v>1.211249</x:v>
      </x:c>
      <x:c r="P273" t="n">
        <x:v>10</x:v>
      </x:c>
      <x:c r="Q273" s="28" t="n">
        <x:v>0</x:v>
      </x:c>
      <x:c r="R273" s="28" t="n">
        <x:v>0</x:v>
      </x:c>
    </x:row>
    <x:row r="274">
      <x:c r="A274" t="str">
        <x:v>2026-07-22</x:v>
      </x:c>
      <x:c r="B274" t="str">
        <x:v>449281783851362</x:v>
      </x:c>
      <x:c r="C274" t="str">
        <x:v>Doruk Hastaneleri - SİNA ÖZEL Sağlık Hizmetleri A.ş</x:v>
      </x:c>
      <x:c r="D274" t="str">
        <x:v>120249061996540399</x:v>
      </x:c>
      <x:c r="E274" t="str">
        <x:v>Doktor - Bilinirlik Kampanyası - Nilüfer</x:v>
      </x:c>
      <x:c r="F274" t="str">
        <x:v>OUTCOME_AWARENESS</x:v>
      </x:c>
      <x:c r="G274" t="n">
        <x:v>307369</x:v>
      </x:c>
      <x:c r="H274" s="28" t="n">
        <x:v>3190.62</x:v>
      </x:c>
      <x:c r="I274" t="n">
        <x:v>352743</x:v>
      </x:c>
      <x:c r="J274" t="n">
        <x:v>191</x:v>
      </x:c>
      <x:c r="K274" t="n">
        <x:v>1</x:v>
      </x:c>
      <x:c r="L274" s="27" t="n">
        <x:f>IFERROR(K274/I274,0)</x:f>
        <x:v>0.0000028349251438015778</x:v>
      </x:c>
      <x:c r="M274" s="28" t="n">
        <x:f>IFERROR(H274/K274,0)</x:f>
        <x:v>3190.62</x:v>
      </x:c>
      <x:c r="N274" s="28" t="n">
        <x:f>IFERROR(H274/I274*1000,0)</x:f>
        <x:v>9.04516886231619</x:v>
      </x:c>
      <x:c r="O274" t="n">
        <x:v>1.147621</x:v>
      </x:c>
      <x:c r="P274" t="n">
        <x:v>0</x:v>
      </x:c>
      <x:c r="Q274" s="28" t="n">
        <x:v>0</x:v>
      </x:c>
      <x:c r="R274" s="28" t="n">
        <x:v>0</x:v>
      </x:c>
    </x:row>
    <x:row r="275">
      <x:c r="A275" t="str">
        <x:v>2026-07-22</x:v>
      </x:c>
      <x:c r="B275" t="str">
        <x:v>449281783851362</x:v>
      </x:c>
      <x:c r="C275" t="str">
        <x:v>Doruk Hastaneleri - SİNA ÖZEL Sağlık Hizmetleri A.ş</x:v>
      </x:c>
      <x:c r="D275" t="str">
        <x:v>120249614228610399</x:v>
      </x:c>
      <x:c r="E275" t="str">
        <x:v>Instagram gönderisi: Bir sezon boyunca ortaya...</x:v>
      </x:c>
      <x:c r="F275" t="str">
        <x:v>LINK_CLICKS</x:v>
      </x:c>
      <x:c r="G275" t="n">
        <x:v>37779</x:v>
      </x:c>
      <x:c r="H275" s="28" t="n">
        <x:v>2149</x:v>
      </x:c>
      <x:c r="I275" t="n">
        <x:v>41815</x:v>
      </x:c>
      <x:c r="J275" t="n">
        <x:v>396</x:v>
      </x:c>
      <x:c r="K275" t="n">
        <x:v>392</x:v>
      </x:c>
      <x:c r="L275" s="27" t="n">
        <x:f>IFERROR(K275/I275,0)</x:f>
        <x:v>0.00937462633026426</x:v>
      </x:c>
      <x:c r="M275" s="28" t="n">
        <x:f>IFERROR(H275/K275,0)</x:f>
        <x:v>5.482142857142857</x:v>
      </x:c>
      <x:c r="N275" s="28" t="n">
        <x:f>IFERROR(H275/I275*1000,0)</x:f>
        <x:v>51.393040774841566</x:v>
      </x:c>
      <x:c r="O275" t="n">
        <x:v>1.106832</x:v>
      </x:c>
      <x:c r="P275" t="n">
        <x:v>0</x:v>
      </x:c>
      <x:c r="Q275" s="28" t="n">
        <x:v>0</x:v>
      </x:c>
      <x:c r="R275" s="28" t="n">
        <x:v>0</x:v>
      </x:c>
    </x:row>
    <x:row r="276">
      <x:c r="A276" t="str">
        <x:v>2026-07-22</x:v>
      </x:c>
      <x:c r="B276" t="str">
        <x:v>449281783851362</x:v>
      </x:c>
      <x:c r="C276" t="str">
        <x:v>Doruk Hastaneleri - SİNA ÖZEL Sağlık Hizmetleri A.ş</x:v>
      </x:c>
      <x:c r="D276" t="str">
        <x:v>120251414264130399</x:v>
      </x:c>
      <x:c r="E276" t="str">
        <x:v>Prostat Checkup - lead</x:v>
      </x:c>
      <x:c r="F276" t="str">
        <x:v>OUTCOME_LEADS</x:v>
      </x:c>
      <x:c r="G276" t="n">
        <x:v>4848</x:v>
      </x:c>
      <x:c r="H276" s="28" t="n">
        <x:v>317.78</x:v>
      </x:c>
      <x:c r="I276" t="n">
        <x:v>5637</x:v>
      </x:c>
      <x:c r="J276" t="n">
        <x:v>166</x:v>
      </x:c>
      <x:c r="K276" t="n">
        <x:v>50</x:v>
      </x:c>
      <x:c r="L276" s="27" t="n">
        <x:f>IFERROR(K276/I276,0)</x:f>
        <x:v>0.008869966294128083</x:v>
      </x:c>
      <x:c r="M276" s="28" t="n">
        <x:f>IFERROR(H276/K276,0)</x:f>
        <x:v>6.355599999999999</x:v>
      </x:c>
      <x:c r="N276" s="28" t="n">
        <x:f>IFERROR(H276/I276*1000,0)</x:f>
        <x:v>56.37395777896043</x:v>
      </x:c>
      <x:c r="O276" t="n">
        <x:v>1.162748</x:v>
      </x:c>
      <x:c r="P276" t="n">
        <x:v>4</x:v>
      </x:c>
      <x:c r="Q276" s="28" t="n">
        <x:v>0</x:v>
      </x:c>
      <x:c r="R276" s="28" t="n">
        <x:v>0</x:v>
      </x:c>
    </x:row>
    <x:row r="277">
      <x:c r="A277" t="str">
        <x:v>2026-07-22</x:v>
      </x:c>
      <x:c r="B277" t="str">
        <x:v>449281783851362</x:v>
      </x:c>
      <x:c r="C277" t="str">
        <x:v>Doruk Hastaneleri - SİNA ÖZEL Sağlık Hizmetleri A.ş</x:v>
      </x:c>
      <x:c r="D277" t="str">
        <x:v>120252323141170399</x:v>
      </x:c>
      <x:c r="E277" t="str">
        <x:v>Instagram gönderisi: Medikal estetik alanındaki...</x:v>
      </x:c>
      <x:c r="F277" t="str">
        <x:v>LINK_CLICKS</x:v>
      </x:c>
      <x:c r="G277" t="n">
        <x:v>4122</x:v>
      </x:c>
      <x:c r="H277" s="28" t="n">
        <x:v>234.02</x:v>
      </x:c>
      <x:c r="I277" t="n">
        <x:v>4241</x:v>
      </x:c>
      <x:c r="J277" t="n">
        <x:v>61</x:v>
      </x:c>
      <x:c r="K277" t="n">
        <x:v>61</x:v>
      </x:c>
      <x:c r="L277" s="27" t="n">
        <x:f>IFERROR(K277/I277,0)</x:f>
        <x:v>0.014383400141476066</x:v>
      </x:c>
      <x:c r="M277" s="28" t="n">
        <x:f>IFERROR(H277/K277,0)</x:f>
        <x:v>3.836393442622951</x:v>
      </x:c>
      <x:c r="N277" s="28" t="n">
        <x:f>IFERROR(H277/I277*1000,0)</x:f>
        <x:v>55.18038198538081</x:v>
      </x:c>
      <x:c r="O277" t="n">
        <x:v>1.028869</x:v>
      </x:c>
      <x:c r="P277" t="n">
        <x:v>0</x:v>
      </x:c>
      <x:c r="Q277" s="28" t="n">
        <x:v>0</x:v>
      </x:c>
      <x:c r="R277" s="28" t="n">
        <x:v>0</x:v>
      </x:c>
    </x:row>
    <x:row r="278">
      <x:c r="A278" t="str">
        <x:v>2026-07-22</x:v>
      </x:c>
      <x:c r="B278" t="str">
        <x:v>449281783851362</x:v>
      </x:c>
      <x:c r="C278" t="str">
        <x:v>Doruk Hastaneleri - SİNA ÖZEL Sağlık Hizmetleri A.ş</x:v>
      </x:c>
      <x:c r="D278" t="str">
        <x:v>120255099624540399</x:v>
      </x:c>
      <x:c r="E278" t="str">
        <x:v>Instagram gönderisi: Doruk Sağlık Grubu olarak,...</x:v>
      </x:c>
      <x:c r="F278" t="str">
        <x:v>LINK_CLICKS</x:v>
      </x:c>
      <x:c r="G278" t="n">
        <x:v>32115</x:v>
      </x:c>
      <x:c r="H278" s="28" t="n">
        <x:v>1997.1</x:v>
      </x:c>
      <x:c r="I278" t="n">
        <x:v>34497</x:v>
      </x:c>
      <x:c r="J278" t="n">
        <x:v>385</x:v>
      </x:c>
      <x:c r="K278" t="n">
        <x:v>381</x:v>
      </x:c>
      <x:c r="L278" s="27" t="n">
        <x:f>IFERROR(K278/I278,0)</x:f>
        <x:v>0.011044438646838855</x:v>
      </x:c>
      <x:c r="M278" s="28" t="n">
        <x:f>IFERROR(H278/K278,0)</x:f>
        <x:v>5.241732283464566</x:v>
      </x:c>
      <x:c r="N278" s="28" t="n">
        <x:f>IFERROR(H278/I278*1000,0)</x:f>
        <x:v>57.891990607878945</x:v>
      </x:c>
      <x:c r="O278" t="n">
        <x:v>1.074171</x:v>
      </x:c>
      <x:c r="P278" t="n">
        <x:v>0</x:v>
      </x:c>
      <x:c r="Q278" s="28" t="n">
        <x:v>0</x:v>
      </x:c>
      <x:c r="R278" s="28" t="n">
        <x:v>0</x:v>
      </x:c>
    </x:row>
    <x:row r="279">
      <x:c r="A279" t="str">
        <x:v>2026-07-22</x:v>
      </x:c>
      <x:c r="B279" t="str">
        <x:v>449281783851362</x:v>
      </x:c>
      <x:c r="C279" t="str">
        <x:v>Doruk Hastaneleri - SİNA ÖZEL Sağlık Hizmetleri A.ş</x:v>
      </x:c>
      <x:c r="D279" t="str">
        <x:v>120255158812950399</x:v>
      </x:c>
      <x:c r="E279" t="str">
        <x:v>Doktor - Bilinirlik Kampanyası - Yıldırım</x:v>
      </x:c>
      <x:c r="F279" t="str">
        <x:v>OUTCOME_AWARENESS</x:v>
      </x:c>
      <x:c r="G279" t="n">
        <x:v>155764</x:v>
      </x:c>
      <x:c r="H279" s="28" t="n">
        <x:v>1415.33</x:v>
      </x:c>
      <x:c r="I279" t="n">
        <x:v>158459</x:v>
      </x:c>
      <x:c r="J279" t="n">
        <x:v>91</x:v>
      </x:c>
      <x:c r="K279" t="n">
        <x:v>0</x:v>
      </x:c>
      <x:c r="L279" s="27" t="n">
        <x:f>IFERROR(K279/I279,0)</x:f>
        <x:v>0</x:v>
      </x:c>
      <x:c r="M279" s="28" t="n">
        <x:f>IFERROR(H279/K279,0)</x:f>
        <x:v>0</x:v>
      </x:c>
      <x:c r="N279" s="28" t="n">
        <x:f>IFERROR(H279/I279*1000,0)</x:f>
        <x:v>8.931837257587135</x:v>
      </x:c>
      <x:c r="O279" t="n">
        <x:v>1.017302</x:v>
      </x:c>
      <x:c r="P279" t="n">
        <x:v>0</x:v>
      </x:c>
      <x:c r="Q279" s="28" t="n">
        <x:v>0</x:v>
      </x:c>
      <x:c r="R279" s="28" t="n">
        <x:v>0</x:v>
      </x:c>
    </x:row>
    <x:row r="280">
      <x:c r="A280" t="str">
        <x:v>2026-07-22</x:v>
      </x:c>
      <x:c r="B280" t="str">
        <x:v>449281783851362</x:v>
      </x:c>
      <x:c r="C280" t="str">
        <x:v>Doruk Hastaneleri - SİNA ÖZEL Sağlık Hizmetleri A.ş</x:v>
      </x:c>
      <x:c r="D280" t="str">
        <x:v>120255738261970399</x:v>
      </x:c>
      <x:c r="E280" t="str">
        <x:v>Instagram gönderisi: Aşılama tedavisi, gebelik...</x:v>
      </x:c>
      <x:c r="F280" t="str">
        <x:v>LINK_CLICKS</x:v>
      </x:c>
      <x:c r="G280" t="n">
        <x:v>5723</x:v>
      </x:c>
      <x:c r="H280" s="28" t="n">
        <x:v>383.58</x:v>
      </x:c>
      <x:c r="I280" t="n">
        <x:v>6224</x:v>
      </x:c>
      <x:c r="J280" t="n">
        <x:v>47</x:v>
      </x:c>
      <x:c r="K280" t="n">
        <x:v>48</x:v>
      </x:c>
      <x:c r="L280" s="27" t="n">
        <x:f>IFERROR(K280/I280,0)</x:f>
        <x:v>0.007712082262210797</x:v>
      </x:c>
      <x:c r="M280" s="28" t="n">
        <x:f>IFERROR(H280/K280,0)</x:f>
        <x:v>7.99125</x:v>
      </x:c>
      <x:c r="N280" s="28" t="n">
        <x:f>IFERROR(H280/I280*1000,0)</x:f>
        <x:v>61.62917737789203</x:v>
      </x:c>
      <x:c r="O280" t="n">
        <x:v>1.087542</x:v>
      </x:c>
      <x:c r="P280" t="n">
        <x:v>0</x:v>
      </x:c>
      <x:c r="Q280" s="28" t="n">
        <x:v>0</x:v>
      </x:c>
      <x:c r="R280" s="28" t="n">
        <x:v>0</x:v>
      </x:c>
    </x:row>
    <x:row r="281">
      <x:c r="A281" t="str">
        <x:v>2026-07-22</x:v>
      </x:c>
      <x:c r="B281" t="str">
        <x:v>449281783851362</x:v>
      </x:c>
      <x:c r="C281" t="str">
        <x:v>Doruk Hastaneleri - SİNA ÖZEL Sağlık Hizmetleri A.ş</x:v>
      </x:c>
      <x:c r="D281" t="str">
        <x:v>120255738303970399</x:v>
      </x:c>
      <x:c r="E281" t="str">
        <x:v>Instagram gönderisi: 🏅 BURSA'DA BİR İLK
Özel...</x:v>
      </x:c>
      <x:c r="F281" t="str">
        <x:v>LINK_CLICKS</x:v>
      </x:c>
      <x:c r="G281" t="n">
        <x:v>6448</x:v>
      </x:c>
      <x:c r="H281" s="28" t="n">
        <x:v>408.6</x:v>
      </x:c>
      <x:c r="I281" t="n">
        <x:v>7407</x:v>
      </x:c>
      <x:c r="J281" t="n">
        <x:v>114</x:v>
      </x:c>
      <x:c r="K281" t="n">
        <x:v>125</x:v>
      </x:c>
      <x:c r="L281" s="27" t="n">
        <x:f>IFERROR(K281/I281,0)</x:f>
        <x:v>0.016875928176049684</x:v>
      </x:c>
      <x:c r="M281" s="28" t="n">
        <x:f>IFERROR(H281/K281,0)</x:f>
        <x:v>3.2688</x:v>
      </x:c>
      <x:c r="N281" s="28" t="n">
        <x:f>IFERROR(H281/I281*1000,0)</x:f>
        <x:v>55.16403402187121</x:v>
      </x:c>
      <x:c r="O281" t="n">
        <x:v>1.148728</x:v>
      </x:c>
      <x:c r="P281" t="n">
        <x:v>0</x:v>
      </x:c>
      <x:c r="Q281" s="28" t="n">
        <x:v>0</x:v>
      </x:c>
      <x:c r="R281" s="28" t="n">
        <x:v>0</x:v>
      </x:c>
    </x:row>
    <x:row r="282">
      <x:c r="A282" t="str">
        <x:v>2026-07-22</x:v>
      </x:c>
      <x:c r="B282" t="str">
        <x:v>449281783851362</x:v>
      </x:c>
      <x:c r="C282" t="str">
        <x:v>Doruk Hastaneleri - SİNA ÖZEL Sağlık Hizmetleri A.ş</x:v>
      </x:c>
      <x:c r="D282" t="str">
        <x:v>120255738326270399</x:v>
      </x:c>
      <x:c r="E282" t="str">
        <x:v>Instagram gönderisi: Gebelikte bel ağrısı sık...</x:v>
      </x:c>
      <x:c r="F282" t="str">
        <x:v>LINK_CLICKS</x:v>
      </x:c>
      <x:c r="G282" t="n">
        <x:v>4611</x:v>
      </x:c>
      <x:c r="H282" s="28" t="n">
        <x:v>389.79</x:v>
      </x:c>
      <x:c r="I282" t="n">
        <x:v>4910</x:v>
      </x:c>
      <x:c r="J282" t="n">
        <x:v>69</x:v>
      </x:c>
      <x:c r="K282" t="n">
        <x:v>71</x:v>
      </x:c>
      <x:c r="L282" s="27" t="n">
        <x:f>IFERROR(K282/I282,0)</x:f>
        <x:v>0.014460285132382893</x:v>
      </x:c>
      <x:c r="M282" s="28" t="n">
        <x:f>IFERROR(H282/K282,0)</x:f>
        <x:v>5.49</x:v>
      </x:c>
      <x:c r="N282" s="28" t="n">
        <x:f>IFERROR(H282/I282*1000,0)</x:f>
        <x:v>79.38696537678209</x:v>
      </x:c>
      <x:c r="O282" t="n">
        <x:v>1.064845</x:v>
      </x:c>
      <x:c r="P282" t="n">
        <x:v>0</x:v>
      </x:c>
      <x:c r="Q282" s="28" t="n">
        <x:v>0</x:v>
      </x:c>
      <x:c r="R282" s="28" t="n">
        <x:v>0</x:v>
      </x:c>
    </x:row>
    <x:row r="283">
      <x:c r="A283" t="str">
        <x:v>2026-07-22</x:v>
      </x:c>
      <x:c r="B283" t="str">
        <x:v>449281783851362</x:v>
      </x:c>
      <x:c r="C283" t="str">
        <x:v>Doruk Hastaneleri - SİNA ÖZEL Sağlık Hizmetleri A.ş</x:v>
      </x:c>
      <x:c r="D283" t="str">
        <x:v>120255738351260399</x:v>
      </x:c>
      <x:c r="E283" t="str">
        <x:v>Instagram gönderisi: İlişki sonrasında idrar...</x:v>
      </x:c>
      <x:c r="F283" t="str">
        <x:v>LINK_CLICKS</x:v>
      </x:c>
      <x:c r="G283" t="n">
        <x:v>3453</x:v>
      </x:c>
      <x:c r="H283" s="28" t="n">
        <x:v>424.39</x:v>
      </x:c>
      <x:c r="I283" t="n">
        <x:v>3727</x:v>
      </x:c>
      <x:c r="J283" t="n">
        <x:v>76</x:v>
      </x:c>
      <x:c r="K283" t="n">
        <x:v>79</x:v>
      </x:c>
      <x:c r="L283" s="27" t="n">
        <x:f>IFERROR(K283/I283,0)</x:f>
        <x:v>0.02119667292728736</x:v>
      </x:c>
      <x:c r="M283" s="28" t="n">
        <x:f>IFERROR(H283/K283,0)</x:f>
        <x:v>5.372025316455696</x:v>
      </x:c>
      <x:c r="N283" s="28" t="n">
        <x:f>IFERROR(H283/I283*1000,0)</x:f>
        <x:v>113.86906359001878</x:v>
      </x:c>
      <x:c r="O283" t="n">
        <x:v>1.079351</x:v>
      </x:c>
      <x:c r="P283" t="n">
        <x:v>0</x:v>
      </x:c>
      <x:c r="Q283" s="28" t="n">
        <x:v>0</x:v>
      </x:c>
      <x:c r="R283" s="28" t="n">
        <x:v>0</x:v>
      </x:c>
    </x:row>
    <x:row r="284">
      <x:c r="A284" t="str">
        <x:v>2026-07-22</x:v>
      </x:c>
      <x:c r="B284" t="str">
        <x:v>449281783851362</x:v>
      </x:c>
      <x:c r="C284" t="str">
        <x:v>Doruk Hastaneleri - SİNA ÖZEL Sağlık Hizmetleri A.ş</x:v>
      </x:c>
      <x:c r="D284" t="str">
        <x:v>120255738376560399</x:v>
      </x:c>
      <x:c r="E284" t="str">
        <x:v>Instagram gönderisi: Ablasyon tedavisi, vücutta...</x:v>
      </x:c>
      <x:c r="F284" t="str">
        <x:v>LINK_CLICKS</x:v>
      </x:c>
      <x:c r="G284" t="n">
        <x:v>3118</x:v>
      </x:c>
      <x:c r="H284" s="28" t="n">
        <x:v>370.9</x:v>
      </x:c>
      <x:c r="I284" t="n">
        <x:v>3561</x:v>
      </x:c>
      <x:c r="J284" t="n">
        <x:v>43</x:v>
      </x:c>
      <x:c r="K284" t="n">
        <x:v>45</x:v>
      </x:c>
      <x:c r="L284" s="27" t="n">
        <x:f>IFERROR(K284/I284,0)</x:f>
        <x:v>0.012636899747262006</x:v>
      </x:c>
      <x:c r="M284" s="28" t="n">
        <x:f>IFERROR(H284/K284,0)</x:f>
        <x:v>8.242222222222221</x:v>
      </x:c>
      <x:c r="N284" s="28" t="n">
        <x:f>IFERROR(H284/I284*1000,0)</x:f>
        <x:v>104.15613591687728</x:v>
      </x:c>
      <x:c r="O284" t="n">
        <x:v>1.142078</x:v>
      </x:c>
      <x:c r="P284" t="n">
        <x:v>0</x:v>
      </x:c>
      <x:c r="Q284" s="28" t="n">
        <x:v>0</x:v>
      </x:c>
      <x:c r="R284" s="28" t="n">
        <x:v>0</x:v>
      </x:c>
    </x:row>
    <x:row r="285">
      <x:c r="A285" t="str">
        <x:v>2026-07-22</x:v>
      </x:c>
      <x:c r="B285" t="str">
        <x:v>449281783851362</x:v>
      </x:c>
      <x:c r="C285" t="str">
        <x:v>Doruk Hastaneleri - SİNA ÖZEL Sağlık Hizmetleri A.ş</x:v>
      </x:c>
      <x:c r="D285" t="str">
        <x:v>120255739080510399</x:v>
      </x:c>
      <x:c r="E285" t="str">
        <x:v>Gönderi: "👃 Rinoplasti Ameliyatı Nedir? Yumuşak Doku Neden..."</x:v>
      </x:c>
      <x:c r="F285" t="str">
        <x:v>OUTCOME_ENGAGEMENT</x:v>
      </x:c>
      <x:c r="G285" t="n">
        <x:v>4132</x:v>
      </x:c>
      <x:c r="H285" s="28" t="n">
        <x:v>469.31</x:v>
      </x:c>
      <x:c r="I285" t="n">
        <x:v>5543</x:v>
      </x:c>
      <x:c r="J285" t="n">
        <x:v>380</x:v>
      </x:c>
      <x:c r="K285" t="n">
        <x:v>194</x:v>
      </x:c>
      <x:c r="L285" s="27" t="n">
        <x:f>IFERROR(K285/I285,0)</x:f>
        <x:v>0.03499909796139275</x:v>
      </x:c>
      <x:c r="M285" s="28" t="n">
        <x:f>IFERROR(H285/K285,0)</x:f>
        <x:v>2.419123711340206</x:v>
      </x:c>
      <x:c r="N285" s="28" t="n">
        <x:f>IFERROR(H285/I285*1000,0)</x:f>
        <x:v>84.66714775392387</x:v>
      </x:c>
      <x:c r="O285" t="n">
        <x:v>1.341481</x:v>
      </x:c>
      <x:c r="P285" t="n">
        <x:v>0</x:v>
      </x:c>
      <x:c r="Q285" s="28" t="n">
        <x:v>0</x:v>
      </x:c>
      <x:c r="R285" s="28" t="n">
        <x:v>0</x:v>
      </x:c>
    </x:row>
    <x:row r="286">
      <x:c r="A286" t="str">
        <x:v>2026-07-22</x:v>
      </x:c>
      <x:c r="B286" t="str">
        <x:v>449281783851362</x:v>
      </x:c>
      <x:c r="C286" t="str">
        <x:v>Doruk Hastaneleri - SİNA ÖZEL Sağlık Hizmetleri A.ş</x:v>
      </x:c>
      <x:c r="D286" t="str">
        <x:v>120255739163090399</x:v>
      </x:c>
      <x:c r="E286" t="str">
        <x:v>Instagram gönderisi: 👃 Rinoplasti Ameliyatı...</x:v>
      </x:c>
      <x:c r="F286" t="str">
        <x:v>LINK_CLICKS</x:v>
      </x:c>
      <x:c r="G286" t="n">
        <x:v>6300</x:v>
      </x:c>
      <x:c r="H286" s="28" t="n">
        <x:v>426.68</x:v>
      </x:c>
      <x:c r="I286" t="n">
        <x:v>7598</x:v>
      </x:c>
      <x:c r="J286" t="n">
        <x:v>294</x:v>
      </x:c>
      <x:c r="K286" t="n">
        <x:v>306</x:v>
      </x:c>
      <x:c r="L286" s="27" t="n">
        <x:f>IFERROR(K286/I286,0)</x:f>
        <x:v>0.04027375625164517</x:v>
      </x:c>
      <x:c r="M286" s="28" t="n">
        <x:f>IFERROR(H286/K286,0)</x:f>
        <x:v>1.3943790849673203</x:v>
      </x:c>
      <x:c r="N286" s="28" t="n">
        <x:f>IFERROR(H286/I286*1000,0)</x:f>
        <x:v>56.15688339036589</x:v>
      </x:c>
      <x:c r="O286" t="n">
        <x:v>1.206032</x:v>
      </x:c>
      <x:c r="P286" t="n">
        <x:v>0</x:v>
      </x:c>
      <x:c r="Q286" s="28" t="n">
        <x:v>0</x:v>
      </x:c>
      <x:c r="R286" s="28" t="n">
        <x:v>0</x:v>
      </x:c>
    </x:row>
    <x:row r="287">
      <x:c r="A287" t="str">
        <x:v>2026-07-22</x:v>
      </x:c>
      <x:c r="B287" t="str">
        <x:v>449281783851362</x:v>
      </x:c>
      <x:c r="C287" t="str">
        <x:v>Doruk Hastaneleri - SİNA ÖZEL Sağlık Hizmetleri A.ş</x:v>
      </x:c>
      <x:c r="D287" t="str">
        <x:v>120255739194330399</x:v>
      </x:c>
      <x:c r="E287" t="str">
        <x:v>Instagram gönderisi: 🖐️ Parmak Ucu Defekti Nasıl...</x:v>
      </x:c>
      <x:c r="F287" t="str">
        <x:v>LINK_CLICKS</x:v>
      </x:c>
      <x:c r="G287" t="n">
        <x:v>4453</x:v>
      </x:c>
      <x:c r="H287" s="28" t="n">
        <x:v>359.45</x:v>
      </x:c>
      <x:c r="I287" t="n">
        <x:v>5028</x:v>
      </x:c>
      <x:c r="J287" t="n">
        <x:v>135</x:v>
      </x:c>
      <x:c r="K287" t="n">
        <x:v>132</x:v>
      </x:c>
      <x:c r="L287" s="27" t="n">
        <x:f>IFERROR(K287/I287,0)</x:f>
        <x:v>0.026252983293556086</x:v>
      </x:c>
      <x:c r="M287" s="28" t="n">
        <x:f>IFERROR(H287/K287,0)</x:f>
        <x:v>2.7231060606060606</x:v>
      </x:c>
      <x:c r="N287" s="28" t="n">
        <x:f>IFERROR(H287/I287*1000,0)</x:f>
        <x:v>71.48965791567223</x:v>
      </x:c>
      <x:c r="O287" t="n">
        <x:v>1.129126</x:v>
      </x:c>
      <x:c r="P287" t="n">
        <x:v>0</x:v>
      </x:c>
      <x:c r="Q287" s="28" t="n">
        <x:v>0</x:v>
      </x:c>
      <x:c r="R287" s="28" t="n">
        <x:v>0</x:v>
      </x:c>
    </x:row>
    <x:row r="288">
      <x:c r="A288" t="str">
        <x:v>2026-07-22</x:v>
      </x:c>
      <x:c r="B288" t="str">
        <x:v>449281783851362</x:v>
      </x:c>
      <x:c r="C288" t="str">
        <x:v>Doruk Hastaneleri - SİNA ÖZEL Sağlık Hizmetleri A.ş</x:v>
      </x:c>
      <x:c r="D288" t="str">
        <x:v>120255739290470399</x:v>
      </x:c>
      <x:c r="E288" t="str">
        <x:v>Instagram gönderisi: 🎗️ Kemoterapi Alan Her...</x:v>
      </x:c>
      <x:c r="F288" t="str">
        <x:v>LINK_CLICKS</x:v>
      </x:c>
      <x:c r="G288" t="n">
        <x:v>4975</x:v>
      </x:c>
      <x:c r="H288" s="28" t="n">
        <x:v>407.16</x:v>
      </x:c>
      <x:c r="I288" t="n">
        <x:v>5652</x:v>
      </x:c>
      <x:c r="J288" t="n">
        <x:v>190</x:v>
      </x:c>
      <x:c r="K288" t="n">
        <x:v>186</x:v>
      </x:c>
      <x:c r="L288" s="27" t="n">
        <x:f>IFERROR(K288/I288,0)</x:f>
        <x:v>0.032908704883227176</x:v>
      </x:c>
      <x:c r="M288" s="28" t="n">
        <x:f>IFERROR(H288/K288,0)</x:f>
        <x:v>2.189032258064516</x:v>
      </x:c>
      <x:c r="N288" s="28" t="n">
        <x:f>IFERROR(H288/I288*1000,0)</x:f>
        <x:v>72.03821656050955</x:v>
      </x:c>
      <x:c r="O288" t="n">
        <x:v>1.13608</x:v>
      </x:c>
      <x:c r="P288" t="n">
        <x:v>0</x:v>
      </x:c>
      <x:c r="Q288" s="28" t="n">
        <x:v>0</x:v>
      </x:c>
      <x:c r="R288" s="28" t="n">
        <x:v>0</x:v>
      </x:c>
    </x:row>
    <x:row r="289">
      <x:c r="A289" t="str">
        <x:v>2026-07-22</x:v>
      </x:c>
      <x:c r="B289" t="str">
        <x:v>449281783851362</x:v>
      </x:c>
      <x:c r="C289" t="str">
        <x:v>Doruk Hastaneleri - SİNA ÖZEL Sağlık Hizmetleri A.ş</x:v>
      </x:c>
      <x:c r="D289" t="str">
        <x:v>120255739336980399</x:v>
      </x:c>
      <x:c r="E289" t="str">
        <x:v>Instagram gönderisi: 🎗️ Kanser Tanısı Fizik...</x:v>
      </x:c>
      <x:c r="F289" t="str">
        <x:v>LINK_CLICKS</x:v>
      </x:c>
      <x:c r="G289" t="n">
        <x:v>2918</x:v>
      </x:c>
      <x:c r="H289" s="28" t="n">
        <x:v>339.41</x:v>
      </x:c>
      <x:c r="I289" t="n">
        <x:v>3117</x:v>
      </x:c>
      <x:c r="J289" t="n">
        <x:v>65</x:v>
      </x:c>
      <x:c r="K289" t="n">
        <x:v>67</x:v>
      </x:c>
      <x:c r="L289" s="27" t="n">
        <x:f>IFERROR(K289/I289,0)</x:f>
        <x:v>0.021495027269810715</x:v>
      </x:c>
      <x:c r="M289" s="28" t="n">
        <x:f>IFERROR(H289/K289,0)</x:f>
        <x:v>5.065820895522388</x:v>
      </x:c>
      <x:c r="N289" s="28" t="n">
        <x:f>IFERROR(H289/I289*1000,0)</x:f>
        <x:v>108.88995829323069</x:v>
      </x:c>
      <x:c r="O289" t="n">
        <x:v>1.068197</x:v>
      </x:c>
      <x:c r="P289" t="n">
        <x:v>0</x:v>
      </x:c>
      <x:c r="Q289" s="28" t="n">
        <x:v>0</x:v>
      </x:c>
      <x:c r="R289" s="28" t="n">
        <x:v>0</x:v>
      </x:c>
    </x:row>
    <x:row r="290">
      <x:c r="A290" t="str">
        <x:v>2026-07-22</x:v>
      </x:c>
      <x:c r="B290" t="str">
        <x:v>449281783851362</x:v>
      </x:c>
      <x:c r="C290" t="str">
        <x:v>Doruk Hastaneleri - SİNA ÖZEL Sağlık Hizmetleri A.ş</x:v>
      </x:c>
      <x:c r="D290" t="str">
        <x:v>120255739368940399</x:v>
      </x:c>
      <x:c r="E290" t="str">
        <x:v>Instagram gönderisi: •Gebelikte Tarama Testleri |...</x:v>
      </x:c>
      <x:c r="F290" t="str">
        <x:v>LINK_CLICKS</x:v>
      </x:c>
      <x:c r="G290" t="n">
        <x:v>5876</x:v>
      </x:c>
      <x:c r="H290" s="28" t="n">
        <x:v>411.17</x:v>
      </x:c>
      <x:c r="I290" t="n">
        <x:v>7022</x:v>
      </x:c>
      <x:c r="J290" t="n">
        <x:v>222</x:v>
      </x:c>
      <x:c r="K290" t="n">
        <x:v>228</x:v>
      </x:c>
      <x:c r="L290" s="27" t="n">
        <x:f>IFERROR(K290/I290,0)</x:f>
        <x:v>0.032469381942466534</x:v>
      </x:c>
      <x:c r="M290" s="28" t="n">
        <x:f>IFERROR(H290/K290,0)</x:f>
        <x:v>1.8033771929824562</x:v>
      </x:c>
      <x:c r="N290" s="28" t="n">
        <x:f>IFERROR(H290/I290*1000,0)</x:f>
        <x:v>58.55454286528055</x:v>
      </x:c>
      <x:c r="O290" t="n">
        <x:v>1.195031</x:v>
      </x:c>
      <x:c r="P290" t="n">
        <x:v>0</x:v>
      </x:c>
      <x:c r="Q290" s="28" t="n">
        <x:v>0</x:v>
      </x:c>
      <x:c r="R290" s="28" t="n">
        <x:v>0</x:v>
      </x:c>
    </x:row>
    <x:row r="291">
      <x:c r="A291" t="str">
        <x:v>2026-07-22</x:v>
      </x:c>
      <x:c r="B291" t="str">
        <x:v>449281783851362</x:v>
      </x:c>
      <x:c r="C291" t="str">
        <x:v>Doruk Hastaneleri - SİNA ÖZEL Sağlık Hizmetleri A.ş</x:v>
      </x:c>
      <x:c r="D291" t="str">
        <x:v>120255739424180399</x:v>
      </x:c>
      <x:c r="E291" t="str">
        <x:v>Instagram gönderisi: ✅Gebelikte uyku pozisyonu...</x:v>
      </x:c>
      <x:c r="F291" t="str">
        <x:v>LINK_CLICKS</x:v>
      </x:c>
      <x:c r="G291" t="n">
        <x:v>8248</x:v>
      </x:c>
      <x:c r="H291" s="28" t="n">
        <x:v>467.4</x:v>
      </x:c>
      <x:c r="I291" t="n">
        <x:v>9430</x:v>
      </x:c>
      <x:c r="J291" t="n">
        <x:v>399</x:v>
      </x:c>
      <x:c r="K291" t="n">
        <x:v>403</x:v>
      </x:c>
      <x:c r="L291" s="27" t="n">
        <x:f>IFERROR(K291/I291,0)</x:f>
        <x:v>0.04273594909862142</x:v>
      </x:c>
      <x:c r="M291" s="28" t="n">
        <x:f>IFERROR(H291/K291,0)</x:f>
        <x:v>1.159801488833747</x:v>
      </x:c>
      <x:c r="N291" s="28" t="n">
        <x:f>IFERROR(H291/I291*1000,0)</x:f>
        <x:v>49.565217391304344</x:v>
      </x:c>
      <x:c r="O291" t="n">
        <x:v>1.143307</x:v>
      </x:c>
      <x:c r="P291" t="n">
        <x:v>0</x:v>
      </x:c>
      <x:c r="Q291" s="28" t="n">
        <x:v>0</x:v>
      </x:c>
      <x:c r="R291" s="28" t="n">
        <x:v>0</x:v>
      </x:c>
    </x:row>
    <x:row r="292">
      <x:c r="A292" t="str">
        <x:v>2026-07-22</x:v>
      </x:c>
      <x:c r="B292" t="str">
        <x:v>449281783851362</x:v>
      </x:c>
      <x:c r="C292" t="str">
        <x:v>Doruk Hastaneleri - SİNA ÖZEL Sağlık Hizmetleri A.ş</x:v>
      </x:c>
      <x:c r="D292" t="str">
        <x:v>120255739460510399</x:v>
      </x:c>
      <x:c r="E292" t="str">
        <x:v>Instagram gönderisi: 🦴 Omurga Kırıklarında Asıl...</x:v>
      </x:c>
      <x:c r="F292" t="str">
        <x:v>LINK_CLICKS</x:v>
      </x:c>
      <x:c r="G292" t="n">
        <x:v>3908</x:v>
      </x:c>
      <x:c r="H292" s="28" t="n">
        <x:v>336.23</x:v>
      </x:c>
      <x:c r="I292" t="n">
        <x:v>4301</x:v>
      </x:c>
      <x:c r="J292" t="n">
        <x:v>76</x:v>
      </x:c>
      <x:c r="K292" t="n">
        <x:v>80</x:v>
      </x:c>
      <x:c r="L292" s="27" t="n">
        <x:f>IFERROR(K292/I292,0)</x:f>
        <x:v>0.01860032550569635</x:v>
      </x:c>
      <x:c r="M292" s="28" t="n">
        <x:f>IFERROR(H292/K292,0)</x:f>
        <x:v>4.202875000000001</x:v>
      </x:c>
      <x:c r="N292" s="28" t="n">
        <x:f>IFERROR(H292/I292*1000,0)</x:f>
        <x:v>78.17484305975354</x:v>
      </x:c>
      <x:c r="O292" t="n">
        <x:v>1.100563</x:v>
      </x:c>
      <x:c r="P292" t="n">
        <x:v>0</x:v>
      </x:c>
      <x:c r="Q292" s="28" t="n">
        <x:v>0</x:v>
      </x:c>
      <x:c r="R292" s="28" t="n">
        <x:v>0</x:v>
      </x:c>
    </x:row>
    <x:row r="293">
      <x:c r="A293" t="str">
        <x:v>2026-07-22</x:v>
      </x:c>
      <x:c r="B293" t="str">
        <x:v>449281783851362</x:v>
      </x:c>
      <x:c r="C293" t="str">
        <x:v>Doruk Hastaneleri - SİNA ÖZEL Sağlık Hizmetleri A.ş</x:v>
      </x:c>
      <x:c r="D293" t="str">
        <x:v>120255739485660399</x:v>
      </x:c>
      <x:c r="E293" t="str">
        <x:v>Instagram gönderisi: 🦴 Bel Fıtığında Doğru Zaman...</x:v>
      </x:c>
      <x:c r="F293" t="str">
        <x:v>LINK_CLICKS</x:v>
      </x:c>
      <x:c r="G293" t="n">
        <x:v>4668</x:v>
      </x:c>
      <x:c r="H293" s="28" t="n">
        <x:v>350.58</x:v>
      </x:c>
      <x:c r="I293" t="n">
        <x:v>5326</x:v>
      </x:c>
      <x:c r="J293" t="n">
        <x:v>148</x:v>
      </x:c>
      <x:c r="K293" t="n">
        <x:v>154</x:v>
      </x:c>
      <x:c r="L293" s="27" t="n">
        <x:f>IFERROR(K293/I293,0)</x:f>
        <x:v>0.028914757791963952</x:v>
      </x:c>
      <x:c r="M293" s="28" t="n">
        <x:f>IFERROR(H293/K293,0)</x:f>
        <x:v>2.2764935064935066</x:v>
      </x:c>
      <x:c r="N293" s="28" t="n">
        <x:f>IFERROR(H293/I293*1000,0)</x:f>
        <x:v>65.82425835523844</x:v>
      </x:c>
      <x:c r="O293" t="n">
        <x:v>1.14096</x:v>
      </x:c>
      <x:c r="P293" t="n">
        <x:v>0</x:v>
      </x:c>
      <x:c r="Q293" s="28" t="n">
        <x:v>0</x:v>
      </x:c>
      <x:c r="R293" s="28" t="n">
        <x:v>0</x:v>
      </x:c>
    </x:row>
    <x:row r="294">
      <x:c r="A294" t="str">
        <x:v>2026-07-23</x:v>
      </x:c>
      <x:c r="B294" t="str">
        <x:v>449281783851362</x:v>
      </x:c>
      <x:c r="C294" t="str">
        <x:v>Doruk Hastaneleri - SİNA ÖZEL Sağlık Hizmetleri A.ş</x:v>
      </x:c>
      <x:c r="D294" t="str">
        <x:v>120202624613730399</x:v>
      </x:c>
      <x:c r="E294" t="str">
        <x:v>CBO / Saç Ekimi - lead / soğuk</x:v>
      </x:c>
      <x:c r="F294" t="str">
        <x:v>OUTCOME_LEADS</x:v>
      </x:c>
      <x:c r="G294" t="n">
        <x:v>3313</x:v>
      </x:c>
      <x:c r="H294" s="28" t="n">
        <x:v>556.27</x:v>
      </x:c>
      <x:c r="I294" t="n">
        <x:v>4798</x:v>
      </x:c>
      <x:c r="J294" t="n">
        <x:v>32</x:v>
      </x:c>
      <x:c r="K294" t="n">
        <x:v>16</x:v>
      </x:c>
      <x:c r="L294" s="27" t="n">
        <x:f>IFERROR(K294/I294,0)</x:f>
        <x:v>0.003334722801167153</x:v>
      </x:c>
      <x:c r="M294" s="28" t="n">
        <x:f>IFERROR(H294/K294,0)</x:f>
        <x:v>34.766875</x:v>
      </x:c>
      <x:c r="N294" s="28" t="n">
        <x:f>IFERROR(H294/I294*1000,0)</x:f>
        <x:v>115.93789078782827</x:v>
      </x:c>
      <x:c r="O294" t="n">
        <x:v>1.448234</x:v>
      </x:c>
      <x:c r="P294" t="n">
        <x:v>3</x:v>
      </x:c>
      <x:c r="Q294" s="28" t="n">
        <x:v>0</x:v>
      </x:c>
      <x:c r="R294" s="28" t="n">
        <x:v>0</x:v>
      </x:c>
    </x:row>
    <x:row r="295">
      <x:c r="A295" t="str">
        <x:v>2026-07-23</x:v>
      </x:c>
      <x:c r="B295" t="str">
        <x:v>449281783851362</x:v>
      </x:c>
      <x:c r="C295" t="str">
        <x:v>Doruk Hastaneleri - SİNA ÖZEL Sağlık Hizmetleri A.ş</x:v>
      </x:c>
      <x:c r="D295" t="str">
        <x:v>120211731920800399</x:v>
      </x:c>
      <x:c r="E295" t="str">
        <x:v>ABO / Göz Kapağı Estetiği / plastik cerrahi / lead</x:v>
      </x:c>
      <x:c r="F295" t="str">
        <x:v>OUTCOME_LEADS</x:v>
      </x:c>
      <x:c r="G295" t="n">
        <x:v>1100</x:v>
      </x:c>
      <x:c r="H295" s="28" t="n">
        <x:v>176.3</x:v>
      </x:c>
      <x:c r="I295" t="n">
        <x:v>1437</x:v>
      </x:c>
      <x:c r="J295" t="n">
        <x:v>12</x:v>
      </x:c>
      <x:c r="K295" t="n">
        <x:v>8</x:v>
      </x:c>
      <x:c r="L295" s="27" t="n">
        <x:f>IFERROR(K295/I295,0)</x:f>
        <x:v>0.0055671537926235215</x:v>
      </x:c>
      <x:c r="M295" s="28" t="n">
        <x:f>IFERROR(H295/K295,0)</x:f>
        <x:v>22.0375</x:v>
      </x:c>
      <x:c r="N295" s="28" t="n">
        <x:f>IFERROR(H295/I295*1000,0)</x:f>
        <x:v>122.68615170494087</x:v>
      </x:c>
      <x:c r="O295" t="n">
        <x:v>1.306364</x:v>
      </x:c>
      <x:c r="P295" t="n">
        <x:v>1</x:v>
      </x:c>
      <x:c r="Q295" s="28" t="n">
        <x:v>0</x:v>
      </x:c>
      <x:c r="R295" s="28" t="n">
        <x:v>0</x:v>
      </x:c>
    </x:row>
    <x:row r="296">
      <x:c r="A296" t="str">
        <x:v>2026-07-23</x:v>
      </x:c>
      <x:c r="B296" t="str">
        <x:v>449281783851362</x:v>
      </x:c>
      <x:c r="C296" t="str">
        <x:v>Doruk Hastaneleri - SİNA ÖZEL Sağlık Hizmetleri A.ş</x:v>
      </x:c>
      <x:c r="D296" t="str">
        <x:v>120211732243050399</x:v>
      </x:c>
      <x:c r="E296" t="str">
        <x:v>ABO /Kepçe Kulak / plastik cerrahi / lead</x:v>
      </x:c>
      <x:c r="F296" t="str">
        <x:v>OUTCOME_LEADS</x:v>
      </x:c>
      <x:c r="G296" t="n">
        <x:v>4082</x:v>
      </x:c>
      <x:c r="H296" s="28" t="n">
        <x:v>178.09</x:v>
      </x:c>
      <x:c r="I296" t="n">
        <x:v>4435</x:v>
      </x:c>
      <x:c r="J296" t="n">
        <x:v>13</x:v>
      </x:c>
      <x:c r="K296" t="n">
        <x:v>10</x:v>
      </x:c>
      <x:c r="L296" s="27" t="n">
        <x:f>IFERROR(K296/I296,0)</x:f>
        <x:v>0.002254791431792559</x:v>
      </x:c>
      <x:c r="M296" s="28" t="n">
        <x:f>IFERROR(H296/K296,0)</x:f>
        <x:v>17.809</x:v>
      </x:c>
      <x:c r="N296" s="28" t="n">
        <x:f>IFERROR(H296/I296*1000,0)</x:f>
        <x:v>40.155580608793684</x:v>
      </x:c>
      <x:c r="O296" t="n">
        <x:v>1.086477</x:v>
      </x:c>
      <x:c r="P296" t="n">
        <x:v>1</x:v>
      </x:c>
      <x:c r="Q296" s="28" t="n">
        <x:v>0</x:v>
      </x:c>
      <x:c r="R296" s="28" t="n">
        <x:v>0</x:v>
      </x:c>
    </x:row>
    <x:row r="297">
      <x:c r="A297" t="str">
        <x:v>2026-07-23</x:v>
      </x:c>
      <x:c r="B297" t="str">
        <x:v>449281783851362</x:v>
      </x:c>
      <x:c r="C297" t="str">
        <x:v>Doruk Hastaneleri - SİNA ÖZEL Sağlık Hizmetleri A.ş</x:v>
      </x:c>
      <x:c r="D297" t="str">
        <x:v>120211732311210399</x:v>
      </x:c>
      <x:c r="E297" t="str">
        <x:v>ABO / Meme Estetiği / plastik cerrahi / lead</x:v>
      </x:c>
      <x:c r="F297" t="str">
        <x:v>OUTCOME_LEADS</x:v>
      </x:c>
      <x:c r="G297" t="n">
        <x:v>3751</x:v>
      </x:c>
      <x:c r="H297" s="28" t="n">
        <x:v>566.59</x:v>
      </x:c>
      <x:c r="I297" t="n">
        <x:v>4992</x:v>
      </x:c>
      <x:c r="J297" t="n">
        <x:v>22</x:v>
      </x:c>
      <x:c r="K297" t="n">
        <x:v>14</x:v>
      </x:c>
      <x:c r="L297" s="27" t="n">
        <x:f>IFERROR(K297/I297,0)</x:f>
        <x:v>0.0028044871794871795</x:v>
      </x:c>
      <x:c r="M297" s="28" t="n">
        <x:f>IFERROR(H297/K297,0)</x:f>
        <x:v>40.47071428571429</x:v>
      </x:c>
      <x:c r="N297" s="28" t="n">
        <x:f>IFERROR(H297/I297*1000,0)</x:f>
        <x:v>113.49959935897436</x:v>
      </x:c>
      <x:c r="O297" t="n">
        <x:v>1.330845</x:v>
      </x:c>
      <x:c r="P297" t="n">
        <x:v>0</x:v>
      </x:c>
      <x:c r="Q297" s="28" t="n">
        <x:v>0</x:v>
      </x:c>
      <x:c r="R297" s="28" t="n">
        <x:v>0</x:v>
      </x:c>
    </x:row>
    <x:row r="298">
      <x:c r="A298" t="str">
        <x:v>2026-07-23</x:v>
      </x:c>
      <x:c r="B298" t="str">
        <x:v>449281783851362</x:v>
      </x:c>
      <x:c r="C298" t="str">
        <x:v>Doruk Hastaneleri - SİNA ÖZEL Sağlık Hizmetleri A.ş</x:v>
      </x:c>
      <x:c r="D298" t="str">
        <x:v>120211732618490399</x:v>
      </x:c>
      <x:c r="E298" t="str">
        <x:v>ABO /Jinekomasti / plastik cerrahi / lead</x:v>
      </x:c>
      <x:c r="F298" t="str">
        <x:v>OUTCOME_LEADS</x:v>
      </x:c>
      <x:c r="G298" t="n">
        <x:v>1366</x:v>
      </x:c>
      <x:c r="H298" s="28" t="n">
        <x:v>169.39</x:v>
      </x:c>
      <x:c r="I298" t="n">
        <x:v>1700</x:v>
      </x:c>
      <x:c r="J298" t="n">
        <x:v>9</x:v>
      </x:c>
      <x:c r="K298" t="n">
        <x:v>6</x:v>
      </x:c>
      <x:c r="L298" s="27" t="n">
        <x:f>IFERROR(K298/I298,0)</x:f>
        <x:v>0.0035294117647058825</x:v>
      </x:c>
      <x:c r="M298" s="28" t="n">
        <x:f>IFERROR(H298/K298,0)</x:f>
        <x:v>28.231666666666666</x:v>
      </x:c>
      <x:c r="N298" s="28" t="n">
        <x:f>IFERROR(H298/I298*1000,0)</x:f>
        <x:v>99.64117647058823</x:v>
      </x:c>
      <x:c r="O298" t="n">
        <x:v>1.24451</x:v>
      </x:c>
      <x:c r="P298" t="n">
        <x:v>1</x:v>
      </x:c>
      <x:c r="Q298" s="28" t="n">
        <x:v>0</x:v>
      </x:c>
      <x:c r="R298" s="28" t="n">
        <x:v>0</x:v>
      </x:c>
    </x:row>
    <x:row r="299">
      <x:c r="A299" t="str">
        <x:v>2026-07-23</x:v>
      </x:c>
      <x:c r="B299" t="str">
        <x:v>449281783851362</x:v>
      </x:c>
      <x:c r="C299" t="str">
        <x:v>Doruk Hastaneleri - SİNA ÖZEL Sağlık Hizmetleri A.ş</x:v>
      </x:c>
      <x:c r="D299" t="str">
        <x:v>120211732654260399</x:v>
      </x:c>
      <x:c r="E299" t="str">
        <x:v>ABO / Rinoplasti / plastik cerrahi / lead</x:v>
      </x:c>
      <x:c r="F299" t="str">
        <x:v>OUTCOME_LEADS</x:v>
      </x:c>
      <x:c r="G299" t="n">
        <x:v>1875</x:v>
      </x:c>
      <x:c r="H299" s="28" t="n">
        <x:v>389.39</x:v>
      </x:c>
      <x:c r="I299" t="n">
        <x:v>2541</x:v>
      </x:c>
      <x:c r="J299" t="n">
        <x:v>14</x:v>
      </x:c>
      <x:c r="K299" t="n">
        <x:v>11</x:v>
      </x:c>
      <x:c r="L299" s="27" t="n">
        <x:f>IFERROR(K299/I299,0)</x:f>
        <x:v>0.004329004329004329</x:v>
      </x:c>
      <x:c r="M299" s="28" t="n">
        <x:f>IFERROR(H299/K299,0)</x:f>
        <x:v>35.39909090909091</x:v>
      </x:c>
      <x:c r="N299" s="28" t="n">
        <x:f>IFERROR(H299/I299*1000,0)</x:f>
        <x:v>153.24281778827233</x:v>
      </x:c>
      <x:c r="O299" t="n">
        <x:v>1.3552</x:v>
      </x:c>
      <x:c r="P299" t="n">
        <x:v>1</x:v>
      </x:c>
      <x:c r="Q299" s="28" t="n">
        <x:v>0</x:v>
      </x:c>
      <x:c r="R299" s="28" t="n">
        <x:v>0</x:v>
      </x:c>
    </x:row>
    <x:row r="300">
      <x:c r="A300" t="str">
        <x:v>2026-07-23</x:v>
      </x:c>
      <x:c r="B300" t="str">
        <x:v>449281783851362</x:v>
      </x:c>
      <x:c r="C300" t="str">
        <x:v>Doruk Hastaneleri - SİNA ÖZEL Sağlık Hizmetleri A.ş</x:v>
      </x:c>
      <x:c r="D300" t="str">
        <x:v>120211732712890399</x:v>
      </x:c>
      <x:c r="E300" t="str">
        <x:v>ABO / Vücut Şekillendirme / plastik cerrahi / lead</x:v>
      </x:c>
      <x:c r="F300" t="str">
        <x:v>OUTCOME_LEADS</x:v>
      </x:c>
      <x:c r="G300" t="n">
        <x:v>430</x:v>
      </x:c>
      <x:c r="H300" s="28" t="n">
        <x:v>162.53</x:v>
      </x:c>
      <x:c r="I300" t="n">
        <x:v>588</x:v>
      </x:c>
      <x:c r="J300" t="n">
        <x:v>4</x:v>
      </x:c>
      <x:c r="K300" t="n">
        <x:v>3</x:v>
      </x:c>
      <x:c r="L300" s="27" t="n">
        <x:f>IFERROR(K300/I300,0)</x:f>
        <x:v>0.00510204081632653</x:v>
      </x:c>
      <x:c r="M300" s="28" t="n">
        <x:f>IFERROR(H300/K300,0)</x:f>
        <x:v>54.17666666666667</x:v>
      </x:c>
      <x:c r="N300" s="28" t="n">
        <x:f>IFERROR(H300/I300*1000,0)</x:f>
        <x:v>276.4115646258503</x:v>
      </x:c>
      <x:c r="O300" t="n">
        <x:v>1.367442</x:v>
      </x:c>
      <x:c r="P300" t="n">
        <x:v>0</x:v>
      </x:c>
      <x:c r="Q300" s="28" t="n">
        <x:v>0</x:v>
      </x:c>
      <x:c r="R300" s="28" t="n">
        <x:v>0</x:v>
      </x:c>
    </x:row>
    <x:row r="301">
      <x:c r="A301" t="str">
        <x:v>2026-07-23</x:v>
      </x:c>
      <x:c r="B301" t="str">
        <x:v>449281783851362</x:v>
      </x:c>
      <x:c r="C301" t="str">
        <x:v>Doruk Hastaneleri - SİNA ÖZEL Sağlık Hizmetleri A.ş</x:v>
      </x:c>
      <x:c r="D301" t="str">
        <x:v>120211732754080399</x:v>
      </x:c>
      <x:c r="E301" t="str">
        <x:v>ABO / Yüz Germe (Facelift) / plastik cerrahi / lead</x:v>
      </x:c>
      <x:c r="F301" t="str">
        <x:v>OUTCOME_LEADS</x:v>
      </x:c>
      <x:c r="G301" t="n">
        <x:v>422</x:v>
      </x:c>
      <x:c r="H301" s="28" t="n">
        <x:v>156.33</x:v>
      </x:c>
      <x:c r="I301" t="n">
        <x:v>556</x:v>
      </x:c>
      <x:c r="J301" t="n">
        <x:v>7</x:v>
      </x:c>
      <x:c r="K301" t="n">
        <x:v>6</x:v>
      </x:c>
      <x:c r="L301" s="27" t="n">
        <x:f>IFERROR(K301/I301,0)</x:f>
        <x:v>0.01079136690647482</x:v>
      </x:c>
      <x:c r="M301" s="28" t="n">
        <x:f>IFERROR(H301/K301,0)</x:f>
        <x:v>26.055000000000003</x:v>
      </x:c>
      <x:c r="N301" s="28" t="n">
        <x:f>IFERROR(H301/I301*1000,0)</x:f>
        <x:v>281.1690647482015</x:v>
      </x:c>
      <x:c r="O301" t="n">
        <x:v>1.317536</x:v>
      </x:c>
      <x:c r="P301" t="n">
        <x:v>0</x:v>
      </x:c>
      <x:c r="Q301" s="28" t="n">
        <x:v>0</x:v>
      </x:c>
      <x:c r="R301" s="28" t="n">
        <x:v>0</x:v>
      </x:c>
    </x:row>
    <x:row r="302">
      <x:c r="A302" t="str">
        <x:v>2026-07-23</x:v>
      </x:c>
      <x:c r="B302" t="str">
        <x:v>449281783851362</x:v>
      </x:c>
      <x:c r="C302" t="str">
        <x:v>Doruk Hastaneleri - SİNA ÖZEL Sağlık Hizmetleri A.ş</x:v>
      </x:c>
      <x:c r="D302" t="str">
        <x:v>120214167265870399</x:v>
      </x:c>
      <x:c r="E302" t="str">
        <x:v>Baş Dönmesi ve Denge Ünitesi / lead</x:v>
      </x:c>
      <x:c r="F302" t="str">
        <x:v>OUTCOME_LEADS</x:v>
      </x:c>
      <x:c r="G302" t="n">
        <x:v>3667</x:v>
      </x:c>
      <x:c r="H302" s="28" t="n">
        <x:v>246.56</x:v>
      </x:c>
      <x:c r="I302" t="n">
        <x:v>4345</x:v>
      </x:c>
      <x:c r="J302" t="n">
        <x:v>62</x:v>
      </x:c>
      <x:c r="K302" t="n">
        <x:v>34</x:v>
      </x:c>
      <x:c r="L302" s="27" t="n">
        <x:f>IFERROR(K302/I302,0)</x:f>
        <x:v>0.007825086306098964</x:v>
      </x:c>
      <x:c r="M302" s="28" t="n">
        <x:f>IFERROR(H302/K302,0)</x:f>
        <x:v>7.251764705882353</x:v>
      </x:c>
      <x:c r="N302" s="28" t="n">
        <x:f>IFERROR(H302/I302*1000,0)</x:f>
        <x:v>56.745684695051786</x:v>
      </x:c>
      <x:c r="O302" t="n">
        <x:v>1.184892</x:v>
      </x:c>
      <x:c r="P302" t="n">
        <x:v>1</x:v>
      </x:c>
      <x:c r="Q302" s="28" t="n">
        <x:v>0</x:v>
      </x:c>
      <x:c r="R302" s="28" t="n">
        <x:v>0</x:v>
      </x:c>
    </x:row>
    <x:row r="303">
      <x:c r="A303" t="str">
        <x:v>2026-07-23</x:v>
      </x:c>
      <x:c r="B303" t="str">
        <x:v>449281783851362</x:v>
      </x:c>
      <x:c r="C303" t="str">
        <x:v>Doruk Hastaneleri - SİNA ÖZEL Sağlık Hizmetleri A.ş</x:v>
      </x:c>
      <x:c r="D303" t="str">
        <x:v>120220089108220399</x:v>
      </x:c>
      <x:c r="E303" t="str">
        <x:v>Checkup - genel - lead</x:v>
      </x:c>
      <x:c r="F303" t="str">
        <x:v>OUTCOME_LEADS</x:v>
      </x:c>
      <x:c r="G303" t="n">
        <x:v>2971</x:v>
      </x:c>
      <x:c r="H303" s="28" t="n">
        <x:v>513.74</x:v>
      </x:c>
      <x:c r="I303" t="n">
        <x:v>3789</x:v>
      </x:c>
      <x:c r="J303" t="n">
        <x:v>33</x:v>
      </x:c>
      <x:c r="K303" t="n">
        <x:v>16</x:v>
      </x:c>
      <x:c r="L303" s="27" t="n">
        <x:f>IFERROR(K303/I303,0)</x:f>
        <x:v>0.00422275006598047</x:v>
      </x:c>
      <x:c r="M303" s="28" t="n">
        <x:f>IFERROR(H303/K303,0)</x:f>
        <x:v>32.10875</x:v>
      </x:c>
      <x:c r="N303" s="28" t="n">
        <x:f>IFERROR(H303/I303*1000,0)</x:f>
        <x:v>135.5872261810504</x:v>
      </x:c>
      <x:c r="O303" t="n">
        <x:v>1.275328</x:v>
      </x:c>
      <x:c r="P303" t="n">
        <x:v>2</x:v>
      </x:c>
      <x:c r="Q303" s="28" t="n">
        <x:v>0</x:v>
      </x:c>
      <x:c r="R303" s="28" t="n">
        <x:v>0</x:v>
      </x:c>
    </x:row>
    <x:row r="304">
      <x:c r="A304" t="str">
        <x:v>2026-07-23</x:v>
      </x:c>
      <x:c r="B304" t="str">
        <x:v>449281783851362</x:v>
      </x:c>
      <x:c r="C304" t="str">
        <x:v>Doruk Hastaneleri - SİNA ÖZEL Sağlık Hizmetleri A.ş</x:v>
      </x:c>
      <x:c r="D304" t="str">
        <x:v>120242415465180399</x:v>
      </x:c>
      <x:c r="E304" t="str">
        <x:v>Gebe-Doğum Form Kampanyası</x:v>
      </x:c>
      <x:c r="F304" t="str">
        <x:v>OUTCOME_LEADS</x:v>
      </x:c>
      <x:c r="G304" t="n">
        <x:v>40485</x:v>
      </x:c>
      <x:c r="H304" s="28" t="n">
        <x:v>5805.4</x:v>
      </x:c>
      <x:c r="I304" t="n">
        <x:v>76761</x:v>
      </x:c>
      <x:c r="J304" t="n">
        <x:v>361</x:v>
      </x:c>
      <x:c r="K304" t="n">
        <x:v>225</x:v>
      </x:c>
      <x:c r="L304" s="27" t="n">
        <x:f>IFERROR(K304/I304,0)</x:f>
        <x:v>0.002931175987806308</x:v>
      </x:c>
      <x:c r="M304" s="28" t="n">
        <x:f>IFERROR(H304/K304,0)</x:f>
        <x:v>25.801777777777776</x:v>
      </x:c>
      <x:c r="N304" s="28" t="n">
        <x:f>IFERROR(H304/I304*1000,0)</x:f>
        <x:v>75.62955146493663</x:v>
      </x:c>
      <x:c r="O304" t="n">
        <x:v>1.896036</x:v>
      </x:c>
      <x:c r="P304" t="n">
        <x:v>17</x:v>
      </x:c>
      <x:c r="Q304" s="28" t="n">
        <x:v>0</x:v>
      </x:c>
      <x:c r="R304" s="28" t="n">
        <x:v>0</x:v>
      </x:c>
    </x:row>
    <x:row r="305">
      <x:c r="A305" t="str">
        <x:v>2026-07-23</x:v>
      </x:c>
      <x:c r="B305" t="str">
        <x:v>449281783851362</x:v>
      </x:c>
      <x:c r="C305" t="str">
        <x:v>Doruk Hastaneleri - SİNA ÖZEL Sağlık Hizmetleri A.ş</x:v>
      </x:c>
      <x:c r="D305" t="str">
        <x:v>120244050701710399</x:v>
      </x:c>
      <x:c r="E305" t="str">
        <x:v>Uzman Hekim Başvuru</x:v>
      </x:c>
      <x:c r="F305" t="str">
        <x:v>OUTCOME_LEADS</x:v>
      </x:c>
      <x:c r="G305" t="n">
        <x:v>3717</x:v>
      </x:c>
      <x:c r="H305" s="28" t="n">
        <x:v>661.79</x:v>
      </x:c>
      <x:c r="I305" t="n">
        <x:v>4736</x:v>
      </x:c>
      <x:c r="J305" t="n">
        <x:v>54</x:v>
      </x:c>
      <x:c r="K305" t="n">
        <x:v>31</x:v>
      </x:c>
      <x:c r="L305" s="27" t="n">
        <x:f>IFERROR(K305/I305,0)</x:f>
        <x:v>0.006545608108108108</x:v>
      </x:c>
      <x:c r="M305" s="28" t="n">
        <x:f>IFERROR(H305/K305,0)</x:f>
        <x:v>21.348064516129032</x:v>
      </x:c>
      <x:c r="N305" s="28" t="n">
        <x:f>IFERROR(H305/I305*1000,0)</x:f>
        <x:v>139.7360641891892</x:v>
      </x:c>
      <x:c r="O305" t="n">
        <x:v>1.274146</x:v>
      </x:c>
      <x:c r="P305" t="n">
        <x:v>4</x:v>
      </x:c>
      <x:c r="Q305" s="28" t="n">
        <x:v>0</x:v>
      </x:c>
      <x:c r="R305" s="28" t="n">
        <x:v>0</x:v>
      </x:c>
    </x:row>
    <x:row r="306">
      <x:c r="A306" t="str">
        <x:v>2026-07-23</x:v>
      </x:c>
      <x:c r="B306" t="str">
        <x:v>449281783851362</x:v>
      </x:c>
      <x:c r="C306" t="str">
        <x:v>Doruk Hastaneleri - SİNA ÖZEL Sağlık Hizmetleri A.ş</x:v>
      </x:c>
      <x:c r="D306" t="str">
        <x:v>120246476228800399</x:v>
      </x:c>
      <x:c r="E306" t="str">
        <x:v>FTR Yatılı - lead</x:v>
      </x:c>
      <x:c r="F306" t="str">
        <x:v>OUTCOME_LEADS</x:v>
      </x:c>
      <x:c r="G306" t="n">
        <x:v>35493</x:v>
      </x:c>
      <x:c r="H306" s="28" t="n">
        <x:v>2650.34</x:v>
      </x:c>
      <x:c r="I306" t="n">
        <x:v>39256</x:v>
      </x:c>
      <x:c r="J306" t="n">
        <x:v>227</x:v>
      </x:c>
      <x:c r="K306" t="n">
        <x:v>90</x:v>
      </x:c>
      <x:c r="L306" s="27" t="n">
        <x:f>IFERROR(K306/I306,0)</x:f>
        <x:v>0.002292643162828612</x:v>
      </x:c>
      <x:c r="M306" s="28" t="n">
        <x:f>IFERROR(H306/K306,0)</x:f>
        <x:v>29.448222222222224</x:v>
      </x:c>
      <x:c r="N306" s="28" t="n">
        <x:f>IFERROR(H306/I306*1000,0)</x:f>
        <x:v>67.51426533523538</x:v>
      </x:c>
      <x:c r="O306" t="n">
        <x:v>1.106021</x:v>
      </x:c>
      <x:c r="P306" t="n">
        <x:v>4</x:v>
      </x:c>
      <x:c r="Q306" s="28" t="n">
        <x:v>0</x:v>
      </x:c>
      <x:c r="R306" s="28" t="n">
        <x:v>0</x:v>
      </x:c>
    </x:row>
    <x:row r="307">
      <x:c r="A307" t="str">
        <x:v>2026-07-23</x:v>
      </x:c>
      <x:c r="B307" t="str">
        <x:v>449281783851362</x:v>
      </x:c>
      <x:c r="C307" t="str">
        <x:v>Doruk Hastaneleri - SİNA ÖZEL Sağlık Hizmetleri A.ş</x:v>
      </x:c>
      <x:c r="D307" t="str">
        <x:v>120246691590090399</x:v>
      </x:c>
      <x:c r="E307" t="str">
        <x:v>Hemşire İş Başvuru - lead</x:v>
      </x:c>
      <x:c r="F307" t="str">
        <x:v>OUTCOME_LEADS</x:v>
      </x:c>
      <x:c r="G307" t="n">
        <x:v>10764</x:v>
      </x:c>
      <x:c r="H307" s="28" t="n">
        <x:v>821.37</x:v>
      </x:c>
      <x:c r="I307" t="n">
        <x:v>15463</x:v>
      </x:c>
      <x:c r="J307" t="n">
        <x:v>102</x:v>
      </x:c>
      <x:c r="K307" t="n">
        <x:v>67</x:v>
      </x:c>
      <x:c r="L307" s="27" t="n">
        <x:f>IFERROR(K307/I307,0)</x:f>
        <x:v>0.004332923753476039</x:v>
      </x:c>
      <x:c r="M307" s="28" t="n">
        <x:f>IFERROR(H307/K307,0)</x:f>
        <x:v>12.259253731343284</x:v>
      </x:c>
      <x:c r="N307" s="28" t="n">
        <x:f>IFERROR(H307/I307*1000,0)</x:f>
        <x:v>53.11841169242709</x:v>
      </x:c>
      <x:c r="O307" t="n">
        <x:v>1.436548</x:v>
      </x:c>
      <x:c r="P307" t="n">
        <x:v>1</x:v>
      </x:c>
      <x:c r="Q307" s="28" t="n">
        <x:v>0</x:v>
      </x:c>
      <x:c r="R307" s="28" t="n">
        <x:v>0</x:v>
      </x:c>
    </x:row>
    <x:row r="308">
      <x:c r="A308" t="str">
        <x:v>2026-07-23</x:v>
      </x:c>
      <x:c r="B308" t="str">
        <x:v>449281783851362</x:v>
      </x:c>
      <x:c r="C308" t="str">
        <x:v>Doruk Hastaneleri - SİNA ÖZEL Sağlık Hizmetleri A.ş</x:v>
      </x:c>
      <x:c r="D308" t="str">
        <x:v>120246924981440399</x:v>
      </x:c>
      <x:c r="E308" t="str">
        <x:v>ÖSS-TSS - marka bilinirliği</x:v>
      </x:c>
      <x:c r="F308" t="str">
        <x:v>OUTCOME_AWARENESS</x:v>
      </x:c>
      <x:c r="G308" t="n">
        <x:v>110283</x:v>
      </x:c>
      <x:c r="H308" s="28" t="n">
        <x:v>1543.39</x:v>
      </x:c>
      <x:c r="I308" t="n">
        <x:v>112072</x:v>
      </x:c>
      <x:c r="J308" t="n">
        <x:v>120</x:v>
      </x:c>
      <x:c r="K308" t="n">
        <x:v>28</x:v>
      </x:c>
      <x:c r="L308" s="27" t="n">
        <x:f>IFERROR(K308/I308,0)</x:f>
        <x:v>0.0002498393889642373</x:v>
      </x:c>
      <x:c r="M308" s="28" t="n">
        <x:f>IFERROR(H308/K308,0)</x:f>
        <x:v>55.12107142857143</x:v>
      </x:c>
      <x:c r="N308" s="28" t="n">
        <x:f>IFERROR(H308/I308*1000,0)</x:f>
        <x:v>13.771414804768364</x:v>
      </x:c>
      <x:c r="O308" t="n">
        <x:v>1.016222</x:v>
      </x:c>
      <x:c r="P308" t="n">
        <x:v>0</x:v>
      </x:c>
      <x:c r="Q308" s="28" t="n">
        <x:v>0</x:v>
      </x:c>
      <x:c r="R308" s="28" t="n">
        <x:v>0</x:v>
      </x:c>
    </x:row>
    <x:row r="309">
      <x:c r="A309" t="str">
        <x:v>2026-07-23</x:v>
      </x:c>
      <x:c r="B309" t="str">
        <x:v>449281783851362</x:v>
      </x:c>
      <x:c r="C309" t="str">
        <x:v>Doruk Hastaneleri - SİNA ÖZEL Sağlık Hizmetleri A.ş</x:v>
      </x:c>
      <x:c r="D309" t="str">
        <x:v>120247034876600399</x:v>
      </x:c>
      <x:c r="E309" t="str">
        <x:v>Gebe-Doğum Bilinirlik</x:v>
      </x:c>
      <x:c r="F309" t="str">
        <x:v>OUTCOME_AWARENESS</x:v>
      </x:c>
      <x:c r="G309" t="n">
        <x:v>72021</x:v>
      </x:c>
      <x:c r="H309" s="28" t="n">
        <x:v>700.69</x:v>
      </x:c>
      <x:c r="I309" t="n">
        <x:v>72990</x:v>
      </x:c>
      <x:c r="J309" t="n">
        <x:v>57</x:v>
      </x:c>
      <x:c r="K309" t="n">
        <x:v>0</x:v>
      </x:c>
      <x:c r="L309" s="27" t="n">
        <x:f>IFERROR(K309/I309,0)</x:f>
        <x:v>0</x:v>
      </x:c>
      <x:c r="M309" s="28" t="n">
        <x:f>IFERROR(H309/K309,0)</x:f>
        <x:v>0</x:v>
      </x:c>
      <x:c r="N309" s="28" t="n">
        <x:f>IFERROR(H309/I309*1000,0)</x:f>
        <x:v>9.599808192903138</x:v>
      </x:c>
      <x:c r="O309" t="n">
        <x:v>1.013454</x:v>
      </x:c>
      <x:c r="P309" t="n">
        <x:v>0</x:v>
      </x:c>
      <x:c r="Q309" s="28" t="n">
        <x:v>0</x:v>
      </x:c>
      <x:c r="R309" s="28" t="n">
        <x:v>0</x:v>
      </x:c>
    </x:row>
    <x:row r="310">
      <x:c r="A310" t="str">
        <x:v>2026-07-23</x:v>
      </x:c>
      <x:c r="B310" t="str">
        <x:v>449281783851362</x:v>
      </x:c>
      <x:c r="C310" t="str">
        <x:v>Doruk Hastaneleri - SİNA ÖZEL Sağlık Hizmetleri A.ş</x:v>
      </x:c>
      <x:c r="D310" t="str">
        <x:v>120248812698040399</x:v>
      </x:c>
      <x:c r="E310" t="str">
        <x:v>ABO / Medikal Estetik lead / 16.04.2026</x:v>
      </x:c>
      <x:c r="F310" t="str">
        <x:v>OUTCOME_LEADS</x:v>
      </x:c>
      <x:c r="G310" t="n">
        <x:v>14413</x:v>
      </x:c>
      <x:c r="H310" s="28" t="n">
        <x:v>1913.74</x:v>
      </x:c>
      <x:c r="I310" t="n">
        <x:v>17484</x:v>
      </x:c>
      <x:c r="J310" t="n">
        <x:v>188</x:v>
      </x:c>
      <x:c r="K310" t="n">
        <x:v>81</x:v>
      </x:c>
      <x:c r="L310" s="27" t="n">
        <x:f>IFERROR(K310/I310,0)</x:f>
        <x:v>0.0046328071379547016</x:v>
      </x:c>
      <x:c r="M310" s="28" t="n">
        <x:f>IFERROR(H310/K310,0)</x:f>
        <x:v>23.62641975308642</x:v>
      </x:c>
      <x:c r="N310" s="28" t="n">
        <x:f>IFERROR(H310/I310*1000,0)</x:f>
        <x:v>109.45664607641271</x:v>
      </x:c>
      <x:c r="O310" t="n">
        <x:v>1.213072</x:v>
      </x:c>
      <x:c r="P310" t="n">
        <x:v>18</x:v>
      </x:c>
      <x:c r="Q310" s="28" t="n">
        <x:v>0</x:v>
      </x:c>
      <x:c r="R310" s="28" t="n">
        <x:v>0</x:v>
      </x:c>
    </x:row>
    <x:row r="311">
      <x:c r="A311" t="str">
        <x:v>2026-07-23</x:v>
      </x:c>
      <x:c r="B311" t="str">
        <x:v>449281783851362</x:v>
      </x:c>
      <x:c r="C311" t="str">
        <x:v>Doruk Hastaneleri - SİNA ÖZEL Sağlık Hizmetleri A.ş</x:v>
      </x:c>
      <x:c r="D311" t="str">
        <x:v>120249061996540399</x:v>
      </x:c>
      <x:c r="E311" t="str">
        <x:v>Doktor - Bilinirlik Kampanyası - Nilüfer</x:v>
      </x:c>
      <x:c r="F311" t="str">
        <x:v>OUTCOME_AWARENESS</x:v>
      </x:c>
      <x:c r="G311" t="n">
        <x:v>387061</x:v>
      </x:c>
      <x:c r="H311" s="28" t="n">
        <x:v>4003.99</x:v>
      </x:c>
      <x:c r="I311" t="n">
        <x:v>429743</x:v>
      </x:c>
      <x:c r="J311" t="n">
        <x:v>273</x:v>
      </x:c>
      <x:c r="K311" t="n">
        <x:v>0</x:v>
      </x:c>
      <x:c r="L311" s="27" t="n">
        <x:f>IFERROR(K311/I311,0)</x:f>
        <x:v>0</x:v>
      </x:c>
      <x:c r="M311" s="28" t="n">
        <x:f>IFERROR(H311/K311,0)</x:f>
        <x:v>0</x:v>
      </x:c>
      <x:c r="N311" s="28" t="n">
        <x:f>IFERROR(H311/I311*1000,0)</x:f>
        <x:v>9.31717328729031</x:v>
      </x:c>
      <x:c r="O311" t="n">
        <x:v>1.110272</x:v>
      </x:c>
      <x:c r="P311" t="n">
        <x:v>0</x:v>
      </x:c>
      <x:c r="Q311" s="28" t="n">
        <x:v>0</x:v>
      </x:c>
      <x:c r="R311" s="28" t="n">
        <x:v>0</x:v>
      </x:c>
    </x:row>
    <x:row r="312">
      <x:c r="A312" t="str">
        <x:v>2026-07-23</x:v>
      </x:c>
      <x:c r="B312" t="str">
        <x:v>449281783851362</x:v>
      </x:c>
      <x:c r="C312" t="str">
        <x:v>Doruk Hastaneleri - SİNA ÖZEL Sağlık Hizmetleri A.ş</x:v>
      </x:c>
      <x:c r="D312" t="str">
        <x:v>120249614228610399</x:v>
      </x:c>
      <x:c r="E312" t="str">
        <x:v>Instagram gönderisi: Bir sezon boyunca ortaya...</x:v>
      </x:c>
      <x:c r="F312" t="str">
        <x:v>LINK_CLICKS</x:v>
      </x:c>
      <x:c r="G312" t="n">
        <x:v>48218</x:v>
      </x:c>
      <x:c r="H312" s="28" t="n">
        <x:v>2858.39</x:v>
      </x:c>
      <x:c r="I312" t="n">
        <x:v>52165</x:v>
      </x:c>
      <x:c r="J312" t="n">
        <x:v>550</x:v>
      </x:c>
      <x:c r="K312" t="n">
        <x:v>556</x:v>
      </x:c>
      <x:c r="L312" s="27" t="n">
        <x:f>IFERROR(K312/I312,0)</x:f>
        <x:v>0.01065848749161315</x:v>
      </x:c>
      <x:c r="M312" s="28" t="n">
        <x:f>IFERROR(H312/K312,0)</x:f>
        <x:v>5.140989208633093</x:v>
      </x:c>
      <x:c r="N312" s="28" t="n">
        <x:f>IFERROR(H312/I312*1000,0)</x:f>
        <x:v>54.79516917473401</x:v>
      </x:c>
      <x:c r="O312" t="n">
        <x:v>1.081857</x:v>
      </x:c>
      <x:c r="P312" t="n">
        <x:v>0</x:v>
      </x:c>
      <x:c r="Q312" s="28" t="n">
        <x:v>0</x:v>
      </x:c>
      <x:c r="R312" s="28" t="n">
        <x:v>0</x:v>
      </x:c>
    </x:row>
    <x:row r="313">
      <x:c r="A313" t="str">
        <x:v>2026-07-23</x:v>
      </x:c>
      <x:c r="B313" t="str">
        <x:v>449281783851362</x:v>
      </x:c>
      <x:c r="C313" t="str">
        <x:v>Doruk Hastaneleri - SİNA ÖZEL Sağlık Hizmetleri A.ş</x:v>
      </x:c>
      <x:c r="D313" t="str">
        <x:v>120251414264130399</x:v>
      </x:c>
      <x:c r="E313" t="str">
        <x:v>Prostat Checkup - lead</x:v>
      </x:c>
      <x:c r="F313" t="str">
        <x:v>OUTCOME_LEADS</x:v>
      </x:c>
      <x:c r="G313" t="n">
        <x:v>5779</x:v>
      </x:c>
      <x:c r="H313" s="28" t="n">
        <x:v>360</x:v>
      </x:c>
      <x:c r="I313" t="n">
        <x:v>6794</x:v>
      </x:c>
      <x:c r="J313" t="n">
        <x:v>180</x:v>
      </x:c>
      <x:c r="K313" t="n">
        <x:v>41</x:v>
      </x:c>
      <x:c r="L313" s="27" t="n">
        <x:f>IFERROR(K313/I313,0)</x:f>
        <x:v>0.006034736532234324</x:v>
      </x:c>
      <x:c r="M313" s="28" t="n">
        <x:f>IFERROR(H313/K313,0)</x:f>
        <x:v>8.78048780487805</x:v>
      </x:c>
      <x:c r="N313" s="28" t="n">
        <x:f>IFERROR(H313/I313*1000,0)</x:f>
        <x:v>52.987930526935536</x:v>
      </x:c>
      <x:c r="O313" t="n">
        <x:v>1.175636</x:v>
      </x:c>
      <x:c r="P313" t="n">
        <x:v>2</x:v>
      </x:c>
      <x:c r="Q313" s="28" t="n">
        <x:v>0</x:v>
      </x:c>
      <x:c r="R313" s="28" t="n">
        <x:v>0</x:v>
      </x:c>
    </x:row>
    <x:row r="314">
      <x:c r="A314" t="str">
        <x:v>2026-07-23</x:v>
      </x:c>
      <x:c r="B314" t="str">
        <x:v>449281783851362</x:v>
      </x:c>
      <x:c r="C314" t="str">
        <x:v>Doruk Hastaneleri - SİNA ÖZEL Sağlık Hizmetleri A.ş</x:v>
      </x:c>
      <x:c r="D314" t="str">
        <x:v>120252323141170399</x:v>
      </x:c>
      <x:c r="E314" t="str">
        <x:v>Instagram gönderisi: Medikal estetik alanındaki...</x:v>
      </x:c>
      <x:c r="F314" t="str">
        <x:v>LINK_CLICKS</x:v>
      </x:c>
      <x:c r="G314" t="n">
        <x:v>4644</x:v>
      </x:c>
      <x:c r="H314" s="28" t="n">
        <x:v>285.23</x:v>
      </x:c>
      <x:c r="I314" t="n">
        <x:v>4944</x:v>
      </x:c>
      <x:c r="J314" t="n">
        <x:v>85</x:v>
      </x:c>
      <x:c r="K314" t="n">
        <x:v>82</x:v>
      </x:c>
      <x:c r="L314" s="27" t="n">
        <x:f>IFERROR(K314/I314,0)</x:f>
        <x:v>0.016585760517799353</x:v>
      </x:c>
      <x:c r="M314" s="28" t="n">
        <x:f>IFERROR(H314/K314,0)</x:f>
        <x:v>3.4784146341463416</x:v>
      </x:c>
      <x:c r="N314" s="28" t="n">
        <x:f>IFERROR(H314/I314*1000,0)</x:f>
        <x:v>57.69215210355987</x:v>
      </x:c>
      <x:c r="O314" t="n">
        <x:v>1.064599</x:v>
      </x:c>
      <x:c r="P314" t="n">
        <x:v>0</x:v>
      </x:c>
      <x:c r="Q314" s="28" t="n">
        <x:v>0</x:v>
      </x:c>
      <x:c r="R314" s="28" t="n">
        <x:v>0</x:v>
      </x:c>
    </x:row>
    <x:row r="315">
      <x:c r="A315" t="str">
        <x:v>2026-07-23</x:v>
      </x:c>
      <x:c r="B315" t="str">
        <x:v>449281783851362</x:v>
      </x:c>
      <x:c r="C315" t="str">
        <x:v>Doruk Hastaneleri - SİNA ÖZEL Sağlık Hizmetleri A.ş</x:v>
      </x:c>
      <x:c r="D315" t="str">
        <x:v>120255099624540399</x:v>
      </x:c>
      <x:c r="E315" t="str">
        <x:v>Instagram gönderisi: Doruk Sağlık Grubu olarak,...</x:v>
      </x:c>
      <x:c r="F315" t="str">
        <x:v>LINK_CLICKS</x:v>
      </x:c>
      <x:c r="G315" t="n">
        <x:v>40260</x:v>
      </x:c>
      <x:c r="H315" s="28" t="n">
        <x:v>2470.84</x:v>
      </x:c>
      <x:c r="I315" t="n">
        <x:v>43540</x:v>
      </x:c>
      <x:c r="J315" t="n">
        <x:v>513</x:v>
      </x:c>
      <x:c r="K315" t="n">
        <x:v>514</x:v>
      </x:c>
      <x:c r="L315" s="27" t="n">
        <x:f>IFERROR(K315/I315,0)</x:f>
        <x:v>0.011805236564079008</x:v>
      </x:c>
      <x:c r="M315" s="28" t="n">
        <x:f>IFERROR(H315/K315,0)</x:f>
        <x:v>4.807081712062257</x:v>
      </x:c>
      <x:c r="N315" s="28" t="n">
        <x:f>IFERROR(H315/I315*1000,0)</x:f>
        <x:v>56.748736793752876</x:v>
      </x:c>
      <x:c r="O315" t="n">
        <x:v>1.08147</x:v>
      </x:c>
      <x:c r="P315" t="n">
        <x:v>0</x:v>
      </x:c>
      <x:c r="Q315" s="28" t="n">
        <x:v>0</x:v>
      </x:c>
      <x:c r="R315" s="28" t="n">
        <x:v>0</x:v>
      </x:c>
    </x:row>
    <x:row r="316">
      <x:c r="A316" t="str">
        <x:v>2026-07-23</x:v>
      </x:c>
      <x:c r="B316" t="str">
        <x:v>449281783851362</x:v>
      </x:c>
      <x:c r="C316" t="str">
        <x:v>Doruk Hastaneleri - SİNA ÖZEL Sağlık Hizmetleri A.ş</x:v>
      </x:c>
      <x:c r="D316" t="str">
        <x:v>120255158812950399</x:v>
      </x:c>
      <x:c r="E316" t="str">
        <x:v>Doktor - Bilinirlik Kampanyası - Yıldırım</x:v>
      </x:c>
      <x:c r="F316" t="str">
        <x:v>OUTCOME_AWARENESS</x:v>
      </x:c>
      <x:c r="G316" t="n">
        <x:v>186432</x:v>
      </x:c>
      <x:c r="H316" s="28" t="n">
        <x:v>1776.33</x:v>
      </x:c>
      <x:c r="I316" t="n">
        <x:v>192981</x:v>
      </x:c>
      <x:c r="J316" t="n">
        <x:v>94</x:v>
      </x:c>
      <x:c r="K316" t="n">
        <x:v>0</x:v>
      </x:c>
      <x:c r="L316" s="27" t="n">
        <x:f>IFERROR(K316/I316,0)</x:f>
        <x:v>0</x:v>
      </x:c>
      <x:c r="M316" s="28" t="n">
        <x:f>IFERROR(H316/K316,0)</x:f>
        <x:v>0</x:v>
      </x:c>
      <x:c r="N316" s="28" t="n">
        <x:f>IFERROR(H316/I316*1000,0)</x:f>
        <x:v>9.204688544468109</x:v>
      </x:c>
      <x:c r="O316" t="n">
        <x:v>1.035128</x:v>
      </x:c>
      <x:c r="P316" t="n">
        <x:v>0</x:v>
      </x:c>
      <x:c r="Q316" s="28" t="n">
        <x:v>0</x:v>
      </x:c>
      <x:c r="R316" s="28" t="n">
        <x:v>0</x:v>
      </x:c>
    </x:row>
    <x:row r="317">
      <x:c r="A317" t="str">
        <x:v>2026-07-23</x:v>
      </x:c>
      <x:c r="B317" t="str">
        <x:v>449281783851362</x:v>
      </x:c>
      <x:c r="C317" t="str">
        <x:v>Doruk Hastaneleri - SİNA ÖZEL Sağlık Hizmetleri A.ş</x:v>
      </x:c>
      <x:c r="D317" t="str">
        <x:v>120255738261970399</x:v>
      </x:c>
      <x:c r="E317" t="str">
        <x:v>Instagram gönderisi: Aşılama tedavisi, gebelik...</x:v>
      </x:c>
      <x:c r="F317" t="str">
        <x:v>LINK_CLICKS</x:v>
      </x:c>
      <x:c r="G317" t="n">
        <x:v>5420</x:v>
      </x:c>
      <x:c r="H317" s="28" t="n">
        <x:v>369.26</x:v>
      </x:c>
      <x:c r="I317" t="n">
        <x:v>5741</x:v>
      </x:c>
      <x:c r="J317" t="n">
        <x:v>58</x:v>
      </x:c>
      <x:c r="K317" t="n">
        <x:v>59</x:v>
      </x:c>
      <x:c r="L317" s="27" t="n">
        <x:f>IFERROR(K317/I317,0)</x:f>
        <x:v>0.010276955234279742</x:v>
      </x:c>
      <x:c r="M317" s="28" t="n">
        <x:f>IFERROR(H317/K317,0)</x:f>
        <x:v>6.25864406779661</x:v>
      </x:c>
      <x:c r="N317" s="28" t="n">
        <x:f>IFERROR(H317/I317*1000,0)</x:f>
        <x:v>64.31980491203623</x:v>
      </x:c>
      <x:c r="O317" t="n">
        <x:v>1.059225</x:v>
      </x:c>
      <x:c r="P317" t="n">
        <x:v>0</x:v>
      </x:c>
      <x:c r="Q317" s="28" t="n">
        <x:v>0</x:v>
      </x:c>
      <x:c r="R317" s="28" t="n">
        <x:v>0</x:v>
      </x:c>
    </x:row>
    <x:row r="318">
      <x:c r="A318" t="str">
        <x:v>2026-07-23</x:v>
      </x:c>
      <x:c r="B318" t="str">
        <x:v>449281783851362</x:v>
      </x:c>
      <x:c r="C318" t="str">
        <x:v>Doruk Hastaneleri - SİNA ÖZEL Sağlık Hizmetleri A.ş</x:v>
      </x:c>
      <x:c r="D318" t="str">
        <x:v>120255738303970399</x:v>
      </x:c>
      <x:c r="E318" t="str">
        <x:v>Instagram gönderisi: 🏅 BURSA'DA BİR İLK
Özel...</x:v>
      </x:c>
      <x:c r="F318" t="str">
        <x:v>LINK_CLICKS</x:v>
      </x:c>
      <x:c r="G318" t="n">
        <x:v>6221</x:v>
      </x:c>
      <x:c r="H318" s="28" t="n">
        <x:v>435.61</x:v>
      </x:c>
      <x:c r="I318" t="n">
        <x:v>6904</x:v>
      </x:c>
      <x:c r="J318" t="n">
        <x:v>119</x:v>
      </x:c>
      <x:c r="K318" t="n">
        <x:v>125</x:v>
      </x:c>
      <x:c r="L318" s="27" t="n">
        <x:f>IFERROR(K318/I318,0)</x:f>
        <x:v>0.018105446118192352</x:v>
      </x:c>
      <x:c r="M318" s="28" t="n">
        <x:f>IFERROR(H318/K318,0)</x:f>
        <x:v>3.48488</x:v>
      </x:c>
      <x:c r="N318" s="28" t="n">
        <x:f>IFERROR(H318/I318*1000,0)</x:f>
        <x:v>63.09530706836616</x:v>
      </x:c>
      <x:c r="O318" t="n">
        <x:v>1.109789</x:v>
      </x:c>
      <x:c r="P318" t="n">
        <x:v>0</x:v>
      </x:c>
      <x:c r="Q318" s="28" t="n">
        <x:v>0</x:v>
      </x:c>
      <x:c r="R318" s="28" t="n">
        <x:v>0</x:v>
      </x:c>
    </x:row>
    <x:row r="319">
      <x:c r="A319" t="str">
        <x:v>2026-07-23</x:v>
      </x:c>
      <x:c r="B319" t="str">
        <x:v>449281783851362</x:v>
      </x:c>
      <x:c r="C319" t="str">
        <x:v>Doruk Hastaneleri - SİNA ÖZEL Sağlık Hizmetleri A.ş</x:v>
      </x:c>
      <x:c r="D319" t="str">
        <x:v>120255738326270399</x:v>
      </x:c>
      <x:c r="E319" t="str">
        <x:v>Instagram gönderisi: Gebelikte bel ağrısı sık...</x:v>
      </x:c>
      <x:c r="F319" t="str">
        <x:v>LINK_CLICKS</x:v>
      </x:c>
      <x:c r="G319" t="n">
        <x:v>3221</x:v>
      </x:c>
      <x:c r="H319" s="28" t="n">
        <x:v>345.73</x:v>
      </x:c>
      <x:c r="I319" t="n">
        <x:v>3476</x:v>
      </x:c>
      <x:c r="J319" t="n">
        <x:v>36</x:v>
      </x:c>
      <x:c r="K319" t="n">
        <x:v>36</x:v>
      </x:c>
      <x:c r="L319" s="27" t="n">
        <x:f>IFERROR(K319/I319,0)</x:f>
        <x:v>0.010356731875719217</x:v>
      </x:c>
      <x:c r="M319" s="28" t="n">
        <x:f>IFERROR(H319/K319,0)</x:f>
        <x:v>9.603611111111112</x:v>
      </x:c>
      <x:c r="N319" s="28" t="n">
        <x:f>IFERROR(H319/I319*1000,0)</x:f>
        <x:v>99.46202531645571</x:v>
      </x:c>
      <x:c r="O319" t="n">
        <x:v>1.079168</x:v>
      </x:c>
      <x:c r="P319" t="n">
        <x:v>0</x:v>
      </x:c>
      <x:c r="Q319" s="28" t="n">
        <x:v>0</x:v>
      </x:c>
      <x:c r="R319" s="28" t="n">
        <x:v>0</x:v>
      </x:c>
    </x:row>
    <x:row r="320">
      <x:c r="A320" t="str">
        <x:v>2026-07-23</x:v>
      </x:c>
      <x:c r="B320" t="str">
        <x:v>449281783851362</x:v>
      </x:c>
      <x:c r="C320" t="str">
        <x:v>Doruk Hastaneleri - SİNA ÖZEL Sağlık Hizmetleri A.ş</x:v>
      </x:c>
      <x:c r="D320" t="str">
        <x:v>120255738351260399</x:v>
      </x:c>
      <x:c r="E320" t="str">
        <x:v>Instagram gönderisi: İlişki sonrasında idrar...</x:v>
      </x:c>
      <x:c r="F320" t="str">
        <x:v>LINK_CLICKS</x:v>
      </x:c>
      <x:c r="G320" t="n">
        <x:v>2715</x:v>
      </x:c>
      <x:c r="H320" s="28" t="n">
        <x:v>412.56</x:v>
      </x:c>
      <x:c r="I320" t="n">
        <x:v>2922</x:v>
      </x:c>
      <x:c r="J320" t="n">
        <x:v>64</x:v>
      </x:c>
      <x:c r="K320" t="n">
        <x:v>63</x:v>
      </x:c>
      <x:c r="L320" s="27" t="n">
        <x:f>IFERROR(K320/I320,0)</x:f>
        <x:v>0.021560574948665298</x:v>
      </x:c>
      <x:c r="M320" s="28" t="n">
        <x:f>IFERROR(H320/K320,0)</x:f>
        <x:v>6.548571428571429</x:v>
      </x:c>
      <x:c r="N320" s="28" t="n">
        <x:f>IFERROR(H320/I320*1000,0)</x:f>
        <x:v>141.19096509240248</x:v>
      </x:c>
      <x:c r="O320" t="n">
        <x:v>1.076243</x:v>
      </x:c>
      <x:c r="P320" t="n">
        <x:v>0</x:v>
      </x:c>
      <x:c r="Q320" s="28" t="n">
        <x:v>0</x:v>
      </x:c>
      <x:c r="R320" s="28" t="n">
        <x:v>0</x:v>
      </x:c>
    </x:row>
    <x:row r="321">
      <x:c r="A321" t="str">
        <x:v>2026-07-23</x:v>
      </x:c>
      <x:c r="B321" t="str">
        <x:v>449281783851362</x:v>
      </x:c>
      <x:c r="C321" t="str">
        <x:v>Doruk Hastaneleri - SİNA ÖZEL Sağlık Hizmetleri A.ş</x:v>
      </x:c>
      <x:c r="D321" t="str">
        <x:v>120255738376560399</x:v>
      </x:c>
      <x:c r="E321" t="str">
        <x:v>Instagram gönderisi: Ablasyon tedavisi, vücutta...</x:v>
      </x:c>
      <x:c r="F321" t="str">
        <x:v>LINK_CLICKS</x:v>
      </x:c>
      <x:c r="G321" t="n">
        <x:v>2688</x:v>
      </x:c>
      <x:c r="H321" s="28" t="n">
        <x:v>402.38</x:v>
      </x:c>
      <x:c r="I321" t="n">
        <x:v>2894</x:v>
      </x:c>
      <x:c r="J321" t="n">
        <x:v>54</x:v>
      </x:c>
      <x:c r="K321" t="n">
        <x:v>56</x:v>
      </x:c>
      <x:c r="L321" s="27" t="n">
        <x:f>IFERROR(K321/I321,0)</x:f>
        <x:v>0.019350380096751902</x:v>
      </x:c>
      <x:c r="M321" s="28" t="n">
        <x:f>IFERROR(H321/K321,0)</x:f>
        <x:v>7.185357142857143</x:v>
      </x:c>
      <x:c r="N321" s="28" t="n">
        <x:f>IFERROR(H321/I321*1000,0)</x:f>
        <x:v>139.03939184519695</x:v>
      </x:c>
      <x:c r="O321" t="n">
        <x:v>1.076637</x:v>
      </x:c>
      <x:c r="P321" t="n">
        <x:v>0</x:v>
      </x:c>
      <x:c r="Q321" s="28" t="n">
        <x:v>0</x:v>
      </x:c>
      <x:c r="R321" s="28" t="n">
        <x:v>0</x:v>
      </x:c>
    </x:row>
    <x:row r="322">
      <x:c r="A322" t="str">
        <x:v>2026-07-23</x:v>
      </x:c>
      <x:c r="B322" t="str">
        <x:v>449281783851362</x:v>
      </x:c>
      <x:c r="C322" t="str">
        <x:v>Doruk Hastaneleri - SİNA ÖZEL Sağlık Hizmetleri A.ş</x:v>
      </x:c>
      <x:c r="D322" t="str">
        <x:v>120255739080510399</x:v>
      </x:c>
      <x:c r="E322" t="str">
        <x:v>Gönderi: "👃 Rinoplasti Ameliyatı Nedir? Yumuşak Doku Neden..."</x:v>
      </x:c>
      <x:c r="F322" t="str">
        <x:v>OUTCOME_ENGAGEMENT</x:v>
      </x:c>
      <x:c r="G322" t="n">
        <x:v>3561</x:v>
      </x:c>
      <x:c r="H322" s="28" t="n">
        <x:v>309.57</x:v>
      </x:c>
      <x:c r="I322" t="n">
        <x:v>4380</x:v>
      </x:c>
      <x:c r="J322" t="n">
        <x:v>244</x:v>
      </x:c>
      <x:c r="K322" t="n">
        <x:v>127</x:v>
      </x:c>
      <x:c r="L322" s="27" t="n">
        <x:f>IFERROR(K322/I322,0)</x:f>
        <x:v>0.02899543378995434</x:v>
      </x:c>
      <x:c r="M322" s="28" t="n">
        <x:f>IFERROR(H322/K322,0)</x:f>
        <x:v>2.4375590551181103</x:v>
      </x:c>
      <x:c r="N322" s="28" t="n">
        <x:f>IFERROR(H322/I322*1000,0)</x:f>
        <x:v>70.67808219178082</x:v>
      </x:c>
      <x:c r="O322" t="n">
        <x:v>1.229992</x:v>
      </x:c>
      <x:c r="P322" t="n">
        <x:v>0</x:v>
      </x:c>
      <x:c r="Q322" s="28" t="n">
        <x:v>0</x:v>
      </x:c>
      <x:c r="R322" s="28" t="n">
        <x:v>0</x:v>
      </x:c>
    </x:row>
    <x:row r="323">
      <x:c r="A323" t="str">
        <x:v>2026-07-23</x:v>
      </x:c>
      <x:c r="B323" t="str">
        <x:v>449281783851362</x:v>
      </x:c>
      <x:c r="C323" t="str">
        <x:v>Doruk Hastaneleri - SİNA ÖZEL Sağlık Hizmetleri A.ş</x:v>
      </x:c>
      <x:c r="D323" t="str">
        <x:v>120255739163090399</x:v>
      </x:c>
      <x:c r="E323" t="str">
        <x:v>Instagram gönderisi: 👃 Rinoplasti Ameliyatı...</x:v>
      </x:c>
      <x:c r="F323" t="str">
        <x:v>LINK_CLICKS</x:v>
      </x:c>
      <x:c r="G323" t="n">
        <x:v>6442</x:v>
      </x:c>
      <x:c r="H323" s="28" t="n">
        <x:v>429.24</x:v>
      </x:c>
      <x:c r="I323" t="n">
        <x:v>7397</x:v>
      </x:c>
      <x:c r="J323" t="n">
        <x:v>281</x:v>
      </x:c>
      <x:c r="K323" t="n">
        <x:v>295</x:v>
      </x:c>
      <x:c r="L323" s="27" t="n">
        <x:f>IFERROR(K323/I323,0)</x:f>
        <x:v>0.03988103285115587</x:v>
      </x:c>
      <x:c r="M323" s="28" t="n">
        <x:f>IFERROR(H323/K323,0)</x:f>
        <x:v>1.4550508474576271</x:v>
      </x:c>
      <x:c r="N323" s="28" t="n">
        <x:f>IFERROR(H323/I323*1000,0)</x:f>
        <x:v>58.028930647559825</x:v>
      </x:c>
      <x:c r="O323" t="n">
        <x:v>1.148246</x:v>
      </x:c>
      <x:c r="P323" t="n">
        <x:v>0</x:v>
      </x:c>
      <x:c r="Q323" s="28" t="n">
        <x:v>0</x:v>
      </x:c>
      <x:c r="R323" s="28" t="n">
        <x:v>0</x:v>
      </x:c>
    </x:row>
    <x:row r="324">
      <x:c r="A324" t="str">
        <x:v>2026-07-23</x:v>
      </x:c>
      <x:c r="B324" t="str">
        <x:v>449281783851362</x:v>
      </x:c>
      <x:c r="C324" t="str">
        <x:v>Doruk Hastaneleri - SİNA ÖZEL Sağlık Hizmetleri A.ş</x:v>
      </x:c>
      <x:c r="D324" t="str">
        <x:v>120255739194330399</x:v>
      </x:c>
      <x:c r="E324" t="str">
        <x:v>Instagram gönderisi: 🖐️ Parmak Ucu Defekti Nasıl...</x:v>
      </x:c>
      <x:c r="F324" t="str">
        <x:v>LINK_CLICKS</x:v>
      </x:c>
      <x:c r="G324" t="n">
        <x:v>5107</x:v>
      </x:c>
      <x:c r="H324" s="28" t="n">
        <x:v>422.59</x:v>
      </x:c>
      <x:c r="I324" t="n">
        <x:v>5485</x:v>
      </x:c>
      <x:c r="J324" t="n">
        <x:v>151</x:v>
      </x:c>
      <x:c r="K324" t="n">
        <x:v>152</x:v>
      </x:c>
      <x:c r="L324" s="27" t="n">
        <x:f>IFERROR(K324/I324,0)</x:f>
        <x:v>0.02771194165907019</x:v>
      </x:c>
      <x:c r="M324" s="28" t="n">
        <x:f>IFERROR(H324/K324,0)</x:f>
        <x:v>2.7801973684210526</x:v>
      </x:c>
      <x:c r="N324" s="28" t="n">
        <x:f>IFERROR(H324/I324*1000,0)</x:f>
        <x:v>77.04466727438468</x:v>
      </x:c>
      <x:c r="O324" t="n">
        <x:v>1.074016</x:v>
      </x:c>
      <x:c r="P324" t="n">
        <x:v>0</x:v>
      </x:c>
      <x:c r="Q324" s="28" t="n">
        <x:v>0</x:v>
      </x:c>
      <x:c r="R324" s="28" t="n">
        <x:v>0</x:v>
      </x:c>
    </x:row>
    <x:row r="325">
      <x:c r="A325" t="str">
        <x:v>2026-07-23</x:v>
      </x:c>
      <x:c r="B325" t="str">
        <x:v>449281783851362</x:v>
      </x:c>
      <x:c r="C325" t="str">
        <x:v>Doruk Hastaneleri - SİNA ÖZEL Sağlık Hizmetleri A.ş</x:v>
      </x:c>
      <x:c r="D325" t="str">
        <x:v>120255739290470399</x:v>
      </x:c>
      <x:c r="E325" t="str">
        <x:v>Instagram gönderisi: 🎗️ Kemoterapi Alan Her...</x:v>
      </x:c>
      <x:c r="F325" t="str">
        <x:v>LINK_CLICKS</x:v>
      </x:c>
      <x:c r="G325" t="n">
        <x:v>5029</x:v>
      </x:c>
      <x:c r="H325" s="28" t="n">
        <x:v>302.15</x:v>
      </x:c>
      <x:c r="I325" t="n">
        <x:v>5439</x:v>
      </x:c>
      <x:c r="J325" t="n">
        <x:v>127</x:v>
      </x:c>
      <x:c r="K325" t="n">
        <x:v>128</x:v>
      </x:c>
      <x:c r="L325" s="27" t="n">
        <x:f>IFERROR(K325/I325,0)</x:f>
        <x:v>0.023533737819452106</x:v>
      </x:c>
      <x:c r="M325" s="28" t="n">
        <x:f>IFERROR(H325/K325,0)</x:f>
        <x:v>2.360546875</x:v>
      </x:c>
      <x:c r="N325" s="28" t="n">
        <x:f>IFERROR(H325/I325*1000,0)</x:f>
        <x:v>55.552491266776975</x:v>
      </x:c>
      <x:c r="O325" t="n">
        <x:v>1.081527</x:v>
      </x:c>
      <x:c r="P325" t="n">
        <x:v>0</x:v>
      </x:c>
      <x:c r="Q325" s="28" t="n">
        <x:v>0</x:v>
      </x:c>
      <x:c r="R325" s="28" t="n">
        <x:v>0</x:v>
      </x:c>
    </x:row>
    <x:row r="326">
      <x:c r="A326" t="str">
        <x:v>2026-07-23</x:v>
      </x:c>
      <x:c r="B326" t="str">
        <x:v>449281783851362</x:v>
      </x:c>
      <x:c r="C326" t="str">
        <x:v>Doruk Hastaneleri - SİNA ÖZEL Sağlık Hizmetleri A.ş</x:v>
      </x:c>
      <x:c r="D326" t="str">
        <x:v>120255739336980399</x:v>
      </x:c>
      <x:c r="E326" t="str">
        <x:v>Instagram gönderisi: 🎗️ Kanser Tanısı Fizik...</x:v>
      </x:c>
      <x:c r="F326" t="str">
        <x:v>LINK_CLICKS</x:v>
      </x:c>
      <x:c r="G326" t="n">
        <x:v>2723</x:v>
      </x:c>
      <x:c r="H326" s="28" t="n">
        <x:v>330.64</x:v>
      </x:c>
      <x:c r="I326" t="n">
        <x:v>2856</x:v>
      </x:c>
      <x:c r="J326" t="n">
        <x:v>67</x:v>
      </x:c>
      <x:c r="K326" t="n">
        <x:v>69</x:v>
      </x:c>
      <x:c r="L326" s="27" t="n">
        <x:f>IFERROR(K326/I326,0)</x:f>
        <x:v>0.02415966386554622</x:v>
      </x:c>
      <x:c r="M326" s="28" t="n">
        <x:f>IFERROR(H326/K326,0)</x:f>
        <x:v>4.791884057971014</x:v>
      </x:c>
      <x:c r="N326" s="28" t="n">
        <x:f>IFERROR(H326/I326*1000,0)</x:f>
        <x:v>115.7703081232493</x:v>
      </x:c>
      <x:c r="O326" t="n">
        <x:v>1.048843</x:v>
      </x:c>
      <x:c r="P326" t="n">
        <x:v>0</x:v>
      </x:c>
      <x:c r="Q326" s="28" t="n">
        <x:v>0</x:v>
      </x:c>
      <x:c r="R326" s="28" t="n">
        <x:v>0</x:v>
      </x:c>
    </x:row>
    <x:row r="327">
      <x:c r="A327" t="str">
        <x:v>2026-07-23</x:v>
      </x:c>
      <x:c r="B327" t="str">
        <x:v>449281783851362</x:v>
      </x:c>
      <x:c r="C327" t="str">
        <x:v>Doruk Hastaneleri - SİNA ÖZEL Sağlık Hizmetleri A.ş</x:v>
      </x:c>
      <x:c r="D327" t="str">
        <x:v>120255739368940399</x:v>
      </x:c>
      <x:c r="E327" t="str">
        <x:v>Instagram gönderisi: •Gebelikte Tarama Testleri |...</x:v>
      </x:c>
      <x:c r="F327" t="str">
        <x:v>LINK_CLICKS</x:v>
      </x:c>
      <x:c r="G327" t="n">
        <x:v>4432</x:v>
      </x:c>
      <x:c r="H327" s="28" t="n">
        <x:v>318.54</x:v>
      </x:c>
      <x:c r="I327" t="n">
        <x:v>4947</x:v>
      </x:c>
      <x:c r="J327" t="n">
        <x:v>158</x:v>
      </x:c>
      <x:c r="K327" t="n">
        <x:v>164</x:v>
      </x:c>
      <x:c r="L327" s="27" t="n">
        <x:f>IFERROR(K327/I327,0)</x:f>
        <x:v>0.03315140489185365</x:v>
      </x:c>
      <x:c r="M327" s="28" t="n">
        <x:f>IFERROR(H327/K327,0)</x:f>
        <x:v>1.9423170731707318</x:v>
      </x:c>
      <x:c r="N327" s="28" t="n">
        <x:f>IFERROR(H327/I327*1000,0)</x:f>
        <x:v>64.39053972104306</x:v>
      </x:c>
      <x:c r="O327" t="n">
        <x:v>1.1162</x:v>
      </x:c>
      <x:c r="P327" t="n">
        <x:v>0</x:v>
      </x:c>
      <x:c r="Q327" s="28" t="n">
        <x:v>0</x:v>
      </x:c>
      <x:c r="R327" s="28" t="n">
        <x:v>0</x:v>
      </x:c>
    </x:row>
    <x:row r="328">
      <x:c r="A328" t="str">
        <x:v>2026-07-23</x:v>
      </x:c>
      <x:c r="B328" t="str">
        <x:v>449281783851362</x:v>
      </x:c>
      <x:c r="C328" t="str">
        <x:v>Doruk Hastaneleri - SİNA ÖZEL Sağlık Hizmetleri A.ş</x:v>
      </x:c>
      <x:c r="D328" t="str">
        <x:v>120255739424180399</x:v>
      </x:c>
      <x:c r="E328" t="str">
        <x:v>Instagram gönderisi: ✅Gebelikte uyku pozisyonu...</x:v>
      </x:c>
      <x:c r="F328" t="str">
        <x:v>LINK_CLICKS</x:v>
      </x:c>
      <x:c r="G328" t="n">
        <x:v>7805</x:v>
      </x:c>
      <x:c r="H328" s="28" t="n">
        <x:v>379.51</x:v>
      </x:c>
      <x:c r="I328" t="n">
        <x:v>8628</x:v>
      </x:c>
      <x:c r="J328" t="n">
        <x:v>301</x:v>
      </x:c>
      <x:c r="K328" t="n">
        <x:v>313</x:v>
      </x:c>
      <x:c r="L328" s="27" t="n">
        <x:f>IFERROR(K328/I328,0)</x:f>
        <x:v>0.036277236903106164</x:v>
      </x:c>
      <x:c r="M328" s="28" t="n">
        <x:f>IFERROR(H328/K328,0)</x:f>
        <x:v>1.2124920127795527</x:v>
      </x:c>
      <x:c r="N328" s="28" t="n">
        <x:f>IFERROR(H328/I328*1000,0)</x:f>
        <x:v>43.98585999072786</x:v>
      </x:c>
      <x:c r="O328" t="n">
        <x:v>1.105445</x:v>
      </x:c>
      <x:c r="P328" t="n">
        <x:v>0</x:v>
      </x:c>
      <x:c r="Q328" s="28" t="n">
        <x:v>0</x:v>
      </x:c>
      <x:c r="R328" s="28" t="n">
        <x:v>0</x:v>
      </x:c>
    </x:row>
    <x:row r="329">
      <x:c r="A329" t="str">
        <x:v>2026-07-23</x:v>
      </x:c>
      <x:c r="B329" t="str">
        <x:v>449281783851362</x:v>
      </x:c>
      <x:c r="C329" t="str">
        <x:v>Doruk Hastaneleri - SİNA ÖZEL Sağlık Hizmetleri A.ş</x:v>
      </x:c>
      <x:c r="D329" t="str">
        <x:v>120255739460510399</x:v>
      </x:c>
      <x:c r="E329" t="str">
        <x:v>Instagram gönderisi: 🦴 Omurga Kırıklarında Asıl...</x:v>
      </x:c>
      <x:c r="F329" t="str">
        <x:v>LINK_CLICKS</x:v>
      </x:c>
      <x:c r="G329" t="n">
        <x:v>2769</x:v>
      </x:c>
      <x:c r="H329" s="28" t="n">
        <x:v>278.4</x:v>
      </x:c>
      <x:c r="I329" t="n">
        <x:v>2944</x:v>
      </x:c>
      <x:c r="J329" t="n">
        <x:v>60</x:v>
      </x:c>
      <x:c r="K329" t="n">
        <x:v>63</x:v>
      </x:c>
      <x:c r="L329" s="27" t="n">
        <x:f>IFERROR(K329/I329,0)</x:f>
        <x:v>0.021399456521739132</x:v>
      </x:c>
      <x:c r="M329" s="28" t="n">
        <x:f>IFERROR(H329/K329,0)</x:f>
        <x:v>4.4190476190476184</x:v>
      </x:c>
      <x:c r="N329" s="28" t="n">
        <x:f>IFERROR(H329/I329*1000,0)</x:f>
        <x:v>94.56521739130434</x:v>
      </x:c>
      <x:c r="O329" t="n">
        <x:v>1.0632</x:v>
      </x:c>
      <x:c r="P329" t="n">
        <x:v>0</x:v>
      </x:c>
      <x:c r="Q329" s="28" t="n">
        <x:v>0</x:v>
      </x:c>
      <x:c r="R329" s="28" t="n">
        <x:v>0</x:v>
      </x:c>
    </x:row>
    <x:row r="330">
      <x:c r="A330" t="str">
        <x:v>2026-07-23</x:v>
      </x:c>
      <x:c r="B330" t="str">
        <x:v>449281783851362</x:v>
      </x:c>
      <x:c r="C330" t="str">
        <x:v>Doruk Hastaneleri - SİNA ÖZEL Sağlık Hizmetleri A.ş</x:v>
      </x:c>
      <x:c r="D330" t="str">
        <x:v>120255739485660399</x:v>
      </x:c>
      <x:c r="E330" t="str">
        <x:v>Instagram gönderisi: 🦴 Bel Fıtığında Doğru Zaman...</x:v>
      </x:c>
      <x:c r="F330" t="str">
        <x:v>LINK_CLICKS</x:v>
      </x:c>
      <x:c r="G330" t="n">
        <x:v>5365</x:v>
      </x:c>
      <x:c r="H330" s="28" t="n">
        <x:v>356.5</x:v>
      </x:c>
      <x:c r="I330" t="n">
        <x:v>5946</x:v>
      </x:c>
      <x:c r="J330" t="n">
        <x:v>120</x:v>
      </x:c>
      <x:c r="K330" t="n">
        <x:v>121</x:v>
      </x:c>
      <x:c r="L330" s="27" t="n">
        <x:f>IFERROR(K330/I330,0)</x:f>
        <x:v>0.020349815001681804</x:v>
      </x:c>
      <x:c r="M330" s="28" t="n">
        <x:f>IFERROR(H330/K330,0)</x:f>
        <x:v>2.946280991735537</x:v>
      </x:c>
      <x:c r="N330" s="28" t="n">
        <x:f>IFERROR(H330/I330*1000,0)</x:f>
        <x:v>59.956273124789774</x:v>
      </x:c>
      <x:c r="O330" t="n">
        <x:v>1.108295</x:v>
      </x:c>
      <x:c r="P330" t="n">
        <x:v>0</x:v>
      </x:c>
      <x:c r="Q330" s="28" t="n">
        <x:v>0</x:v>
      </x:c>
      <x:c r="R330" s="28" t="n">
        <x:v>0</x:v>
      </x:c>
    </x:row>
    <x:row r="331">
      <x:c r="A331" t="str">
        <x:v>2026-07-23</x:v>
      </x:c>
      <x:c r="B331" t="str">
        <x:v>449281783851362</x:v>
      </x:c>
      <x:c r="C331" t="str">
        <x:v>Doruk Hastaneleri - SİNA ÖZEL Sağlık Hizmetleri A.ş</x:v>
      </x:c>
      <x:c r="D331" t="str">
        <x:v>120255763855030399</x:v>
      </x:c>
      <x:c r="E331" t="str">
        <x:v>Doktor - Bilinirlik Kampanyası - Çekirge</x:v>
      </x:c>
      <x:c r="F331" t="str">
        <x:v>OUTCOME_AWARENESS</x:v>
      </x:c>
      <x:c r="G331" t="n">
        <x:v>66703</x:v>
      </x:c>
      <x:c r="H331" s="28" t="n">
        <x:v>773.52</x:v>
      </x:c>
      <x:c r="I331" t="n">
        <x:v>80911</x:v>
      </x:c>
      <x:c r="J331" t="n">
        <x:v>41</x:v>
      </x:c>
      <x:c r="K331" t="n">
        <x:v>0</x:v>
      </x:c>
      <x:c r="L331" s="27" t="n">
        <x:f>IFERROR(K331/I331,0)</x:f>
        <x:v>0</x:v>
      </x:c>
      <x:c r="M331" s="28" t="n">
        <x:f>IFERROR(H331/K331,0)</x:f>
        <x:v>0</x:v>
      </x:c>
      <x:c r="N331" s="28" t="n">
        <x:f>IFERROR(H331/I331*1000,0)</x:f>
        <x:v>9.560133974366897</x:v>
      </x:c>
      <x:c r="O331" t="n">
        <x:v>1.213004</x:v>
      </x:c>
      <x:c r="P331" t="n">
        <x:v>0</x:v>
      </x:c>
      <x:c r="Q331" s="28" t="n">
        <x:v>0</x:v>
      </x:c>
      <x:c r="R331" s="28" t="n">
        <x:v>0</x:v>
      </x:c>
    </x:row>
    <x:row r="332">
      <x:c r="A332" t="str">
        <x:v>2026-07-24</x:v>
      </x:c>
      <x:c r="B332" t="str">
        <x:v>449281783851362</x:v>
      </x:c>
      <x:c r="C332" t="str">
        <x:v>Doruk Hastaneleri - SİNA ÖZEL Sağlık Hizmetleri A.ş</x:v>
      </x:c>
      <x:c r="D332" t="str">
        <x:v>120202624613730399</x:v>
      </x:c>
      <x:c r="E332" t="str">
        <x:v>CBO / Saç Ekimi - lead / soğuk</x:v>
      </x:c>
      <x:c r="F332" t="str">
        <x:v>OUTCOME_LEADS</x:v>
      </x:c>
      <x:c r="G332" t="n">
        <x:v>2285</x:v>
      </x:c>
      <x:c r="H332" s="28" t="n">
        <x:v>376.56</x:v>
      </x:c>
      <x:c r="I332" t="n">
        <x:v>2796</x:v>
      </x:c>
      <x:c r="J332" t="n">
        <x:v>17</x:v>
      </x:c>
      <x:c r="K332" t="n">
        <x:v>9</x:v>
      </x:c>
      <x:c r="L332" s="27" t="n">
        <x:f>IFERROR(K332/I332,0)</x:f>
        <x:v>0.003218884120171674</x:v>
      </x:c>
      <x:c r="M332" s="28" t="n">
        <x:f>IFERROR(H332/K332,0)</x:f>
        <x:v>41.84</x:v>
      </x:c>
      <x:c r="N332" s="28" t="n">
        <x:f>IFERROR(H332/I332*1000,0)</x:f>
        <x:v>134.67811158798284</x:v>
      </x:c>
      <x:c r="O332" t="n">
        <x:v>1.223632</x:v>
      </x:c>
      <x:c r="P332" t="n">
        <x:v>0</x:v>
      </x:c>
      <x:c r="Q332" s="28" t="n">
        <x:v>0</x:v>
      </x:c>
      <x:c r="R332" s="28" t="n">
        <x:v>0</x:v>
      </x:c>
    </x:row>
    <x:row r="333">
      <x:c r="A333" t="str">
        <x:v>2026-07-24</x:v>
      </x:c>
      <x:c r="B333" t="str">
        <x:v>449281783851362</x:v>
      </x:c>
      <x:c r="C333" t="str">
        <x:v>Doruk Hastaneleri - SİNA ÖZEL Sağlık Hizmetleri A.ş</x:v>
      </x:c>
      <x:c r="D333" t="str">
        <x:v>120211731920800399</x:v>
      </x:c>
      <x:c r="E333" t="str">
        <x:v>ABO / Göz Kapağı Estetiği / plastik cerrahi / lead</x:v>
      </x:c>
      <x:c r="F333" t="str">
        <x:v>OUTCOME_LEADS</x:v>
      </x:c>
      <x:c r="G333" t="n">
        <x:v>1159</x:v>
      </x:c>
      <x:c r="H333" s="28" t="n">
        <x:v>111.94</x:v>
      </x:c>
      <x:c r="I333" t="n">
        <x:v>1304</x:v>
      </x:c>
      <x:c r="J333" t="n">
        <x:v>4</x:v>
      </x:c>
      <x:c r="K333" t="n">
        <x:v>2</x:v>
      </x:c>
      <x:c r="L333" s="27" t="n">
        <x:f>IFERROR(K333/I333,0)</x:f>
        <x:v>0.0015337423312883436</x:v>
      </x:c>
      <x:c r="M333" s="28" t="n">
        <x:f>IFERROR(H333/K333,0)</x:f>
        <x:v>55.97</x:v>
      </x:c>
      <x:c r="N333" s="28" t="n">
        <x:f>IFERROR(H333/I333*1000,0)</x:f>
        <x:v>85.84355828220859</x:v>
      </x:c>
      <x:c r="O333" t="n">
        <x:v>1.125108</x:v>
      </x:c>
      <x:c r="P333" t="n">
        <x:v>0</x:v>
      </x:c>
      <x:c r="Q333" s="28" t="n">
        <x:v>0</x:v>
      </x:c>
      <x:c r="R333" s="28" t="n">
        <x:v>0</x:v>
      </x:c>
    </x:row>
    <x:row r="334">
      <x:c r="A334" t="str">
        <x:v>2026-07-24</x:v>
      </x:c>
      <x:c r="B334" t="str">
        <x:v>449281783851362</x:v>
      </x:c>
      <x:c r="C334" t="str">
        <x:v>Doruk Hastaneleri - SİNA ÖZEL Sağlık Hizmetleri A.ş</x:v>
      </x:c>
      <x:c r="D334" t="str">
        <x:v>120211732243050399</x:v>
      </x:c>
      <x:c r="E334" t="str">
        <x:v>ABO /Kepçe Kulak / plastik cerrahi / lead</x:v>
      </x:c>
      <x:c r="F334" t="str">
        <x:v>OUTCOME_LEADS</x:v>
      </x:c>
      <x:c r="G334" t="n">
        <x:v>2592</x:v>
      </x:c>
      <x:c r="H334" s="28" t="n">
        <x:v>103.75</x:v>
      </x:c>
      <x:c r="I334" t="n">
        <x:v>2687</x:v>
      </x:c>
      <x:c r="J334" t="n">
        <x:v>9</x:v>
      </x:c>
      <x:c r="K334" t="n">
        <x:v>4</x:v>
      </x:c>
      <x:c r="L334" s="27" t="n">
        <x:f>IFERROR(K334/I334,0)</x:f>
        <x:v>0.00148864905098623</x:v>
      </x:c>
      <x:c r="M334" s="28" t="n">
        <x:f>IFERROR(H334/K334,0)</x:f>
        <x:v>25.9375</x:v>
      </x:c>
      <x:c r="N334" s="28" t="n">
        <x:f>IFERROR(H334/I334*1000,0)</x:f>
        <x:v>38.611834759955336</x:v>
      </x:c>
      <x:c r="O334" t="n">
        <x:v>1.036651</x:v>
      </x:c>
      <x:c r="P334" t="n">
        <x:v>2</x:v>
      </x:c>
      <x:c r="Q334" s="28" t="n">
        <x:v>0</x:v>
      </x:c>
      <x:c r="R334" s="28" t="n">
        <x:v>0</x:v>
      </x:c>
    </x:row>
    <x:row r="335">
      <x:c r="A335" t="str">
        <x:v>2026-07-24</x:v>
      </x:c>
      <x:c r="B335" t="str">
        <x:v>449281783851362</x:v>
      </x:c>
      <x:c r="C335" t="str">
        <x:v>Doruk Hastaneleri - SİNA ÖZEL Sağlık Hizmetleri A.ş</x:v>
      </x:c>
      <x:c r="D335" t="str">
        <x:v>120211732311210399</x:v>
      </x:c>
      <x:c r="E335" t="str">
        <x:v>ABO / Meme Estetiği / plastik cerrahi / lead</x:v>
      </x:c>
      <x:c r="F335" t="str">
        <x:v>OUTCOME_LEADS</x:v>
      </x:c>
      <x:c r="G335" t="n">
        <x:v>3415</x:v>
      </x:c>
      <x:c r="H335" s="28" t="n">
        <x:v>359.02</x:v>
      </x:c>
      <x:c r="I335" t="n">
        <x:v>4031</x:v>
      </x:c>
      <x:c r="J335" t="n">
        <x:v>26</x:v>
      </x:c>
      <x:c r="K335" t="n">
        <x:v>17</x:v>
      </x:c>
      <x:c r="L335" s="27" t="n">
        <x:f>IFERROR(K335/I335,0)</x:f>
        <x:v>0.0042173158025303895</x:v>
      </x:c>
      <x:c r="M335" s="28" t="n">
        <x:f>IFERROR(H335/K335,0)</x:f>
        <x:v>21.118823529411763</x:v>
      </x:c>
      <x:c r="N335" s="28" t="n">
        <x:f>IFERROR(H335/I335*1000,0)</x:f>
        <x:v>89.06474820143885</x:v>
      </x:c>
      <x:c r="O335" t="n">
        <x:v>1.180381</x:v>
      </x:c>
      <x:c r="P335" t="n">
        <x:v>0</x:v>
      </x:c>
      <x:c r="Q335" s="28" t="n">
        <x:v>0</x:v>
      </x:c>
      <x:c r="R335" s="28" t="n">
        <x:v>0</x:v>
      </x:c>
    </x:row>
    <x:row r="336">
      <x:c r="A336" t="str">
        <x:v>2026-07-24</x:v>
      </x:c>
      <x:c r="B336" t="str">
        <x:v>449281783851362</x:v>
      </x:c>
      <x:c r="C336" t="str">
        <x:v>Doruk Hastaneleri - SİNA ÖZEL Sağlık Hizmetleri A.ş</x:v>
      </x:c>
      <x:c r="D336" t="str">
        <x:v>120211732618490399</x:v>
      </x:c>
      <x:c r="E336" t="str">
        <x:v>ABO /Jinekomasti / plastik cerrahi / lead</x:v>
      </x:c>
      <x:c r="F336" t="str">
        <x:v>OUTCOME_LEADS</x:v>
      </x:c>
      <x:c r="G336" t="n">
        <x:v>1036</x:v>
      </x:c>
      <x:c r="H336" s="28" t="n">
        <x:v>126.95</x:v>
      </x:c>
      <x:c r="I336" t="n">
        <x:v>1157</x:v>
      </x:c>
      <x:c r="J336" t="n">
        <x:v>3</x:v>
      </x:c>
      <x:c r="K336" t="n">
        <x:v>2</x:v>
      </x:c>
      <x:c r="L336" s="27" t="n">
        <x:f>IFERROR(K336/I336,0)</x:f>
        <x:v>0.001728608470181504</x:v>
      </x:c>
      <x:c r="M336" s="28" t="n">
        <x:f>IFERROR(H336/K336,0)</x:f>
        <x:v>63.475</x:v>
      </x:c>
      <x:c r="N336" s="28" t="n">
        <x:f>IFERROR(H336/I336*1000,0)</x:f>
        <x:v>109.72342264477096</x:v>
      </x:c>
      <x:c r="O336" t="n">
        <x:v>1.116795</x:v>
      </x:c>
      <x:c r="P336" t="n">
        <x:v>0</x:v>
      </x:c>
      <x:c r="Q336" s="28" t="n">
        <x:v>0</x:v>
      </x:c>
      <x:c r="R336" s="28" t="n">
        <x:v>0</x:v>
      </x:c>
    </x:row>
    <x:row r="337">
      <x:c r="A337" t="str">
        <x:v>2026-07-24</x:v>
      </x:c>
      <x:c r="B337" t="str">
        <x:v>449281783851362</x:v>
      </x:c>
      <x:c r="C337" t="str">
        <x:v>Doruk Hastaneleri - SİNA ÖZEL Sağlık Hizmetleri A.ş</x:v>
      </x:c>
      <x:c r="D337" t="str">
        <x:v>120211732654260399</x:v>
      </x:c>
      <x:c r="E337" t="str">
        <x:v>ABO / Rinoplasti / plastik cerrahi / lead</x:v>
      </x:c>
      <x:c r="F337" t="str">
        <x:v>OUTCOME_LEADS</x:v>
      </x:c>
      <x:c r="G337" t="n">
        <x:v>1673</x:v>
      </x:c>
      <x:c r="H337" s="28" t="n">
        <x:v>431.49</x:v>
      </x:c>
      <x:c r="I337" t="n">
        <x:v>1952</x:v>
      </x:c>
      <x:c r="J337" t="n">
        <x:v>12</x:v>
      </x:c>
      <x:c r="K337" t="n">
        <x:v>6</x:v>
      </x:c>
      <x:c r="L337" s="27" t="n">
        <x:f>IFERROR(K337/I337,0)</x:f>
        <x:v>0.0030737704918032786</x:v>
      </x:c>
      <x:c r="M337" s="28" t="n">
        <x:f>IFERROR(H337/K337,0)</x:f>
        <x:v>71.915</x:v>
      </x:c>
      <x:c r="N337" s="28" t="n">
        <x:f>IFERROR(H337/I337*1000,0)</x:f>
        <x:v>221.0502049180328</x:v>
      </x:c>
      <x:c r="O337" t="n">
        <x:v>1.166766</x:v>
      </x:c>
      <x:c r="P337" t="n">
        <x:v>1</x:v>
      </x:c>
      <x:c r="Q337" s="28" t="n">
        <x:v>0</x:v>
      </x:c>
      <x:c r="R337" s="28" t="n">
        <x:v>0</x:v>
      </x:c>
    </x:row>
    <x:row r="338">
      <x:c r="A338" t="str">
        <x:v>2026-07-24</x:v>
      </x:c>
      <x:c r="B338" t="str">
        <x:v>449281783851362</x:v>
      </x:c>
      <x:c r="C338" t="str">
        <x:v>Doruk Hastaneleri - SİNA ÖZEL Sağlık Hizmetleri A.ş</x:v>
      </x:c>
      <x:c r="D338" t="str">
        <x:v>120211732712890399</x:v>
      </x:c>
      <x:c r="E338" t="str">
        <x:v>ABO / Vücut Şekillendirme / plastik cerrahi / lead</x:v>
      </x:c>
      <x:c r="F338" t="str">
        <x:v>OUTCOME_LEADS</x:v>
      </x:c>
      <x:c r="G338" t="n">
        <x:v>355</x:v>
      </x:c>
      <x:c r="H338" s="28" t="n">
        <x:v>80.31</x:v>
      </x:c>
      <x:c r="I338" t="n">
        <x:v>422</x:v>
      </x:c>
      <x:c r="J338" t="n">
        <x:v>4</x:v>
      </x:c>
      <x:c r="K338" t="n">
        <x:v>2</x:v>
      </x:c>
      <x:c r="L338" s="27" t="n">
        <x:f>IFERROR(K338/I338,0)</x:f>
        <x:v>0.004739336492890996</x:v>
      </x:c>
      <x:c r="M338" s="28" t="n">
        <x:f>IFERROR(H338/K338,0)</x:f>
        <x:v>40.155</x:v>
      </x:c>
      <x:c r="N338" s="28" t="n">
        <x:f>IFERROR(H338/I338*1000,0)</x:f>
        <x:v>190.30805687203792</x:v>
      </x:c>
      <x:c r="O338" t="n">
        <x:v>1.188732</x:v>
      </x:c>
      <x:c r="P338" t="n">
        <x:v>1</x:v>
      </x:c>
      <x:c r="Q338" s="28" t="n">
        <x:v>0</x:v>
      </x:c>
      <x:c r="R338" s="28" t="n">
        <x:v>0</x:v>
      </x:c>
    </x:row>
    <x:row r="339">
      <x:c r="A339" t="str">
        <x:v>2026-07-24</x:v>
      </x:c>
      <x:c r="B339" t="str">
        <x:v>449281783851362</x:v>
      </x:c>
      <x:c r="C339" t="str">
        <x:v>Doruk Hastaneleri - SİNA ÖZEL Sağlık Hizmetleri A.ş</x:v>
      </x:c>
      <x:c r="D339" t="str">
        <x:v>120211732754080399</x:v>
      </x:c>
      <x:c r="E339" t="str">
        <x:v>ABO / Yüz Germe (Facelift) / plastik cerrahi / lead</x:v>
      </x:c>
      <x:c r="F339" t="str">
        <x:v>OUTCOME_LEADS</x:v>
      </x:c>
      <x:c r="G339" t="n">
        <x:v>259</x:v>
      </x:c>
      <x:c r="H339" s="28" t="n">
        <x:v>113.93</x:v>
      </x:c>
      <x:c r="I339" t="n">
        <x:v>291</x:v>
      </x:c>
      <x:c r="J339" t="n">
        <x:v>8</x:v>
      </x:c>
      <x:c r="K339" t="n">
        <x:v>3</x:v>
      </x:c>
      <x:c r="L339" s="27" t="n">
        <x:f>IFERROR(K339/I339,0)</x:f>
        <x:v>0.010309278350515464</x:v>
      </x:c>
      <x:c r="M339" s="28" t="n">
        <x:f>IFERROR(H339/K339,0)</x:f>
        <x:v>37.97666666666667</x:v>
      </x:c>
      <x:c r="N339" s="28" t="n">
        <x:f>IFERROR(H339/I339*1000,0)</x:f>
        <x:v>391.51202749140896</x:v>
      </x:c>
      <x:c r="O339" t="n">
        <x:v>1.123552</x:v>
      </x:c>
      <x:c r="P339" t="n">
        <x:v>0</x:v>
      </x:c>
      <x:c r="Q339" s="28" t="n">
        <x:v>0</x:v>
      </x:c>
      <x:c r="R339" s="28" t="n">
        <x:v>0</x:v>
      </x:c>
    </x:row>
    <x:row r="340">
      <x:c r="A340" t="str">
        <x:v>2026-07-24</x:v>
      </x:c>
      <x:c r="B340" t="str">
        <x:v>449281783851362</x:v>
      </x:c>
      <x:c r="C340" t="str">
        <x:v>Doruk Hastaneleri - SİNA ÖZEL Sağlık Hizmetleri A.ş</x:v>
      </x:c>
      <x:c r="D340" t="str">
        <x:v>120214167265870399</x:v>
      </x:c>
      <x:c r="E340" t="str">
        <x:v>Baş Dönmesi ve Denge Ünitesi / lead</x:v>
      </x:c>
      <x:c r="F340" t="str">
        <x:v>OUTCOME_LEADS</x:v>
      </x:c>
      <x:c r="G340" t="n">
        <x:v>2522</x:v>
      </x:c>
      <x:c r="H340" s="28" t="n">
        <x:v>176.42</x:v>
      </x:c>
      <x:c r="I340" t="n">
        <x:v>2748</x:v>
      </x:c>
      <x:c r="J340" t="n">
        <x:v>31</x:v>
      </x:c>
      <x:c r="K340" t="n">
        <x:v>15</x:v>
      </x:c>
      <x:c r="L340" s="27" t="n">
        <x:f>IFERROR(K340/I340,0)</x:f>
        <x:v>0.0054585152838427945</x:v>
      </x:c>
      <x:c r="M340" s="28" t="n">
        <x:f>IFERROR(H340/K340,0)</x:f>
        <x:v>11.761333333333333</x:v>
      </x:c>
      <x:c r="N340" s="28" t="n">
        <x:f>IFERROR(H340/I340*1000,0)</x:f>
        <x:v>64.19941775836972</x:v>
      </x:c>
      <x:c r="O340" t="n">
        <x:v>1.089611</x:v>
      </x:c>
      <x:c r="P340" t="n">
        <x:v>0</x:v>
      </x:c>
      <x:c r="Q340" s="28" t="n">
        <x:v>0</x:v>
      </x:c>
      <x:c r="R340" s="28" t="n">
        <x:v>0</x:v>
      </x:c>
    </x:row>
    <x:row r="341">
      <x:c r="A341" t="str">
        <x:v>2026-07-24</x:v>
      </x:c>
      <x:c r="B341" t="str">
        <x:v>449281783851362</x:v>
      </x:c>
      <x:c r="C341" t="str">
        <x:v>Doruk Hastaneleri - SİNA ÖZEL Sağlık Hizmetleri A.ş</x:v>
      </x:c>
      <x:c r="D341" t="str">
        <x:v>120220089108220399</x:v>
      </x:c>
      <x:c r="E341" t="str">
        <x:v>Checkup - genel - lead</x:v>
      </x:c>
      <x:c r="F341" t="str">
        <x:v>OUTCOME_LEADS</x:v>
      </x:c>
      <x:c r="G341" t="n">
        <x:v>2130</x:v>
      </x:c>
      <x:c r="H341" s="28" t="n">
        <x:v>430.77</x:v>
      </x:c>
      <x:c r="I341" t="n">
        <x:v>2617</x:v>
      </x:c>
      <x:c r="J341" t="n">
        <x:v>20</x:v>
      </x:c>
      <x:c r="K341" t="n">
        <x:v>12</x:v>
      </x:c>
      <x:c r="L341" s="27" t="n">
        <x:f>IFERROR(K341/I341,0)</x:f>
        <x:v>0.0045854031333588076</x:v>
      </x:c>
      <x:c r="M341" s="28" t="n">
        <x:f>IFERROR(H341/K341,0)</x:f>
        <x:v>35.8975</x:v>
      </x:c>
      <x:c r="N341" s="28" t="n">
        <x:f>IFERROR(H341/I341*1000,0)</x:f>
        <x:v>164.6045089797478</x:v>
      </x:c>
      <x:c r="O341" t="n">
        <x:v>1.228639</x:v>
      </x:c>
      <x:c r="P341" t="n">
        <x:v>2</x:v>
      </x:c>
      <x:c r="Q341" s="28" t="n">
        <x:v>0</x:v>
      </x:c>
      <x:c r="R341" s="28" t="n">
        <x:v>0</x:v>
      </x:c>
    </x:row>
    <x:row r="342">
      <x:c r="A342" t="str">
        <x:v>2026-07-24</x:v>
      </x:c>
      <x:c r="B342" t="str">
        <x:v>449281783851362</x:v>
      </x:c>
      <x:c r="C342" t="str">
        <x:v>Doruk Hastaneleri - SİNA ÖZEL Sağlık Hizmetleri A.ş</x:v>
      </x:c>
      <x:c r="D342" t="str">
        <x:v>120242415465180399</x:v>
      </x:c>
      <x:c r="E342" t="str">
        <x:v>Gebe-Doğum Form Kampanyası</x:v>
      </x:c>
      <x:c r="F342" t="str">
        <x:v>OUTCOME_LEADS</x:v>
      </x:c>
      <x:c r="G342" t="n">
        <x:v>27143</x:v>
      </x:c>
      <x:c r="H342" s="28" t="n">
        <x:v>3074.31</x:v>
      </x:c>
      <x:c r="I342" t="n">
        <x:v>43035</x:v>
      </x:c>
      <x:c r="J342" t="n">
        <x:v>201</x:v>
      </x:c>
      <x:c r="K342" t="n">
        <x:v>117</x:v>
      </x:c>
      <x:c r="L342" s="27" t="n">
        <x:f>IFERROR(K342/I342,0)</x:f>
        <x:v>0.002718717323109097</x:v>
      </x:c>
      <x:c r="M342" s="28" t="n">
        <x:f>IFERROR(H342/K342,0)</x:f>
        <x:v>26.276153846153846</x:v>
      </x:c>
      <x:c r="N342" s="28" t="n">
        <x:f>IFERROR(H342/I342*1000,0)</x:f>
        <x:v>71.4374346462182</x:v>
      </x:c>
      <x:c r="O342" t="n">
        <x:v>1.585492</x:v>
      </x:c>
      <x:c r="P342" t="n">
        <x:v>10</x:v>
      </x:c>
      <x:c r="Q342" s="28" t="n">
        <x:v>0</x:v>
      </x:c>
      <x:c r="R342" s="28" t="n">
        <x:v>0</x:v>
      </x:c>
    </x:row>
    <x:row r="343">
      <x:c r="A343" t="str">
        <x:v>2026-07-24</x:v>
      </x:c>
      <x:c r="B343" t="str">
        <x:v>449281783851362</x:v>
      </x:c>
      <x:c r="C343" t="str">
        <x:v>Doruk Hastaneleri - SİNA ÖZEL Sağlık Hizmetleri A.ş</x:v>
      </x:c>
      <x:c r="D343" t="str">
        <x:v>120244050701710399</x:v>
      </x:c>
      <x:c r="E343" t="str">
        <x:v>Uzman Hekim Başvuru</x:v>
      </x:c>
      <x:c r="F343" t="str">
        <x:v>OUTCOME_LEADS</x:v>
      </x:c>
      <x:c r="G343" t="n">
        <x:v>3624</x:v>
      </x:c>
      <x:c r="H343" s="28" t="n">
        <x:v>432.05</x:v>
      </x:c>
      <x:c r="I343" t="n">
        <x:v>4474</x:v>
      </x:c>
      <x:c r="J343" t="n">
        <x:v>27</x:v>
      </x:c>
      <x:c r="K343" t="n">
        <x:v>11</x:v>
      </x:c>
      <x:c r="L343" s="27" t="n">
        <x:f>IFERROR(K343/I343,0)</x:f>
        <x:v>0.0024586499776486368</x:v>
      </x:c>
      <x:c r="M343" s="28" t="n">
        <x:f>IFERROR(H343/K343,0)</x:f>
        <x:v>39.27727272727273</x:v>
      </x:c>
      <x:c r="N343" s="28" t="n">
        <x:f>IFERROR(H343/I343*1000,0)</x:f>
        <x:v>96.5690657130085</x:v>
      </x:c>
      <x:c r="O343" t="n">
        <x:v>1.234547</x:v>
      </x:c>
      <x:c r="P343" t="n">
        <x:v>1</x:v>
      </x:c>
      <x:c r="Q343" s="28" t="n">
        <x:v>0</x:v>
      </x:c>
      <x:c r="R343" s="28" t="n">
        <x:v>0</x:v>
      </x:c>
    </x:row>
    <x:row r="344">
      <x:c r="A344" t="str">
        <x:v>2026-07-24</x:v>
      </x:c>
      <x:c r="B344" t="str">
        <x:v>449281783851362</x:v>
      </x:c>
      <x:c r="C344" t="str">
        <x:v>Doruk Hastaneleri - SİNA ÖZEL Sağlık Hizmetleri A.ş</x:v>
      </x:c>
      <x:c r="D344" t="str">
        <x:v>120246476228800399</x:v>
      </x:c>
      <x:c r="E344" t="str">
        <x:v>FTR Yatılı - lead</x:v>
      </x:c>
      <x:c r="F344" t="str">
        <x:v>OUTCOME_LEADS</x:v>
      </x:c>
      <x:c r="G344" t="n">
        <x:v>22391</x:v>
      </x:c>
      <x:c r="H344" s="28" t="n">
        <x:v>1403</x:v>
      </x:c>
      <x:c r="I344" t="n">
        <x:v>25251</x:v>
      </x:c>
      <x:c r="J344" t="n">
        <x:v>136</x:v>
      </x:c>
      <x:c r="K344" t="n">
        <x:v>53</x:v>
      </x:c>
      <x:c r="L344" s="27" t="n">
        <x:f>IFERROR(K344/I344,0)</x:f>
        <x:v>0.0020989267751772207</x:v>
      </x:c>
      <x:c r="M344" s="28" t="n">
        <x:f>IFERROR(H344/K344,0)</x:f>
        <x:v>26.471698113207548</x:v>
      </x:c>
      <x:c r="N344" s="28" t="n">
        <x:f>IFERROR(H344/I344*1000,0)</x:f>
        <x:v>55.562155954219634</x:v>
      </x:c>
      <x:c r="O344" t="n">
        <x:v>1.12773</x:v>
      </x:c>
      <x:c r="P344" t="n">
        <x:v>1</x:v>
      </x:c>
      <x:c r="Q344" s="28" t="n">
        <x:v>0</x:v>
      </x:c>
      <x:c r="R344" s="28" t="n">
        <x:v>0</x:v>
      </x:c>
    </x:row>
    <x:row r="345">
      <x:c r="A345" t="str">
        <x:v>2026-07-24</x:v>
      </x:c>
      <x:c r="B345" t="str">
        <x:v>449281783851362</x:v>
      </x:c>
      <x:c r="C345" t="str">
        <x:v>Doruk Hastaneleri - SİNA ÖZEL Sağlık Hizmetleri A.ş</x:v>
      </x:c>
      <x:c r="D345" t="str">
        <x:v>120246691590090399</x:v>
      </x:c>
      <x:c r="E345" t="str">
        <x:v>Hemşire İş Başvuru - lead</x:v>
      </x:c>
      <x:c r="F345" t="str">
        <x:v>OUTCOME_LEADS</x:v>
      </x:c>
      <x:c r="G345" t="n">
        <x:v>6280</x:v>
      </x:c>
      <x:c r="H345" s="28" t="n">
        <x:v>437.01</x:v>
      </x:c>
      <x:c r="I345" t="n">
        <x:v>8325</x:v>
      </x:c>
      <x:c r="J345" t="n">
        <x:v>59</x:v>
      </x:c>
      <x:c r="K345" t="n">
        <x:v>41</x:v>
      </x:c>
      <x:c r="L345" s="27" t="n">
        <x:f>IFERROR(K345/I345,0)</x:f>
        <x:v>0.004924924924924925</x:v>
      </x:c>
      <x:c r="M345" s="28" t="n">
        <x:f>IFERROR(H345/K345,0)</x:f>
        <x:v>10.658780487804878</x:v>
      </x:c>
      <x:c r="N345" s="28" t="n">
        <x:f>IFERROR(H345/I345*1000,0)</x:f>
        <x:v>52.49369369369369</x:v>
      </x:c>
      <x:c r="O345" t="n">
        <x:v>1.325637</x:v>
      </x:c>
      <x:c r="P345" t="n">
        <x:v>1</x:v>
      </x:c>
      <x:c r="Q345" s="28" t="n">
        <x:v>0</x:v>
      </x:c>
      <x:c r="R345" s="28" t="n">
        <x:v>0</x:v>
      </x:c>
    </x:row>
    <x:row r="346">
      <x:c r="A346" t="str">
        <x:v>2026-07-24</x:v>
      </x:c>
      <x:c r="B346" t="str">
        <x:v>449281783851362</x:v>
      </x:c>
      <x:c r="C346" t="str">
        <x:v>Doruk Hastaneleri - SİNA ÖZEL Sağlık Hizmetleri A.ş</x:v>
      </x:c>
      <x:c r="D346" t="str">
        <x:v>120246924981440399</x:v>
      </x:c>
      <x:c r="E346" t="str">
        <x:v>ÖSS-TSS - marka bilinirliği</x:v>
      </x:c>
      <x:c r="F346" t="str">
        <x:v>OUTCOME_AWARENESS</x:v>
      </x:c>
      <x:c r="G346" t="n">
        <x:v>72476</x:v>
      </x:c>
      <x:c r="H346" s="28" t="n">
        <x:v>1068.87</x:v>
      </x:c>
      <x:c r="I346" t="n">
        <x:v>77540</x:v>
      </x:c>
      <x:c r="J346" t="n">
        <x:v>92</x:v>
      </x:c>
      <x:c r="K346" t="n">
        <x:v>31</x:v>
      </x:c>
      <x:c r="L346" s="27" t="n">
        <x:f>IFERROR(K346/I346,0)</x:f>
        <x:v>0.00039979365488779987</x:v>
      </x:c>
      <x:c r="M346" s="28" t="n">
        <x:f>IFERROR(H346/K346,0)</x:f>
        <x:v>34.479677419354836</x:v>
      </x:c>
      <x:c r="N346" s="28" t="n">
        <x:f>IFERROR(H346/I346*1000,0)</x:f>
        <x:v>13.784756254836212</x:v>
      </x:c>
      <x:c r="O346" t="n">
        <x:v>1.069871</x:v>
      </x:c>
      <x:c r="P346" t="n">
        <x:v>0</x:v>
      </x:c>
      <x:c r="Q346" s="28" t="n">
        <x:v>0</x:v>
      </x:c>
      <x:c r="R346" s="28" t="n">
        <x:v>0</x:v>
      </x:c>
    </x:row>
    <x:row r="347">
      <x:c r="A347" t="str">
        <x:v>2026-07-24</x:v>
      </x:c>
      <x:c r="B347" t="str">
        <x:v>449281783851362</x:v>
      </x:c>
      <x:c r="C347" t="str">
        <x:v>Doruk Hastaneleri - SİNA ÖZEL Sağlık Hizmetleri A.ş</x:v>
      </x:c>
      <x:c r="D347" t="str">
        <x:v>120247034876600399</x:v>
      </x:c>
      <x:c r="E347" t="str">
        <x:v>Gebe-Doğum Bilinirlik</x:v>
      </x:c>
      <x:c r="F347" t="str">
        <x:v>OUTCOME_AWARENESS</x:v>
      </x:c>
      <x:c r="G347" t="n">
        <x:v>42319</x:v>
      </x:c>
      <x:c r="H347" s="28" t="n">
        <x:v>547.35</x:v>
      </x:c>
      <x:c r="I347" t="n">
        <x:v>44301</x:v>
      </x:c>
      <x:c r="J347" t="n">
        <x:v>28</x:v>
      </x:c>
      <x:c r="K347" t="n">
        <x:v>0</x:v>
      </x:c>
      <x:c r="L347" s="27" t="n">
        <x:f>IFERROR(K347/I347,0)</x:f>
        <x:v>0</x:v>
      </x:c>
      <x:c r="M347" s="28" t="n">
        <x:f>IFERROR(H347/K347,0)</x:f>
        <x:v>0</x:v>
      </x:c>
      <x:c r="N347" s="28" t="n">
        <x:f>IFERROR(H347/I347*1000,0)</x:f>
        <x:v>12.35525157445656</x:v>
      </x:c>
      <x:c r="O347" t="n">
        <x:v>1.046835</x:v>
      </x:c>
      <x:c r="P347" t="n">
        <x:v>0</x:v>
      </x:c>
      <x:c r="Q347" s="28" t="n">
        <x:v>0</x:v>
      </x:c>
      <x:c r="R347" s="28" t="n">
        <x:v>0</x:v>
      </x:c>
    </x:row>
    <x:row r="348">
      <x:c r="A348" t="str">
        <x:v>2026-07-24</x:v>
      </x:c>
      <x:c r="B348" t="str">
        <x:v>449281783851362</x:v>
      </x:c>
      <x:c r="C348" t="str">
        <x:v>Doruk Hastaneleri - SİNA ÖZEL Sağlık Hizmetleri A.ş</x:v>
      </x:c>
      <x:c r="D348" t="str">
        <x:v>120248812698040399</x:v>
      </x:c>
      <x:c r="E348" t="str">
        <x:v>ABO / Medikal Estetik lead / 16.04.2026</x:v>
      </x:c>
      <x:c r="F348" t="str">
        <x:v>OUTCOME_LEADS</x:v>
      </x:c>
      <x:c r="G348" t="n">
        <x:v>10266</x:v>
      </x:c>
      <x:c r="H348" s="28" t="n">
        <x:v>1201.13</x:v>
      </x:c>
      <x:c r="I348" t="n">
        <x:v>11543</x:v>
      </x:c>
      <x:c r="J348" t="n">
        <x:v>91</x:v>
      </x:c>
      <x:c r="K348" t="n">
        <x:v>37</x:v>
      </x:c>
      <x:c r="L348" s="27" t="n">
        <x:f>IFERROR(K348/I348,0)</x:f>
        <x:v>0.003205405873689682</x:v>
      </x:c>
      <x:c r="M348" s="28" t="n">
        <x:f>IFERROR(H348/K348,0)</x:f>
        <x:v>32.46297297297298</x:v>
      </x:c>
      <x:c r="N348" s="28" t="n">
        <x:f>IFERROR(H348/I348*1000,0)</x:f>
        <x:v>104.05700424499697</x:v>
      </x:c>
      <x:c r="O348" t="n">
        <x:v>1.124391</x:v>
      </x:c>
      <x:c r="P348" t="n">
        <x:v>9</x:v>
      </x:c>
      <x:c r="Q348" s="28" t="n">
        <x:v>0</x:v>
      </x:c>
      <x:c r="R348" s="28" t="n">
        <x:v>0</x:v>
      </x:c>
    </x:row>
    <x:row r="349">
      <x:c r="A349" t="str">
        <x:v>2026-07-24</x:v>
      </x:c>
      <x:c r="B349" t="str">
        <x:v>449281783851362</x:v>
      </x:c>
      <x:c r="C349" t="str">
        <x:v>Doruk Hastaneleri - SİNA ÖZEL Sağlık Hizmetleri A.ş</x:v>
      </x:c>
      <x:c r="D349" t="str">
        <x:v>120249061996540399</x:v>
      </x:c>
      <x:c r="E349" t="str">
        <x:v>Doktor - Bilinirlik Kampanyası - Nilüfer</x:v>
      </x:c>
      <x:c r="F349" t="str">
        <x:v>OUTCOME_AWARENESS</x:v>
      </x:c>
      <x:c r="G349" t="n">
        <x:v>296976</x:v>
      </x:c>
      <x:c r="H349" s="28" t="n">
        <x:v>3017.31</x:v>
      </x:c>
      <x:c r="I349" t="n">
        <x:v>318079</x:v>
      </x:c>
      <x:c r="J349" t="n">
        <x:v>211</x:v>
      </x:c>
      <x:c r="K349" t="n">
        <x:v>0</x:v>
      </x:c>
      <x:c r="L349" s="27" t="n">
        <x:f>IFERROR(K349/I349,0)</x:f>
        <x:v>0</x:v>
      </x:c>
      <x:c r="M349" s="28" t="n">
        <x:f>IFERROR(H349/K349,0)</x:f>
        <x:v>0</x:v>
      </x:c>
      <x:c r="N349" s="28" t="n">
        <x:f>IFERROR(H349/I349*1000,0)</x:f>
        <x:v>9.486039631663832</x:v>
      </x:c>
      <x:c r="O349" t="n">
        <x:v>1.07106</x:v>
      </x:c>
      <x:c r="P349" t="n">
        <x:v>0</x:v>
      </x:c>
      <x:c r="Q349" s="28" t="n">
        <x:v>0</x:v>
      </x:c>
      <x:c r="R349" s="28" t="n">
        <x:v>0</x:v>
      </x:c>
    </x:row>
    <x:row r="350">
      <x:c r="A350" t="str">
        <x:v>2026-07-24</x:v>
      </x:c>
      <x:c r="B350" t="str">
        <x:v>449281783851362</x:v>
      </x:c>
      <x:c r="C350" t="str">
        <x:v>Doruk Hastaneleri - SİNA ÖZEL Sağlık Hizmetleri A.ş</x:v>
      </x:c>
      <x:c r="D350" t="str">
        <x:v>120249614228610399</x:v>
      </x:c>
      <x:c r="E350" t="str">
        <x:v>Instagram gönderisi: Bir sezon boyunca ortaya...</x:v>
      </x:c>
      <x:c r="F350" t="str">
        <x:v>LINK_CLICKS</x:v>
      </x:c>
      <x:c r="G350" t="n">
        <x:v>28520</x:v>
      </x:c>
      <x:c r="H350" s="28" t="n">
        <x:v>1853.83</x:v>
      </x:c>
      <x:c r="I350" t="n">
        <x:v>31305</x:v>
      </x:c>
      <x:c r="J350" t="n">
        <x:v>311</x:v>
      </x:c>
      <x:c r="K350" t="n">
        <x:v>312</x:v>
      </x:c>
      <x:c r="L350" s="27" t="n">
        <x:f>IFERROR(K350/I350,0)</x:f>
        <x:v>0.009966459032103497</x:v>
      </x:c>
      <x:c r="M350" s="28" t="n">
        <x:f>IFERROR(H350/K350,0)</x:f>
        <x:v>5.94176282051282</x:v>
      </x:c>
      <x:c r="N350" s="28" t="n">
        <x:f>IFERROR(H350/I350*1000,0)</x:f>
        <x:v>59.21833572911675</x:v>
      </x:c>
      <x:c r="O350" t="n">
        <x:v>1.097651</x:v>
      </x:c>
      <x:c r="P350" t="n">
        <x:v>0</x:v>
      </x:c>
      <x:c r="Q350" s="28" t="n">
        <x:v>0</x:v>
      </x:c>
      <x:c r="R350" s="28" t="n">
        <x:v>0</x:v>
      </x:c>
    </x:row>
    <x:row r="351">
      <x:c r="A351" t="str">
        <x:v>2026-07-24</x:v>
      </x:c>
      <x:c r="B351" t="str">
        <x:v>449281783851362</x:v>
      </x:c>
      <x:c r="C351" t="str">
        <x:v>Doruk Hastaneleri - SİNA ÖZEL Sağlık Hizmetleri A.ş</x:v>
      </x:c>
      <x:c r="D351" t="str">
        <x:v>120251414264130399</x:v>
      </x:c>
      <x:c r="E351" t="str">
        <x:v>Prostat Checkup - lead</x:v>
      </x:c>
      <x:c r="F351" t="str">
        <x:v>OUTCOME_LEADS</x:v>
      </x:c>
      <x:c r="G351" t="n">
        <x:v>3437</x:v>
      </x:c>
      <x:c r="H351" s="28" t="n">
        <x:v>242.91</x:v>
      </x:c>
      <x:c r="I351" t="n">
        <x:v>3619</x:v>
      </x:c>
      <x:c r="J351" t="n">
        <x:v>110</x:v>
      </x:c>
      <x:c r="K351" t="n">
        <x:v>25</x:v>
      </x:c>
      <x:c r="L351" s="27" t="n">
        <x:f>IFERROR(K351/I351,0)</x:f>
        <x:v>0.006907985631389887</x:v>
      </x:c>
      <x:c r="M351" s="28" t="n">
        <x:f>IFERROR(H351/K351,0)</x:f>
        <x:v>9.7164</x:v>
      </x:c>
      <x:c r="N351" s="28" t="n">
        <x:f>IFERROR(H351/I351*1000,0)</x:f>
        <x:v>67.1207515888367</x:v>
      </x:c>
      <x:c r="O351" t="n">
        <x:v>1.052953</x:v>
      </x:c>
      <x:c r="P351" t="n">
        <x:v>1</x:v>
      </x:c>
      <x:c r="Q351" s="28" t="n">
        <x:v>0</x:v>
      </x:c>
      <x:c r="R351" s="28" t="n">
        <x:v>0</x:v>
      </x:c>
    </x:row>
    <x:row r="352">
      <x:c r="A352" t="str">
        <x:v>2026-07-24</x:v>
      </x:c>
      <x:c r="B352" t="str">
        <x:v>449281783851362</x:v>
      </x:c>
      <x:c r="C352" t="str">
        <x:v>Doruk Hastaneleri - SİNA ÖZEL Sağlık Hizmetleri A.ş</x:v>
      </x:c>
      <x:c r="D352" t="str">
        <x:v>120252323141170399</x:v>
      </x:c>
      <x:c r="E352" t="str">
        <x:v>Instagram gönderisi: Medikal estetik alanındaki...</x:v>
      </x:c>
      <x:c r="F352" t="str">
        <x:v>LINK_CLICKS</x:v>
      </x:c>
      <x:c r="G352" t="n">
        <x:v>2218</x:v>
      </x:c>
      <x:c r="H352" s="28" t="n">
        <x:v>156.2</x:v>
      </x:c>
      <x:c r="I352" t="n">
        <x:v>2344</x:v>
      </x:c>
      <x:c r="J352" t="n">
        <x:v>38</x:v>
      </x:c>
      <x:c r="K352" t="n">
        <x:v>39</x:v>
      </x:c>
      <x:c r="L352" s="27" t="n">
        <x:f>IFERROR(K352/I352,0)</x:f>
        <x:v>0.016638225255972697</x:v>
      </x:c>
      <x:c r="M352" s="28" t="n">
        <x:f>IFERROR(H352/K352,0)</x:f>
        <x:v>4.005128205128205</x:v>
      </x:c>
      <x:c r="N352" s="28" t="n">
        <x:f>IFERROR(H352/I352*1000,0)</x:f>
        <x:v>66.6382252559727</x:v>
      </x:c>
      <x:c r="O352" t="n">
        <x:v>1.056808</x:v>
      </x:c>
      <x:c r="P352" t="n">
        <x:v>0</x:v>
      </x:c>
      <x:c r="Q352" s="28" t="n">
        <x:v>0</x:v>
      </x:c>
      <x:c r="R352" s="28" t="n">
        <x:v>0</x:v>
      </x:c>
    </x:row>
    <x:row r="353">
      <x:c r="A353" t="str">
        <x:v>2026-07-24</x:v>
      </x:c>
      <x:c r="B353" t="str">
        <x:v>449281783851362</x:v>
      </x:c>
      <x:c r="C353" t="str">
        <x:v>Doruk Hastaneleri - SİNA ÖZEL Sağlık Hizmetleri A.ş</x:v>
      </x:c>
      <x:c r="D353" t="str">
        <x:v>120255099624540399</x:v>
      </x:c>
      <x:c r="E353" t="str">
        <x:v>Instagram gönderisi: Doruk Sağlık Grubu olarak,...</x:v>
      </x:c>
      <x:c r="F353" t="str">
        <x:v>LINK_CLICKS</x:v>
      </x:c>
      <x:c r="G353" t="n">
        <x:v>26333</x:v>
      </x:c>
      <x:c r="H353" s="28" t="n">
        <x:v>1431.97</x:v>
      </x:c>
      <x:c r="I353" t="n">
        <x:v>27126</x:v>
      </x:c>
      <x:c r="J353" t="n">
        <x:v>284</x:v>
      </x:c>
      <x:c r="K353" t="n">
        <x:v>283</x:v>
      </x:c>
      <x:c r="L353" s="27" t="n">
        <x:f>IFERROR(K353/I353,0)</x:f>
        <x:v>0.01043279510432795</x:v>
      </x:c>
      <x:c r="M353" s="28" t="n">
        <x:f>IFERROR(H353/K353,0)</x:f>
        <x:v>5.059964664310955</x:v>
      </x:c>
      <x:c r="N353" s="28" t="n">
        <x:f>IFERROR(H353/I353*1000,0)</x:f>
        <x:v>52.78957457789574</x:v>
      </x:c>
      <x:c r="O353" t="n">
        <x:v>1.030114</x:v>
      </x:c>
      <x:c r="P353" t="n">
        <x:v>0</x:v>
      </x:c>
      <x:c r="Q353" s="28" t="n">
        <x:v>0</x:v>
      </x:c>
      <x:c r="R353" s="28" t="n">
        <x:v>0</x:v>
      </x:c>
    </x:row>
    <x:row r="354">
      <x:c r="A354" t="str">
        <x:v>2026-07-24</x:v>
      </x:c>
      <x:c r="B354" t="str">
        <x:v>449281783851362</x:v>
      </x:c>
      <x:c r="C354" t="str">
        <x:v>Doruk Hastaneleri - SİNA ÖZEL Sağlık Hizmetleri A.ş</x:v>
      </x:c>
      <x:c r="D354" t="str">
        <x:v>120255158812950399</x:v>
      </x:c>
      <x:c r="E354" t="str">
        <x:v>Doktor - Bilinirlik Kampanyası - Yıldırım</x:v>
      </x:c>
      <x:c r="F354" t="str">
        <x:v>OUTCOME_AWARENESS</x:v>
      </x:c>
      <x:c r="G354" t="n">
        <x:v>127093</x:v>
      </x:c>
      <x:c r="H354" s="28" t="n">
        <x:v>1258.09</x:v>
      </x:c>
      <x:c r="I354" t="n">
        <x:v>134497</x:v>
      </x:c>
      <x:c r="J354" t="n">
        <x:v>95</x:v>
      </x:c>
      <x:c r="K354" t="n">
        <x:v>0</x:v>
      </x:c>
      <x:c r="L354" s="27" t="n">
        <x:f>IFERROR(K354/I354,0)</x:f>
        <x:v>0</x:v>
      </x:c>
      <x:c r="M354" s="28" t="n">
        <x:f>IFERROR(H354/K354,0)</x:f>
        <x:v>0</x:v>
      </x:c>
      <x:c r="N354" s="28" t="n">
        <x:f>IFERROR(H354/I354*1000,0)</x:f>
        <x:v>9.354037636527208</x:v>
      </x:c>
      <x:c r="O354" t="n">
        <x:v>1.058257</x:v>
      </x:c>
      <x:c r="P354" t="n">
        <x:v>0</x:v>
      </x:c>
      <x:c r="Q354" s="28" t="n">
        <x:v>0</x:v>
      </x:c>
      <x:c r="R354" s="28" t="n">
        <x:v>0</x:v>
      </x:c>
    </x:row>
    <x:row r="355">
      <x:c r="A355" t="str">
        <x:v>2026-07-24</x:v>
      </x:c>
      <x:c r="B355" t="str">
        <x:v>449281783851362</x:v>
      </x:c>
      <x:c r="C355" t="str">
        <x:v>Doruk Hastaneleri - SİNA ÖZEL Sağlık Hizmetleri A.ş</x:v>
      </x:c>
      <x:c r="D355" t="str">
        <x:v>120255738261970399</x:v>
      </x:c>
      <x:c r="E355" t="str">
        <x:v>Instagram gönderisi: Aşılama tedavisi, gebelik...</x:v>
      </x:c>
      <x:c r="F355" t="str">
        <x:v>LINK_CLICKS</x:v>
      </x:c>
      <x:c r="G355" t="n">
        <x:v>5515</x:v>
      </x:c>
      <x:c r="H355" s="28" t="n">
        <x:v>335.54</x:v>
      </x:c>
      <x:c r="I355" t="n">
        <x:v>5757</x:v>
      </x:c>
      <x:c r="J355" t="n">
        <x:v>52</x:v>
      </x:c>
      <x:c r="K355" t="n">
        <x:v>52</x:v>
      </x:c>
      <x:c r="L355" s="27" t="n">
        <x:f>IFERROR(K355/I355,0)</x:f>
        <x:v>0.00903248219558798</x:v>
      </x:c>
      <x:c r="M355" s="28" t="n">
        <x:f>IFERROR(H355/K355,0)</x:f>
        <x:v>6.452692307692308</x:v>
      </x:c>
      <x:c r="N355" s="28" t="n">
        <x:f>IFERROR(H355/I355*1000,0)</x:f>
        <x:v>58.28382838283829</x:v>
      </x:c>
      <x:c r="O355" t="n">
        <x:v>1.04388</x:v>
      </x:c>
      <x:c r="P355" t="n">
        <x:v>0</x:v>
      </x:c>
      <x:c r="Q355" s="28" t="n">
        <x:v>0</x:v>
      </x:c>
      <x:c r="R355" s="28" t="n">
        <x:v>0</x:v>
      </x:c>
    </x:row>
    <x:row r="356">
      <x:c r="A356" t="str">
        <x:v>2026-07-24</x:v>
      </x:c>
      <x:c r="B356" t="str">
        <x:v>449281783851362</x:v>
      </x:c>
      <x:c r="C356" t="str">
        <x:v>Doruk Hastaneleri - SİNA ÖZEL Sağlık Hizmetleri A.ş</x:v>
      </x:c>
      <x:c r="D356" t="str">
        <x:v>120255738303970399</x:v>
      </x:c>
      <x:c r="E356" t="str">
        <x:v>Instagram gönderisi: 🏅 BURSA'DA BİR İLK
Özel...</x:v>
      </x:c>
      <x:c r="F356" t="str">
        <x:v>LINK_CLICKS</x:v>
      </x:c>
      <x:c r="G356" t="n">
        <x:v>4394</x:v>
      </x:c>
      <x:c r="H356" s="28" t="n">
        <x:v>340.78</x:v>
      </x:c>
      <x:c r="I356" t="n">
        <x:v>4643</x:v>
      </x:c>
      <x:c r="J356" t="n">
        <x:v>95</x:v>
      </x:c>
      <x:c r="K356" t="n">
        <x:v>98</x:v>
      </x:c>
      <x:c r="L356" s="27" t="n">
        <x:f>IFERROR(K356/I356,0)</x:f>
        <x:v>0.021107042860219687</x:v>
      </x:c>
      <x:c r="M356" s="28" t="n">
        <x:f>IFERROR(H356/K356,0)</x:f>
        <x:v>3.47734693877551</x:v>
      </x:c>
      <x:c r="N356" s="28" t="n">
        <x:f>IFERROR(H356/I356*1000,0)</x:f>
        <x:v>73.39651087658841</x:v>
      </x:c>
      <x:c r="O356" t="n">
        <x:v>1.056668</x:v>
      </x:c>
      <x:c r="P356" t="n">
        <x:v>0</x:v>
      </x:c>
      <x:c r="Q356" s="28" t="n">
        <x:v>0</x:v>
      </x:c>
      <x:c r="R356" s="28" t="n">
        <x:v>0</x:v>
      </x:c>
    </x:row>
    <x:row r="357">
      <x:c r="A357" t="str">
        <x:v>2026-07-24</x:v>
      </x:c>
      <x:c r="B357" t="str">
        <x:v>449281783851362</x:v>
      </x:c>
      <x:c r="C357" t="str">
        <x:v>Doruk Hastaneleri - SİNA ÖZEL Sağlık Hizmetleri A.ş</x:v>
      </x:c>
      <x:c r="D357" t="str">
        <x:v>120255738326270399</x:v>
      </x:c>
      <x:c r="E357" t="str">
        <x:v>Instagram gönderisi: Gebelikte bel ağrısı sık...</x:v>
      </x:c>
      <x:c r="F357" t="str">
        <x:v>LINK_CLICKS</x:v>
      </x:c>
      <x:c r="G357" t="n">
        <x:v>2933</x:v>
      </x:c>
      <x:c r="H357" s="28" t="n">
        <x:v>267.13</x:v>
      </x:c>
      <x:c r="I357" t="n">
        <x:v>3150</x:v>
      </x:c>
      <x:c r="J357" t="n">
        <x:v>41</x:v>
      </x:c>
      <x:c r="K357" t="n">
        <x:v>42</x:v>
      </x:c>
      <x:c r="L357" s="27" t="n">
        <x:f>IFERROR(K357/I357,0)</x:f>
        <x:v>0.013333333333333334</x:v>
      </x:c>
      <x:c r="M357" s="28" t="n">
        <x:f>IFERROR(H357/K357,0)</x:f>
        <x:v>6.3602380952380955</x:v>
      </x:c>
      <x:c r="N357" s="28" t="n">
        <x:f>IFERROR(H357/I357*1000,0)</x:f>
        <x:v>84.8031746031746</x:v>
      </x:c>
      <x:c r="O357" t="n">
        <x:v>1.073986</x:v>
      </x:c>
      <x:c r="P357" t="n">
        <x:v>0</x:v>
      </x:c>
      <x:c r="Q357" s="28" t="n">
        <x:v>0</x:v>
      </x:c>
      <x:c r="R357" s="28" t="n">
        <x:v>0</x:v>
      </x:c>
    </x:row>
    <x:row r="358">
      <x:c r="A358" t="str">
        <x:v>2026-07-24</x:v>
      </x:c>
      <x:c r="B358" t="str">
        <x:v>449281783851362</x:v>
      </x:c>
      <x:c r="C358" t="str">
        <x:v>Doruk Hastaneleri - SİNA ÖZEL Sağlık Hizmetleri A.ş</x:v>
      </x:c>
      <x:c r="D358" t="str">
        <x:v>120255738351260399</x:v>
      </x:c>
      <x:c r="E358" t="str">
        <x:v>Instagram gönderisi: İlişki sonrasında idrar...</x:v>
      </x:c>
      <x:c r="F358" t="str">
        <x:v>LINK_CLICKS</x:v>
      </x:c>
      <x:c r="G358" t="n">
        <x:v>2011</x:v>
      </x:c>
      <x:c r="H358" s="28" t="n">
        <x:v>250.71</x:v>
      </x:c>
      <x:c r="I358" t="n">
        <x:v>2166</x:v>
      </x:c>
      <x:c r="J358" t="n">
        <x:v>45</x:v>
      </x:c>
      <x:c r="K358" t="n">
        <x:v>46</x:v>
      </x:c>
      <x:c r="L358" s="27" t="n">
        <x:f>IFERROR(K358/I358,0)</x:f>
        <x:v>0.02123730378578024</x:v>
      </x:c>
      <x:c r="M358" s="28" t="n">
        <x:f>IFERROR(H358/K358,0)</x:f>
        <x:v>5.450217391304348</x:v>
      </x:c>
      <x:c r="N358" s="28" t="n">
        <x:f>IFERROR(H358/I358*1000,0)</x:f>
        <x:v>115.74792243767314</x:v>
      </x:c>
      <x:c r="O358" t="n">
        <x:v>1.077076</x:v>
      </x:c>
      <x:c r="P358" t="n">
        <x:v>0</x:v>
      </x:c>
      <x:c r="Q358" s="28" t="n">
        <x:v>0</x:v>
      </x:c>
      <x:c r="R358" s="28" t="n">
        <x:v>0</x:v>
      </x:c>
    </x:row>
    <x:row r="359">
      <x:c r="A359" t="str">
        <x:v>2026-07-24</x:v>
      </x:c>
      <x:c r="B359" t="str">
        <x:v>449281783851362</x:v>
      </x:c>
      <x:c r="C359" t="str">
        <x:v>Doruk Hastaneleri - SİNA ÖZEL Sağlık Hizmetleri A.ş</x:v>
      </x:c>
      <x:c r="D359" t="str">
        <x:v>120255738376560399</x:v>
      </x:c>
      <x:c r="E359" t="str">
        <x:v>Instagram gönderisi: Ablasyon tedavisi, vücutta...</x:v>
      </x:c>
      <x:c r="F359" t="str">
        <x:v>LINK_CLICKS</x:v>
      </x:c>
      <x:c r="G359" t="n">
        <x:v>2459</x:v>
      </x:c>
      <x:c r="H359" s="28" t="n">
        <x:v>321.64</x:v>
      </x:c>
      <x:c r="I359" t="n">
        <x:v>2665</x:v>
      </x:c>
      <x:c r="J359" t="n">
        <x:v>47</x:v>
      </x:c>
      <x:c r="K359" t="n">
        <x:v>47</x:v>
      </x:c>
      <x:c r="L359" s="27" t="n">
        <x:f>IFERROR(K359/I359,0)</x:f>
        <x:v>0.017636022514071294</x:v>
      </x:c>
      <x:c r="M359" s="28" t="n">
        <x:f>IFERROR(H359/K359,0)</x:f>
        <x:v>6.8434042553191485</x:v>
      </x:c>
      <x:c r="N359" s="28" t="n">
        <x:f>IFERROR(H359/I359*1000,0)</x:f>
        <x:v>120.69043151969981</x:v>
      </x:c>
      <x:c r="O359" t="n">
        <x:v>1.083774</x:v>
      </x:c>
      <x:c r="P359" t="n">
        <x:v>0</x:v>
      </x:c>
      <x:c r="Q359" s="28" t="n">
        <x:v>0</x:v>
      </x:c>
      <x:c r="R359" s="28" t="n">
        <x:v>0</x:v>
      </x:c>
    </x:row>
    <x:row r="360">
      <x:c r="A360" t="str">
        <x:v>2026-07-24</x:v>
      </x:c>
      <x:c r="B360" t="str">
        <x:v>449281783851362</x:v>
      </x:c>
      <x:c r="C360" t="str">
        <x:v>Doruk Hastaneleri - SİNA ÖZEL Sağlık Hizmetleri A.ş</x:v>
      </x:c>
      <x:c r="D360" t="str">
        <x:v>120255739080510399</x:v>
      </x:c>
      <x:c r="E360" t="str">
        <x:v>Gönderi: "👃 Rinoplasti Ameliyatı Nedir? Yumuşak Doku Neden..."</x:v>
      </x:c>
      <x:c r="F360" t="str">
        <x:v>OUTCOME_ENGAGEMENT</x:v>
      </x:c>
      <x:c r="G360" t="n">
        <x:v>2882</x:v>
      </x:c>
      <x:c r="H360" s="28" t="n">
        <x:v>271.48</x:v>
      </x:c>
      <x:c r="I360" t="n">
        <x:v>3081</x:v>
      </x:c>
      <x:c r="J360" t="n">
        <x:v>116</x:v>
      </x:c>
      <x:c r="K360" t="n">
        <x:v>64</x:v>
      </x:c>
      <x:c r="L360" s="27" t="n">
        <x:f>IFERROR(K360/I360,0)</x:f>
        <x:v>0.020772476468679</x:v>
      </x:c>
      <x:c r="M360" s="28" t="n">
        <x:f>IFERROR(H360/K360,0)</x:f>
        <x:v>4.241875</x:v>
      </x:c>
      <x:c r="N360" s="28" t="n">
        <x:f>IFERROR(H360/I360*1000,0)</x:f>
        <x:v>88.11424862057774</x:v>
      </x:c>
      <x:c r="O360" t="n">
        <x:v>1.069049</x:v>
      </x:c>
      <x:c r="P360" t="n">
        <x:v>0</x:v>
      </x:c>
      <x:c r="Q360" s="28" t="n">
        <x:v>0</x:v>
      </x:c>
      <x:c r="R360" s="28" t="n">
        <x:v>0</x:v>
      </x:c>
    </x:row>
    <x:row r="361">
      <x:c r="A361" t="str">
        <x:v>2026-07-24</x:v>
      </x:c>
      <x:c r="B361" t="str">
        <x:v>449281783851362</x:v>
      </x:c>
      <x:c r="C361" t="str">
        <x:v>Doruk Hastaneleri - SİNA ÖZEL Sağlık Hizmetleri A.ş</x:v>
      </x:c>
      <x:c r="D361" t="str">
        <x:v>120255739163090399</x:v>
      </x:c>
      <x:c r="E361" t="str">
        <x:v>Instagram gönderisi: 👃 Rinoplasti Ameliyatı...</x:v>
      </x:c>
      <x:c r="F361" t="str">
        <x:v>LINK_CLICKS</x:v>
      </x:c>
      <x:c r="G361" t="n">
        <x:v>4020</x:v>
      </x:c>
      <x:c r="H361" s="28" t="n">
        <x:v>315.46</x:v>
      </x:c>
      <x:c r="I361" t="n">
        <x:v>4236</x:v>
      </x:c>
      <x:c r="J361" t="n">
        <x:v>169</x:v>
      </x:c>
      <x:c r="K361" t="n">
        <x:v>171</x:v>
      </x:c>
      <x:c r="L361" s="27" t="n">
        <x:f>IFERROR(K361/I361,0)</x:f>
        <x:v>0.04036827195467422</x:v>
      </x:c>
      <x:c r="M361" s="28" t="n">
        <x:f>IFERROR(H361/K361,0)</x:f>
        <x:v>1.8447953216374269</x:v>
      </x:c>
      <x:c r="N361" s="28" t="n">
        <x:f>IFERROR(H361/I361*1000,0)</x:f>
        <x:v>74.47119924457034</x:v>
      </x:c>
      <x:c r="O361" t="n">
        <x:v>1.053731</x:v>
      </x:c>
      <x:c r="P361" t="n">
        <x:v>0</x:v>
      </x:c>
      <x:c r="Q361" s="28" t="n">
        <x:v>0</x:v>
      </x:c>
      <x:c r="R361" s="28" t="n">
        <x:v>0</x:v>
      </x:c>
    </x:row>
    <x:row r="362">
      <x:c r="A362" t="str">
        <x:v>2026-07-24</x:v>
      </x:c>
      <x:c r="B362" t="str">
        <x:v>449281783851362</x:v>
      </x:c>
      <x:c r="C362" t="str">
        <x:v>Doruk Hastaneleri - SİNA ÖZEL Sağlık Hizmetleri A.ş</x:v>
      </x:c>
      <x:c r="D362" t="str">
        <x:v>120255739194330399</x:v>
      </x:c>
      <x:c r="E362" t="str">
        <x:v>Instagram gönderisi: 🖐️ Parmak Ucu Defekti Nasıl...</x:v>
      </x:c>
      <x:c r="F362" t="str">
        <x:v>LINK_CLICKS</x:v>
      </x:c>
      <x:c r="G362" t="n">
        <x:v>3370</x:v>
      </x:c>
      <x:c r="H362" s="28" t="n">
        <x:v>302.3</x:v>
      </x:c>
      <x:c r="I362" t="n">
        <x:v>3577</x:v>
      </x:c>
      <x:c r="J362" t="n">
        <x:v>139</x:v>
      </x:c>
      <x:c r="K362" t="n">
        <x:v>140</x:v>
      </x:c>
      <x:c r="L362" s="27" t="n">
        <x:f>IFERROR(K362/I362,0)</x:f>
        <x:v>0.03913894324853229</x:v>
      </x:c>
      <x:c r="M362" s="28" t="n">
        <x:f>IFERROR(H362/K362,0)</x:f>
        <x:v>2.1592857142857143</x:v>
      </x:c>
      <x:c r="N362" s="28" t="n">
        <x:f>IFERROR(H362/I362*1000,0)</x:f>
        <x:v>84.51216102879508</x:v>
      </x:c>
      <x:c r="O362" t="n">
        <x:v>1.061424</x:v>
      </x:c>
      <x:c r="P362" t="n">
        <x:v>0</x:v>
      </x:c>
      <x:c r="Q362" s="28" t="n">
        <x:v>0</x:v>
      </x:c>
      <x:c r="R362" s="28" t="n">
        <x:v>0</x:v>
      </x:c>
    </x:row>
    <x:row r="363">
      <x:c r="A363" t="str">
        <x:v>2026-07-24</x:v>
      </x:c>
      <x:c r="B363" t="str">
        <x:v>449281783851362</x:v>
      </x:c>
      <x:c r="C363" t="str">
        <x:v>Doruk Hastaneleri - SİNA ÖZEL Sağlık Hizmetleri A.ş</x:v>
      </x:c>
      <x:c r="D363" t="str">
        <x:v>120255739290470399</x:v>
      </x:c>
      <x:c r="E363" t="str">
        <x:v>Instagram gönderisi: 🎗️ Kemoterapi Alan Her...</x:v>
      </x:c>
      <x:c r="F363" t="str">
        <x:v>LINK_CLICKS</x:v>
      </x:c>
      <x:c r="G363" t="n">
        <x:v>5335</x:v>
      </x:c>
      <x:c r="H363" s="28" t="n">
        <x:v>379.13</x:v>
      </x:c>
      <x:c r="I363" t="n">
        <x:v>5631</x:v>
      </x:c>
      <x:c r="J363" t="n">
        <x:v>139</x:v>
      </x:c>
      <x:c r="K363" t="n">
        <x:v>136</x:v>
      </x:c>
      <x:c r="L363" s="27" t="n">
        <x:f>IFERROR(K363/I363,0)</x:f>
        <x:v>0.024152015627774817</x:v>
      </x:c>
      <x:c r="M363" s="28" t="n">
        <x:f>IFERROR(H363/K363,0)</x:f>
        <x:v>2.787720588235294</x:v>
      </x:c>
      <x:c r="N363" s="28" t="n">
        <x:f>IFERROR(H363/I363*1000,0)</x:f>
        <x:v>67.32907121292843</x:v>
      </x:c>
      <x:c r="O363" t="n">
        <x:v>1.055483</x:v>
      </x:c>
      <x:c r="P363" t="n">
        <x:v>0</x:v>
      </x:c>
      <x:c r="Q363" s="28" t="n">
        <x:v>0</x:v>
      </x:c>
      <x:c r="R363" s="28" t="n">
        <x:v>0</x:v>
      </x:c>
    </x:row>
    <x:row r="364">
      <x:c r="A364" t="str">
        <x:v>2026-07-24</x:v>
      </x:c>
      <x:c r="B364" t="str">
        <x:v>449281783851362</x:v>
      </x:c>
      <x:c r="C364" t="str">
        <x:v>Doruk Hastaneleri - SİNA ÖZEL Sağlık Hizmetleri A.ş</x:v>
      </x:c>
      <x:c r="D364" t="str">
        <x:v>120255739336980399</x:v>
      </x:c>
      <x:c r="E364" t="str">
        <x:v>Instagram gönderisi: 🎗️ Kanser Tanısı Fizik...</x:v>
      </x:c>
      <x:c r="F364" t="str">
        <x:v>LINK_CLICKS</x:v>
      </x:c>
      <x:c r="G364" t="n">
        <x:v>1933</x:v>
      </x:c>
      <x:c r="H364" s="28" t="n">
        <x:v>257.46</x:v>
      </x:c>
      <x:c r="I364" t="n">
        <x:v>2104</x:v>
      </x:c>
      <x:c r="J364" t="n">
        <x:v>41</x:v>
      </x:c>
      <x:c r="K364" t="n">
        <x:v>42</x:v>
      </x:c>
      <x:c r="L364" s="27" t="n">
        <x:f>IFERROR(K364/I364,0)</x:f>
        <x:v>0.019961977186311788</x:v>
      </x:c>
      <x:c r="M364" s="28" t="n">
        <x:f>IFERROR(H364/K364,0)</x:f>
        <x:v>6.13</x:v>
      </x:c>
      <x:c r="N364" s="28" t="n">
        <x:f>IFERROR(H364/I364*1000,0)</x:f>
        <x:v>122.36692015209124</x:v>
      </x:c>
      <x:c r="O364" t="n">
        <x:v>1.088464</x:v>
      </x:c>
      <x:c r="P364" t="n">
        <x:v>0</x:v>
      </x:c>
      <x:c r="Q364" s="28" t="n">
        <x:v>0</x:v>
      </x:c>
      <x:c r="R364" s="28" t="n">
        <x:v>0</x:v>
      </x:c>
    </x:row>
    <x:row r="365">
      <x:c r="A365" t="str">
        <x:v>2026-07-24</x:v>
      </x:c>
      <x:c r="B365" t="str">
        <x:v>449281783851362</x:v>
      </x:c>
      <x:c r="C365" t="str">
        <x:v>Doruk Hastaneleri - SİNA ÖZEL Sağlık Hizmetleri A.ş</x:v>
      </x:c>
      <x:c r="D365" t="str">
        <x:v>120255739368940399</x:v>
      </x:c>
      <x:c r="E365" t="str">
        <x:v>Instagram gönderisi: •Gebelikte Tarama Testleri |...</x:v>
      </x:c>
      <x:c r="F365" t="str">
        <x:v>LINK_CLICKS</x:v>
      </x:c>
      <x:c r="G365" t="n">
        <x:v>1946</x:v>
      </x:c>
      <x:c r="H365" s="28" t="n">
        <x:v>164.83</x:v>
      </x:c>
      <x:c r="I365" t="n">
        <x:v>2095</x:v>
      </x:c>
      <x:c r="J365" t="n">
        <x:v>93</x:v>
      </x:c>
      <x:c r="K365" t="n">
        <x:v>94</x:v>
      </x:c>
      <x:c r="L365" s="27" t="n">
        <x:f>IFERROR(K365/I365,0)</x:f>
        <x:v>0.04486873508353222</x:v>
      </x:c>
      <x:c r="M365" s="28" t="n">
        <x:f>IFERROR(H365/K365,0)</x:f>
        <x:v>1.7535106382978725</x:v>
      </x:c>
      <x:c r="N365" s="28" t="n">
        <x:f>IFERROR(H365/I365*1000,0)</x:f>
        <x:v>78.67780429594274</x:v>
      </x:c>
      <x:c r="O365" t="n">
        <x:v>1.076567</x:v>
      </x:c>
      <x:c r="P365" t="n">
        <x:v>0</x:v>
      </x:c>
      <x:c r="Q365" s="28" t="n">
        <x:v>0</x:v>
      </x:c>
      <x:c r="R365" s="28" t="n">
        <x:v>0</x:v>
      </x:c>
    </x:row>
    <x:row r="366">
      <x:c r="A366" t="str">
        <x:v>2026-07-24</x:v>
      </x:c>
      <x:c r="B366" t="str">
        <x:v>449281783851362</x:v>
      </x:c>
      <x:c r="C366" t="str">
        <x:v>Doruk Hastaneleri - SİNA ÖZEL Sağlık Hizmetleri A.ş</x:v>
      </x:c>
      <x:c r="D366" t="str">
        <x:v>120255739424180399</x:v>
      </x:c>
      <x:c r="E366" t="str">
        <x:v>Instagram gönderisi: ✅Gebelikte uyku pozisyonu...</x:v>
      </x:c>
      <x:c r="F366" t="str">
        <x:v>LINK_CLICKS</x:v>
      </x:c>
      <x:c r="G366" t="n">
        <x:v>4725</x:v>
      </x:c>
      <x:c r="H366" s="28" t="n">
        <x:v>225.87</x:v>
      </x:c>
      <x:c r="I366" t="n">
        <x:v>4903</x:v>
      </x:c>
      <x:c r="J366" t="n">
        <x:v>178</x:v>
      </x:c>
      <x:c r="K366" t="n">
        <x:v>179</x:v>
      </x:c>
      <x:c r="L366" s="27" t="n">
        <x:f>IFERROR(K366/I366,0)</x:f>
        <x:v>0.03650826024882725</x:v>
      </x:c>
      <x:c r="M366" s="28" t="n">
        <x:f>IFERROR(H366/K366,0)</x:f>
        <x:v>1.2618435754189945</x:v>
      </x:c>
      <x:c r="N366" s="28" t="n">
        <x:f>IFERROR(H366/I366*1000,0)</x:f>
        <x:v>46.067713644707325</x:v>
      </x:c>
      <x:c r="O366" t="n">
        <x:v>1.037672</x:v>
      </x:c>
      <x:c r="P366" t="n">
        <x:v>0</x:v>
      </x:c>
      <x:c r="Q366" s="28" t="n">
        <x:v>0</x:v>
      </x:c>
      <x:c r="R366" s="28" t="n">
        <x:v>0</x:v>
      </x:c>
    </x:row>
    <x:row r="367">
      <x:c r="A367" t="str">
        <x:v>2026-07-24</x:v>
      </x:c>
      <x:c r="B367" t="str">
        <x:v>449281783851362</x:v>
      </x:c>
      <x:c r="C367" t="str">
        <x:v>Doruk Hastaneleri - SİNA ÖZEL Sağlık Hizmetleri A.ş</x:v>
      </x:c>
      <x:c r="D367" t="str">
        <x:v>120255739460510399</x:v>
      </x:c>
      <x:c r="E367" t="str">
        <x:v>Instagram gönderisi: 🦴 Omurga Kırıklarında Asıl...</x:v>
      </x:c>
      <x:c r="F367" t="str">
        <x:v>LINK_CLICKS</x:v>
      </x:c>
      <x:c r="G367" t="n">
        <x:v>4929</x:v>
      </x:c>
      <x:c r="H367" s="28" t="n">
        <x:v>309.98</x:v>
      </x:c>
      <x:c r="I367" t="n">
        <x:v>5247</x:v>
      </x:c>
      <x:c r="J367" t="n">
        <x:v>63</x:v>
      </x:c>
      <x:c r="K367" t="n">
        <x:v>67</x:v>
      </x:c>
      <x:c r="L367" s="27" t="n">
        <x:f>IFERROR(K367/I367,0)</x:f>
        <x:v>0.012769201448446732</x:v>
      </x:c>
      <x:c r="M367" s="28" t="n">
        <x:f>IFERROR(H367/K367,0)</x:f>
        <x:v>4.626567164179105</x:v>
      </x:c>
      <x:c r="N367" s="28" t="n">
        <x:f>IFERROR(H367/I367*1000,0)</x:f>
        <x:v>59.07756813417191</x:v>
      </x:c>
      <x:c r="O367" t="n">
        <x:v>1.064516</x:v>
      </x:c>
      <x:c r="P367" t="n">
        <x:v>0</x:v>
      </x:c>
      <x:c r="Q367" s="28" t="n">
        <x:v>0</x:v>
      </x:c>
      <x:c r="R367" s="28" t="n">
        <x:v>0</x:v>
      </x:c>
    </x:row>
    <x:row r="368">
      <x:c r="A368" t="str">
        <x:v>2026-07-24</x:v>
      </x:c>
      <x:c r="B368" t="str">
        <x:v>449281783851362</x:v>
      </x:c>
      <x:c r="C368" t="str">
        <x:v>Doruk Hastaneleri - SİNA ÖZEL Sağlık Hizmetleri A.ş</x:v>
      </x:c>
      <x:c r="D368" t="str">
        <x:v>120255739485660399</x:v>
      </x:c>
      <x:c r="E368" t="str">
        <x:v>Instagram gönderisi: 🦴 Bel Fıtığında Doğru Zaman...</x:v>
      </x:c>
      <x:c r="F368" t="str">
        <x:v>LINK_CLICKS</x:v>
      </x:c>
      <x:c r="G368" t="n">
        <x:v>4828</x:v>
      </x:c>
      <x:c r="H368" s="28" t="n">
        <x:v>312.19</x:v>
      </x:c>
      <x:c r="I368" t="n">
        <x:v>5172</x:v>
      </x:c>
      <x:c r="J368" t="n">
        <x:v>99</x:v>
      </x:c>
      <x:c r="K368" t="n">
        <x:v>102</x:v>
      </x:c>
      <x:c r="L368" s="27" t="n">
        <x:f>IFERROR(K368/I368,0)</x:f>
        <x:v>0.019721577726218097</x:v>
      </x:c>
      <x:c r="M368" s="28" t="n">
        <x:f>IFERROR(H368/K368,0)</x:f>
        <x:v>3.060686274509804</x:v>
      </x:c>
      <x:c r="N368" s="28" t="n">
        <x:f>IFERROR(H368/I368*1000,0)</x:f>
        <x:v>60.361562258313995</x:v>
      </x:c>
      <x:c r="O368" t="n">
        <x:v>1.071251</x:v>
      </x:c>
      <x:c r="P368" t="n">
        <x:v>0</x:v>
      </x:c>
      <x:c r="Q368" s="28" t="n">
        <x:v>0</x:v>
      </x:c>
      <x:c r="R368" s="28" t="n">
        <x:v>0</x:v>
      </x:c>
    </x:row>
    <x:row r="369">
      <x:c r="A369" t="str">
        <x:v>2026-07-24</x:v>
      </x:c>
      <x:c r="B369" t="str">
        <x:v>449281783851362</x:v>
      </x:c>
      <x:c r="C369" t="str">
        <x:v>Doruk Hastaneleri - SİNA ÖZEL Sağlık Hizmetleri A.ş</x:v>
      </x:c>
      <x:c r="D369" t="str">
        <x:v>120255763855030399</x:v>
      </x:c>
      <x:c r="E369" t="str">
        <x:v>Doktor - Bilinirlik Kampanyası - Çekirge</x:v>
      </x:c>
      <x:c r="F369" t="str">
        <x:v>OUTCOME_AWARENESS</x:v>
      </x:c>
      <x:c r="G369" t="n">
        <x:v>60563</x:v>
      </x:c>
      <x:c r="H369" s="28" t="n">
        <x:v>701.74</x:v>
      </x:c>
      <x:c r="I369" t="n">
        <x:v>70827</x:v>
      </x:c>
      <x:c r="J369" t="n">
        <x:v>43</x:v>
      </x:c>
      <x:c r="K369" t="n">
        <x:v>0</x:v>
      </x:c>
      <x:c r="L369" s="27" t="n">
        <x:f>IFERROR(K369/I369,0)</x:f>
        <x:v>0</x:v>
      </x:c>
      <x:c r="M369" s="28" t="n">
        <x:f>IFERROR(H369/K369,0)</x:f>
        <x:v>0</x:v>
      </x:c>
      <x:c r="N369" s="28" t="n">
        <x:f>IFERROR(H369/I369*1000,0)</x:f>
        <x:v>9.90780352125602</x:v>
      </x:c>
      <x:c r="O369" t="n">
        <x:v>1.169476</x:v>
      </x:c>
      <x:c r="P369" t="n">
        <x:v>0</x:v>
      </x:c>
      <x:c r="Q369" s="28" t="n">
        <x:v>0</x:v>
      </x:c>
      <x:c r="R369" s="28" t="n">
        <x:v>0</x:v>
      </x:c>
    </x:row>
    <x:row r="370">
      <x:c r="A370" t="str">
        <x:v>2026-07-25</x:v>
      </x:c>
      <x:c r="B370" t="str">
        <x:v>449281783851362</x:v>
      </x:c>
      <x:c r="C370" t="str">
        <x:v>Doruk Hastaneleri - SİNA ÖZEL Sağlık Hizmetleri A.ş</x:v>
      </x:c>
      <x:c r="D370" t="str">
        <x:v>120202624613730399</x:v>
      </x:c>
      <x:c r="E370" t="str">
        <x:v>CBO / Saç Ekimi - lead / soğuk</x:v>
      </x:c>
      <x:c r="F370" t="str">
        <x:v>OUTCOME_LEADS</x:v>
      </x:c>
      <x:c r="G370" t="n">
        <x:v>5069</x:v>
      </x:c>
      <x:c r="H370" s="28" t="n">
        <x:v>933.88</x:v>
      </x:c>
      <x:c r="I370" t="n">
        <x:v>7253</x:v>
      </x:c>
      <x:c r="J370" t="n">
        <x:v>30</x:v>
      </x:c>
      <x:c r="K370" t="n">
        <x:v>17</x:v>
      </x:c>
      <x:c r="L370" s="27" t="n">
        <x:f>IFERROR(K370/I370,0)</x:f>
        <x:v>0.0023438577140493587</x:v>
      </x:c>
      <x:c r="M370" s="28" t="n">
        <x:f>IFERROR(H370/K370,0)</x:f>
        <x:v>54.93411764705883</x:v>
      </x:c>
      <x:c r="N370" s="28" t="n">
        <x:f>IFERROR(H370/I370*1000,0)</x:f>
        <x:v>128.75775541155386</x:v>
      </x:c>
      <x:c r="O370" t="n">
        <x:v>1.430854</x:v>
      </x:c>
      <x:c r="P370" t="n">
        <x:v>2</x:v>
      </x:c>
      <x:c r="Q370" s="28" t="n">
        <x:v>0</x:v>
      </x:c>
      <x:c r="R370" s="28" t="n">
        <x:v>0</x:v>
      </x:c>
    </x:row>
    <x:row r="371">
      <x:c r="A371" t="str">
        <x:v>2026-07-25</x:v>
      </x:c>
      <x:c r="B371" t="str">
        <x:v>449281783851362</x:v>
      </x:c>
      <x:c r="C371" t="str">
        <x:v>Doruk Hastaneleri - SİNA ÖZEL Sağlık Hizmetleri A.ş</x:v>
      </x:c>
      <x:c r="D371" t="str">
        <x:v>120211731920800399</x:v>
      </x:c>
      <x:c r="E371" t="str">
        <x:v>ABO / Göz Kapağı Estetiği / plastik cerrahi / lead</x:v>
      </x:c>
      <x:c r="F371" t="str">
        <x:v>OUTCOME_LEADS</x:v>
      </x:c>
      <x:c r="G371" t="n">
        <x:v>2459</x:v>
      </x:c>
      <x:c r="H371" s="28" t="n">
        <x:v>282.37</x:v>
      </x:c>
      <x:c r="I371" t="n">
        <x:v>3094</x:v>
      </x:c>
      <x:c r="J371" t="n">
        <x:v>20</x:v>
      </x:c>
      <x:c r="K371" t="n">
        <x:v>8</x:v>
      </x:c>
      <x:c r="L371" s="27" t="n">
        <x:f>IFERROR(K371/I371,0)</x:f>
        <x:v>0.002585649644473174</x:v>
      </x:c>
      <x:c r="M371" s="28" t="n">
        <x:f>IFERROR(H371/K371,0)</x:f>
        <x:v>35.29625</x:v>
      </x:c>
      <x:c r="N371" s="28" t="n">
        <x:f>IFERROR(H371/I371*1000,0)</x:f>
        <x:v>91.26373626373626</x:v>
      </x:c>
      <x:c r="O371" t="n">
        <x:v>1.258235</x:v>
      </x:c>
      <x:c r="P371" t="n">
        <x:v>0</x:v>
      </x:c>
      <x:c r="Q371" s="28" t="n">
        <x:v>0</x:v>
      </x:c>
      <x:c r="R371" s="28" t="n">
        <x:v>0</x:v>
      </x:c>
    </x:row>
    <x:row r="372">
      <x:c r="A372" t="str">
        <x:v>2026-07-25</x:v>
      </x:c>
      <x:c r="B372" t="str">
        <x:v>449281783851362</x:v>
      </x:c>
      <x:c r="C372" t="str">
        <x:v>Doruk Hastaneleri - SİNA ÖZEL Sağlık Hizmetleri A.ş</x:v>
      </x:c>
      <x:c r="D372" t="str">
        <x:v>120211732243050399</x:v>
      </x:c>
      <x:c r="E372" t="str">
        <x:v>ABO /Kepçe Kulak / plastik cerrahi / lead</x:v>
      </x:c>
      <x:c r="F372" t="str">
        <x:v>OUTCOME_LEADS</x:v>
      </x:c>
      <x:c r="G372" t="n">
        <x:v>5401</x:v>
      </x:c>
      <x:c r="H372" s="28" t="n">
        <x:v>278.86</x:v>
      </x:c>
      <x:c r="I372" t="n">
        <x:v>6055</x:v>
      </x:c>
      <x:c r="J372" t="n">
        <x:v>28</x:v>
      </x:c>
      <x:c r="K372" t="n">
        <x:v>19</x:v>
      </x:c>
      <x:c r="L372" s="27" t="n">
        <x:f>IFERROR(K372/I372,0)</x:f>
        <x:v>0.003137902559867878</x:v>
      </x:c>
      <x:c r="M372" s="28" t="n">
        <x:f>IFERROR(H372/K372,0)</x:f>
        <x:v>14.676842105263159</x:v>
      </x:c>
      <x:c r="N372" s="28" t="n">
        <x:f>IFERROR(H372/I372*1000,0)</x:f>
        <x:v>46.05450041288192</x:v>
      </x:c>
      <x:c r="O372" t="n">
        <x:v>1.121089</x:v>
      </x:c>
      <x:c r="P372" t="n">
        <x:v>2</x:v>
      </x:c>
      <x:c r="Q372" s="28" t="n">
        <x:v>0</x:v>
      </x:c>
      <x:c r="R372" s="28" t="n">
        <x:v>0</x:v>
      </x:c>
    </x:row>
    <x:row r="373">
      <x:c r="A373" t="str">
        <x:v>2026-07-25</x:v>
      </x:c>
      <x:c r="B373" t="str">
        <x:v>449281783851362</x:v>
      </x:c>
      <x:c r="C373" t="str">
        <x:v>Doruk Hastaneleri - SİNA ÖZEL Sağlık Hizmetleri A.ş</x:v>
      </x:c>
      <x:c r="D373" t="str">
        <x:v>120211732311210399</x:v>
      </x:c>
      <x:c r="E373" t="str">
        <x:v>ABO / Meme Estetiği / plastik cerrahi / lead</x:v>
      </x:c>
      <x:c r="F373" t="str">
        <x:v>OUTCOME_LEADS</x:v>
      </x:c>
      <x:c r="G373" t="n">
        <x:v>7048</x:v>
      </x:c>
      <x:c r="H373" s="28" t="n">
        <x:v>917.53</x:v>
      </x:c>
      <x:c r="I373" t="n">
        <x:v>9270</x:v>
      </x:c>
      <x:c r="J373" t="n">
        <x:v>44</x:v>
      </x:c>
      <x:c r="K373" t="n">
        <x:v>35</x:v>
      </x:c>
      <x:c r="L373" s="27" t="n">
        <x:f>IFERROR(K373/I373,0)</x:f>
        <x:v>0.0037756202804746495</x:v>
      </x:c>
      <x:c r="M373" s="28" t="n">
        <x:f>IFERROR(H373/K373,0)</x:f>
        <x:v>26.215142857142855</x:v>
      </x:c>
      <x:c r="N373" s="28" t="n">
        <x:f>IFERROR(H373/I373*1000,0)</x:f>
        <x:v>98.97842502696871</x:v>
      </x:c>
      <x:c r="O373" t="n">
        <x:v>1.315267</x:v>
      </x:c>
      <x:c r="P373" t="n">
        <x:v>3</x:v>
      </x:c>
      <x:c r="Q373" s="28" t="n">
        <x:v>0</x:v>
      </x:c>
      <x:c r="R373" s="28" t="n">
        <x:v>0</x:v>
      </x:c>
    </x:row>
    <x:row r="374">
      <x:c r="A374" t="str">
        <x:v>2026-07-25</x:v>
      </x:c>
      <x:c r="B374" t="str">
        <x:v>449281783851362</x:v>
      </x:c>
      <x:c r="C374" t="str">
        <x:v>Doruk Hastaneleri - SİNA ÖZEL Sağlık Hizmetleri A.ş</x:v>
      </x:c>
      <x:c r="D374" t="str">
        <x:v>120211732618490399</x:v>
      </x:c>
      <x:c r="E374" t="str">
        <x:v>ABO /Jinekomasti / plastik cerrahi / lead</x:v>
      </x:c>
      <x:c r="F374" t="str">
        <x:v>OUTCOME_LEADS</x:v>
      </x:c>
      <x:c r="G374" t="n">
        <x:v>2493</x:v>
      </x:c>
      <x:c r="H374" s="28" t="n">
        <x:v>287.04</x:v>
      </x:c>
      <x:c r="I374" t="n">
        <x:v>3136</x:v>
      </x:c>
      <x:c r="J374" t="n">
        <x:v>15</x:v>
      </x:c>
      <x:c r="K374" t="n">
        <x:v>11</x:v>
      </x:c>
      <x:c r="L374" s="27" t="n">
        <x:f>IFERROR(K374/I374,0)</x:f>
        <x:v>0.00350765306122449</x:v>
      </x:c>
      <x:c r="M374" s="28" t="n">
        <x:f>IFERROR(H374/K374,0)</x:f>
        <x:v>26.094545454545457</x:v>
      </x:c>
      <x:c r="N374" s="28" t="n">
        <x:f>IFERROR(H374/I374*1000,0)</x:f>
        <x:v>91.53061224489797</x:v>
      </x:c>
      <x:c r="O374" t="n">
        <x:v>1.257922</x:v>
      </x:c>
      <x:c r="P374" t="n">
        <x:v>0</x:v>
      </x:c>
      <x:c r="Q374" s="28" t="n">
        <x:v>0</x:v>
      </x:c>
      <x:c r="R374" s="28" t="n">
        <x:v>0</x:v>
      </x:c>
    </x:row>
    <x:row r="375">
      <x:c r="A375" t="str">
        <x:v>2026-07-25</x:v>
      </x:c>
      <x:c r="B375" t="str">
        <x:v>449281783851362</x:v>
      </x:c>
      <x:c r="C375" t="str">
        <x:v>Doruk Hastaneleri - SİNA ÖZEL Sağlık Hizmetleri A.ş</x:v>
      </x:c>
      <x:c r="D375" t="str">
        <x:v>120211732654260399</x:v>
      </x:c>
      <x:c r="E375" t="str">
        <x:v>ABO / Rinoplasti / plastik cerrahi / lead</x:v>
      </x:c>
      <x:c r="F375" t="str">
        <x:v>OUTCOME_LEADS</x:v>
      </x:c>
      <x:c r="G375" t="n">
        <x:v>4556</x:v>
      </x:c>
      <x:c r="H375" s="28" t="n">
        <x:v>757.09</x:v>
      </x:c>
      <x:c r="I375" t="n">
        <x:v>5981</x:v>
      </x:c>
      <x:c r="J375" t="n">
        <x:v>34</x:v>
      </x:c>
      <x:c r="K375" t="n">
        <x:v>21</x:v>
      </x:c>
      <x:c r="L375" s="27" t="n">
        <x:f>IFERROR(K375/I375,0)</x:f>
        <x:v>0.0035111185420498244</x:v>
      </x:c>
      <x:c r="M375" s="28" t="n">
        <x:f>IFERROR(H375/K375,0)</x:f>
        <x:v>36.051904761904765</x:v>
      </x:c>
      <x:c r="N375" s="28" t="n">
        <x:f>IFERROR(H375/I375*1000,0)</x:f>
        <x:v>126.58251128573816</x:v>
      </x:c>
      <x:c r="O375" t="n">
        <x:v>1.312774</x:v>
      </x:c>
      <x:c r="P375" t="n">
        <x:v>2</x:v>
      </x:c>
      <x:c r="Q375" s="28" t="n">
        <x:v>0</x:v>
      </x:c>
      <x:c r="R375" s="28" t="n">
        <x:v>0</x:v>
      </x:c>
    </x:row>
    <x:row r="376">
      <x:c r="A376" t="str">
        <x:v>2026-07-25</x:v>
      </x:c>
      <x:c r="B376" t="str">
        <x:v>449281783851362</x:v>
      </x:c>
      <x:c r="C376" t="str">
        <x:v>Doruk Hastaneleri - SİNA ÖZEL Sağlık Hizmetleri A.ş</x:v>
      </x:c>
      <x:c r="D376" t="str">
        <x:v>120211732712890399</x:v>
      </x:c>
      <x:c r="E376" t="str">
        <x:v>ABO / Vücut Şekillendirme / plastik cerrahi / lead</x:v>
      </x:c>
      <x:c r="F376" t="str">
        <x:v>OUTCOME_LEADS</x:v>
      </x:c>
      <x:c r="G376" t="n">
        <x:v>789</x:v>
      </x:c>
      <x:c r="H376" s="28" t="n">
        <x:v>276.16</x:v>
      </x:c>
      <x:c r="I376" t="n">
        <x:v>1110</x:v>
      </x:c>
      <x:c r="J376" t="n">
        <x:v>13</x:v>
      </x:c>
      <x:c r="K376" t="n">
        <x:v>7</x:v>
      </x:c>
      <x:c r="L376" s="27" t="n">
        <x:f>IFERROR(K376/I376,0)</x:f>
        <x:v>0.006306306306306306</x:v>
      </x:c>
      <x:c r="M376" s="28" t="n">
        <x:f>IFERROR(H376/K376,0)</x:f>
        <x:v>39.45142857142857</x:v>
      </x:c>
      <x:c r="N376" s="28" t="n">
        <x:f>IFERROR(H376/I376*1000,0)</x:f>
        <x:v>248.79279279279282</x:v>
      </x:c>
      <x:c r="O376" t="n">
        <x:v>1.406844</x:v>
      </x:c>
      <x:c r="P376" t="n">
        <x:v>0</x:v>
      </x:c>
      <x:c r="Q376" s="28" t="n">
        <x:v>0</x:v>
      </x:c>
      <x:c r="R376" s="28" t="n">
        <x:v>0</x:v>
      </x:c>
    </x:row>
    <x:row r="377">
      <x:c r="A377" t="str">
        <x:v>2026-07-25</x:v>
      </x:c>
      <x:c r="B377" t="str">
        <x:v>449281783851362</x:v>
      </x:c>
      <x:c r="C377" t="str">
        <x:v>Doruk Hastaneleri - SİNA ÖZEL Sağlık Hizmetleri A.ş</x:v>
      </x:c>
      <x:c r="D377" t="str">
        <x:v>120211732754080399</x:v>
      </x:c>
      <x:c r="E377" t="str">
        <x:v>ABO / Yüz Germe (Facelift) / plastik cerrahi / lead</x:v>
      </x:c>
      <x:c r="F377" t="str">
        <x:v>OUTCOME_LEADS</x:v>
      </x:c>
      <x:c r="G377" t="n">
        <x:v>687</x:v>
      </x:c>
      <x:c r="H377" s="28" t="n">
        <x:v>293.27</x:v>
      </x:c>
      <x:c r="I377" t="n">
        <x:v>912</x:v>
      </x:c>
      <x:c r="J377" t="n">
        <x:v>11</x:v>
      </x:c>
      <x:c r="K377" t="n">
        <x:v>6</x:v>
      </x:c>
      <x:c r="L377" s="27" t="n">
        <x:f>IFERROR(K377/I377,0)</x:f>
        <x:v>0.006578947368421052</x:v>
      </x:c>
      <x:c r="M377" s="28" t="n">
        <x:f>IFERROR(H377/K377,0)</x:f>
        <x:v>48.87833333333333</x:v>
      </x:c>
      <x:c r="N377" s="28" t="n">
        <x:f>IFERROR(H377/I377*1000,0)</x:f>
        <x:v>321.5679824561403</x:v>
      </x:c>
      <x:c r="O377" t="n">
        <x:v>1.327511</x:v>
      </x:c>
      <x:c r="P377" t="n">
        <x:v>0</x:v>
      </x:c>
      <x:c r="Q377" s="28" t="n">
        <x:v>0</x:v>
      </x:c>
      <x:c r="R377" s="28" t="n">
        <x:v>0</x:v>
      </x:c>
    </x:row>
    <x:row r="378">
      <x:c r="A378" t="str">
        <x:v>2026-07-25</x:v>
      </x:c>
      <x:c r="B378" t="str">
        <x:v>449281783851362</x:v>
      </x:c>
      <x:c r="C378" t="str">
        <x:v>Doruk Hastaneleri - SİNA ÖZEL Sağlık Hizmetleri A.ş</x:v>
      </x:c>
      <x:c r="D378" t="str">
        <x:v>120214167265870399</x:v>
      </x:c>
      <x:c r="E378" t="str">
        <x:v>Baş Dönmesi ve Denge Ünitesi / lead</x:v>
      </x:c>
      <x:c r="F378" t="str">
        <x:v>OUTCOME_LEADS</x:v>
      </x:c>
      <x:c r="G378" t="n">
        <x:v>6645</x:v>
      </x:c>
      <x:c r="H378" s="28" t="n">
        <x:v>442.51</x:v>
      </x:c>
      <x:c r="I378" t="n">
        <x:v>7919</x:v>
      </x:c>
      <x:c r="J378" t="n">
        <x:v>127</x:v>
      </x:c>
      <x:c r="K378" t="n">
        <x:v>74</x:v>
      </x:c>
      <x:c r="L378" s="27" t="n">
        <x:f>IFERROR(K378/I378,0)</x:f>
        <x:v>0.009344614218967042</x:v>
      </x:c>
      <x:c r="M378" s="28" t="n">
        <x:f>IFERROR(H378/K378,0)</x:f>
        <x:v>5.979864864864865</x:v>
      </x:c>
      <x:c r="N378" s="28" t="n">
        <x:f>IFERROR(H378/I378*1000,0)</x:f>
        <x:v>55.87953024371764</x:v>
      </x:c>
      <x:c r="O378" t="n">
        <x:v>1.191723</x:v>
      </x:c>
      <x:c r="P378" t="n">
        <x:v>6</x:v>
      </x:c>
      <x:c r="Q378" s="28" t="n">
        <x:v>0</x:v>
      </x:c>
      <x:c r="R378" s="28" t="n">
        <x:v>0</x:v>
      </x:c>
    </x:row>
    <x:row r="379">
      <x:c r="A379" t="str">
        <x:v>2026-07-25</x:v>
      </x:c>
      <x:c r="B379" t="str">
        <x:v>449281783851362</x:v>
      </x:c>
      <x:c r="C379" t="str">
        <x:v>Doruk Hastaneleri - SİNA ÖZEL Sağlık Hizmetleri A.ş</x:v>
      </x:c>
      <x:c r="D379" t="str">
        <x:v>120220089108220399</x:v>
      </x:c>
      <x:c r="E379" t="str">
        <x:v>Checkup - genel - lead</x:v>
      </x:c>
      <x:c r="F379" t="str">
        <x:v>OUTCOME_LEADS</x:v>
      </x:c>
      <x:c r="G379" t="n">
        <x:v>5080</x:v>
      </x:c>
      <x:c r="H379" s="28" t="n">
        <x:v>1116.14</x:v>
      </x:c>
      <x:c r="I379" t="n">
        <x:v>6904</x:v>
      </x:c>
      <x:c r="J379" t="n">
        <x:v>48</x:v>
      </x:c>
      <x:c r="K379" t="n">
        <x:v>28</x:v>
      </x:c>
      <x:c r="L379" s="27" t="n">
        <x:f>IFERROR(K379/I379,0)</x:f>
        <x:v>0.004055619930475087</x:v>
      </x:c>
      <x:c r="M379" s="28" t="n">
        <x:f>IFERROR(H379/K379,0)</x:f>
        <x:v>39.862142857142864</x:v>
      </x:c>
      <x:c r="N379" s="28" t="n">
        <x:f>IFERROR(H379/I379*1000,0)</x:f>
        <x:v>161.6657010428737</x:v>
      </x:c>
      <x:c r="O379" t="n">
        <x:v>1.359055</x:v>
      </x:c>
      <x:c r="P379" t="n">
        <x:v>0</x:v>
      </x:c>
      <x:c r="Q379" s="28" t="n">
        <x:v>0</x:v>
      </x:c>
      <x:c r="R379" s="28" t="n">
        <x:v>0</x:v>
      </x:c>
    </x:row>
    <x:row r="380">
      <x:c r="A380" t="str">
        <x:v>2026-07-25</x:v>
      </x:c>
      <x:c r="B380" t="str">
        <x:v>449281783851362</x:v>
      </x:c>
      <x:c r="C380" t="str">
        <x:v>Doruk Hastaneleri - SİNA ÖZEL Sağlık Hizmetleri A.ş</x:v>
      </x:c>
      <x:c r="D380" t="str">
        <x:v>120242415465180399</x:v>
      </x:c>
      <x:c r="E380" t="str">
        <x:v>Gebe-Doğum Form Kampanyası</x:v>
      </x:c>
      <x:c r="F380" t="str">
        <x:v>OUTCOME_LEADS</x:v>
      </x:c>
      <x:c r="G380" t="n">
        <x:v>75037</x:v>
      </x:c>
      <x:c r="H380" s="28" t="n">
        <x:v>8986.65</x:v>
      </x:c>
      <x:c r="I380" t="n">
        <x:v>133260</x:v>
      </x:c>
      <x:c r="J380" t="n">
        <x:v>555</x:v>
      </x:c>
      <x:c r="K380" t="n">
        <x:v>344</x:v>
      </x:c>
      <x:c r="L380" s="27" t="n">
        <x:f>IFERROR(K380/I380,0)</x:f>
        <x:v>0.0025814197808794836</x:v>
      </x:c>
      <x:c r="M380" s="28" t="n">
        <x:f>IFERROR(H380/K380,0)</x:f>
        <x:v>26.123982558139534</x:v>
      </x:c>
      <x:c r="N380" s="28" t="n">
        <x:f>IFERROR(H380/I380*1000,0)</x:f>
        <x:v>67.43696533093201</x:v>
      </x:c>
      <x:c r="O380" t="n">
        <x:v>1.775924</x:v>
      </x:c>
      <x:c r="P380" t="n">
        <x:v>16</x:v>
      </x:c>
      <x:c r="Q380" s="28" t="n">
        <x:v>0</x:v>
      </x:c>
      <x:c r="R380" s="28" t="n">
        <x:v>0</x:v>
      </x:c>
    </x:row>
    <x:row r="381">
      <x:c r="A381" t="str">
        <x:v>2026-07-25</x:v>
      </x:c>
      <x:c r="B381" t="str">
        <x:v>449281783851362</x:v>
      </x:c>
      <x:c r="C381" t="str">
        <x:v>Doruk Hastaneleri - SİNA ÖZEL Sağlık Hizmetleri A.ş</x:v>
      </x:c>
      <x:c r="D381" t="str">
        <x:v>120244050701710399</x:v>
      </x:c>
      <x:c r="E381" t="str">
        <x:v>Uzman Hekim Başvuru</x:v>
      </x:c>
      <x:c r="F381" t="str">
        <x:v>OUTCOME_LEADS</x:v>
      </x:c>
      <x:c r="G381" t="n">
        <x:v>7228</x:v>
      </x:c>
      <x:c r="H381" s="28" t="n">
        <x:v>1262.46</x:v>
      </x:c>
      <x:c r="I381" t="n">
        <x:v>9284</x:v>
      </x:c>
      <x:c r="J381" t="n">
        <x:v>92</x:v>
      </x:c>
      <x:c r="K381" t="n">
        <x:v>60</x:v>
      </x:c>
      <x:c r="L381" s="27" t="n">
        <x:f>IFERROR(K381/I381,0)</x:f>
        <x:v>0.006462731581214994</x:v>
      </x:c>
      <x:c r="M381" s="28" t="n">
        <x:f>IFERROR(H381/K381,0)</x:f>
        <x:v>21.041</x:v>
      </x:c>
      <x:c r="N381" s="28" t="n">
        <x:f>IFERROR(H381/I381*1000,0)</x:f>
        <x:v>135.9823352003447</x:v>
      </x:c>
      <x:c r="O381" t="n">
        <x:v>1.284449</x:v>
      </x:c>
      <x:c r="P381" t="n">
        <x:v>6</x:v>
      </x:c>
      <x:c r="Q381" s="28" t="n">
        <x:v>0</x:v>
      </x:c>
      <x:c r="R381" s="28" t="n">
        <x:v>0</x:v>
      </x:c>
    </x:row>
    <x:row r="382">
      <x:c r="A382" t="str">
        <x:v>2026-07-25</x:v>
      </x:c>
      <x:c r="B382" t="str">
        <x:v>449281783851362</x:v>
      </x:c>
      <x:c r="C382" t="str">
        <x:v>Doruk Hastaneleri - SİNA ÖZEL Sağlık Hizmetleri A.ş</x:v>
      </x:c>
      <x:c r="D382" t="str">
        <x:v>120246476228800399</x:v>
      </x:c>
      <x:c r="E382" t="str">
        <x:v>FTR Yatılı - lead</x:v>
      </x:c>
      <x:c r="F382" t="str">
        <x:v>OUTCOME_LEADS</x:v>
      </x:c>
      <x:c r="G382" t="n">
        <x:v>53311</x:v>
      </x:c>
      <x:c r="H382" s="28" t="n">
        <x:v>5138.46</x:v>
      </x:c>
      <x:c r="I382" t="n">
        <x:v>62981</x:v>
      </x:c>
      <x:c r="J382" t="n">
        <x:v>408</x:v>
      </x:c>
      <x:c r="K382" t="n">
        <x:v>205</x:v>
      </x:c>
      <x:c r="L382" s="27" t="n">
        <x:f>IFERROR(K382/I382,0)</x:f>
        <x:v>0.0032549499055270635</x:v>
      </x:c>
      <x:c r="M382" s="28" t="n">
        <x:f>IFERROR(H382/K382,0)</x:f>
        <x:v>25.065658536585367</x:v>
      </x:c>
      <x:c r="N382" s="28" t="n">
        <x:f>IFERROR(H382/I382*1000,0)</x:f>
        <x:v>81.58746288563218</x:v>
      </x:c>
      <x:c r="O382" t="n">
        <x:v>1.181388</x:v>
      </x:c>
      <x:c r="P382" t="n">
        <x:v>10</x:v>
      </x:c>
      <x:c r="Q382" s="28" t="n">
        <x:v>0</x:v>
      </x:c>
      <x:c r="R382" s="28" t="n">
        <x:v>0</x:v>
      </x:c>
    </x:row>
    <x:row r="383">
      <x:c r="A383" t="str">
        <x:v>2026-07-25</x:v>
      </x:c>
      <x:c r="B383" t="str">
        <x:v>449281783851362</x:v>
      </x:c>
      <x:c r="C383" t="str">
        <x:v>Doruk Hastaneleri - SİNA ÖZEL Sağlık Hizmetleri A.ş</x:v>
      </x:c>
      <x:c r="D383" t="str">
        <x:v>120246691590090399</x:v>
      </x:c>
      <x:c r="E383" t="str">
        <x:v>Hemşire İş Başvuru - lead</x:v>
      </x:c>
      <x:c r="F383" t="str">
        <x:v>OUTCOME_LEADS</x:v>
      </x:c>
      <x:c r="G383" t="n">
        <x:v>12786</x:v>
      </x:c>
      <x:c r="H383" s="28" t="n">
        <x:v>1162.51</x:v>
      </x:c>
      <x:c r="I383" t="n">
        <x:v>20112</x:v>
      </x:c>
      <x:c r="J383" t="n">
        <x:v>126</x:v>
      </x:c>
      <x:c r="K383" t="n">
        <x:v>80</x:v>
      </x:c>
      <x:c r="L383" s="27" t="n">
        <x:f>IFERROR(K383/I383,0)</x:f>
        <x:v>0.003977724741447892</x:v>
      </x:c>
      <x:c r="M383" s="28" t="n">
        <x:f>IFERROR(H383/K383,0)</x:f>
        <x:v>14.531375</x:v>
      </x:c>
      <x:c r="N383" s="28" t="n">
        <x:f>IFERROR(H383/I383*1000,0)</x:f>
        <x:v>57.80180986475736</x:v>
      </x:c>
      <x:c r="O383" t="n">
        <x:v>1.57297</x:v>
      </x:c>
      <x:c r="P383" t="n">
        <x:v>2</x:v>
      </x:c>
      <x:c r="Q383" s="28" t="n">
        <x:v>0</x:v>
      </x:c>
      <x:c r="R383" s="28" t="n">
        <x:v>0</x:v>
      </x:c>
    </x:row>
    <x:row r="384">
      <x:c r="A384" t="str">
        <x:v>2026-07-25</x:v>
      </x:c>
      <x:c r="B384" t="str">
        <x:v>449281783851362</x:v>
      </x:c>
      <x:c r="C384" t="str">
        <x:v>Doruk Hastaneleri - SİNA ÖZEL Sağlık Hizmetleri A.ş</x:v>
      </x:c>
      <x:c r="D384" t="str">
        <x:v>120246924981440399</x:v>
      </x:c>
      <x:c r="E384" t="str">
        <x:v>ÖSS-TSS - marka bilinirliği</x:v>
      </x:c>
      <x:c r="F384" t="str">
        <x:v>OUTCOME_AWARENESS</x:v>
      </x:c>
      <x:c r="G384" t="n">
        <x:v>151830</x:v>
      </x:c>
      <x:c r="H384" s="28" t="n">
        <x:v>2277.93</x:v>
      </x:c>
      <x:c r="I384" t="n">
        <x:v>165501</x:v>
      </x:c>
      <x:c r="J384" t="n">
        <x:v>196</x:v>
      </x:c>
      <x:c r="K384" t="n">
        <x:v>50</x:v>
      </x:c>
      <x:c r="L384" s="27" t="n">
        <x:f>IFERROR(K384/I384,0)</x:f>
        <x:v>0.0003021129781693162</x:v>
      </x:c>
      <x:c r="M384" s="28" t="n">
        <x:f>IFERROR(H384/K384,0)</x:f>
        <x:v>45.5586</x:v>
      </x:c>
      <x:c r="N384" s="28" t="n">
        <x:f>IFERROR(H384/I384*1000,0)</x:f>
        <x:v>13.763844327224607</x:v>
      </x:c>
      <x:c r="O384" t="n">
        <x:v>1.090041</x:v>
      </x:c>
      <x:c r="P384" t="n">
        <x:v>0</x:v>
      </x:c>
      <x:c r="Q384" s="28" t="n">
        <x:v>0</x:v>
      </x:c>
      <x:c r="R384" s="28" t="n">
        <x:v>0</x:v>
      </x:c>
    </x:row>
    <x:row r="385">
      <x:c r="A385" t="str">
        <x:v>2026-07-25</x:v>
      </x:c>
      <x:c r="B385" t="str">
        <x:v>449281783851362</x:v>
      </x:c>
      <x:c r="C385" t="str">
        <x:v>Doruk Hastaneleri - SİNA ÖZEL Sağlık Hizmetleri A.ş</x:v>
      </x:c>
      <x:c r="D385" t="str">
        <x:v>120247034876600399</x:v>
      </x:c>
      <x:c r="E385" t="str">
        <x:v>Gebe-Doğum Bilinirlik</x:v>
      </x:c>
      <x:c r="F385" t="str">
        <x:v>OUTCOME_AWARENESS</x:v>
      </x:c>
      <x:c r="G385" t="n">
        <x:v>89524</x:v>
      </x:c>
      <x:c r="H385" s="28" t="n">
        <x:v>1336.92</x:v>
      </x:c>
      <x:c r="I385" t="n">
        <x:v>96400</x:v>
      </x:c>
      <x:c r="J385" t="n">
        <x:v>82</x:v>
      </x:c>
      <x:c r="K385" t="n">
        <x:v>0</x:v>
      </x:c>
      <x:c r="L385" s="27" t="n">
        <x:f>IFERROR(K385/I385,0)</x:f>
        <x:v>0</x:v>
      </x:c>
      <x:c r="M385" s="28" t="n">
        <x:f>IFERROR(H385/K385,0)</x:f>
        <x:v>0</x:v>
      </x:c>
      <x:c r="N385" s="28" t="n">
        <x:f>IFERROR(H385/I385*1000,0)</x:f>
        <x:v>13.868464730290457</x:v>
      </x:c>
      <x:c r="O385" t="n">
        <x:v>1.076806</x:v>
      </x:c>
      <x:c r="P385" t="n">
        <x:v>0</x:v>
      </x:c>
      <x:c r="Q385" s="28" t="n">
        <x:v>0</x:v>
      </x:c>
      <x:c r="R385" s="28" t="n">
        <x:v>0</x:v>
      </x:c>
    </x:row>
    <x:row r="386">
      <x:c r="A386" t="str">
        <x:v>2026-07-25</x:v>
      </x:c>
      <x:c r="B386" t="str">
        <x:v>449281783851362</x:v>
      </x:c>
      <x:c r="C386" t="str">
        <x:v>Doruk Hastaneleri - SİNA ÖZEL Sağlık Hizmetleri A.ş</x:v>
      </x:c>
      <x:c r="D386" t="str">
        <x:v>120248812698040399</x:v>
      </x:c>
      <x:c r="E386" t="str">
        <x:v>ABO / Medikal Estetik lead / 16.04.2026</x:v>
      </x:c>
      <x:c r="F386" t="str">
        <x:v>OUTCOME_LEADS</x:v>
      </x:c>
      <x:c r="G386" t="n">
        <x:v>21871</x:v>
      </x:c>
      <x:c r="H386" s="28" t="n">
        <x:v>3041.06</x:v>
      </x:c>
      <x:c r="I386" t="n">
        <x:v>26453</x:v>
      </x:c>
      <x:c r="J386" t="n">
        <x:v>279</x:v>
      </x:c>
      <x:c r="K386" t="n">
        <x:v>110</x:v>
      </x:c>
      <x:c r="L386" s="27" t="n">
        <x:f>IFERROR(K386/I386,0)</x:f>
        <x:v>0.004158318527199184</x:v>
      </x:c>
      <x:c r="M386" s="28" t="n">
        <x:f>IFERROR(H386/K386,0)</x:f>
        <x:v>27.646</x:v>
      </x:c>
      <x:c r="N386" s="28" t="n">
        <x:f>IFERROR(H386/I386*1000,0)</x:f>
        <x:v>114.96087400294861</x:v>
      </x:c>
      <x:c r="O386" t="n">
        <x:v>1.209501</x:v>
      </x:c>
      <x:c r="P386" t="n">
        <x:v>29</x:v>
      </x:c>
      <x:c r="Q386" s="28" t="n">
        <x:v>0</x:v>
      </x:c>
      <x:c r="R386" s="28" t="n">
        <x:v>0</x:v>
      </x:c>
    </x:row>
    <x:row r="387">
      <x:c r="A387" t="str">
        <x:v>2026-07-25</x:v>
      </x:c>
      <x:c r="B387" t="str">
        <x:v>449281783851362</x:v>
      </x:c>
      <x:c r="C387" t="str">
        <x:v>Doruk Hastaneleri - SİNA ÖZEL Sağlık Hizmetleri A.ş</x:v>
      </x:c>
      <x:c r="D387" t="str">
        <x:v>120249061996540399</x:v>
      </x:c>
      <x:c r="E387" t="str">
        <x:v>Doktor - Bilinirlik Kampanyası - Nilüfer</x:v>
      </x:c>
      <x:c r="F387" t="str">
        <x:v>OUTCOME_AWARENESS</x:v>
      </x:c>
      <x:c r="G387" t="n">
        <x:v>653378</x:v>
      </x:c>
      <x:c r="H387" s="28" t="n">
        <x:v>7328.14</x:v>
      </x:c>
      <x:c r="I387" t="n">
        <x:v>754202</x:v>
      </x:c>
      <x:c r="J387" t="n">
        <x:v>496</x:v>
      </x:c>
      <x:c r="K387" t="n">
        <x:v>0</x:v>
      </x:c>
      <x:c r="L387" s="27" t="n">
        <x:f>IFERROR(K387/I387,0)</x:f>
        <x:v>0</x:v>
      </x:c>
      <x:c r="M387" s="28" t="n">
        <x:f>IFERROR(H387/K387,0)</x:f>
        <x:v>0</x:v>
      </x:c>
      <x:c r="N387" s="28" t="n">
        <x:f>IFERROR(H387/I387*1000,0)</x:f>
        <x:v>9.716415496113774</x:v>
      </x:c>
      <x:c r="O387" t="n">
        <x:v>1.154312</x:v>
      </x:c>
      <x:c r="P387" t="n">
        <x:v>0</x:v>
      </x:c>
      <x:c r="Q387" s="28" t="n">
        <x:v>0</x:v>
      </x:c>
      <x:c r="R387" s="28" t="n">
        <x:v>0</x:v>
      </x:c>
    </x:row>
    <x:row r="388">
      <x:c r="A388" t="str">
        <x:v>2026-07-25</x:v>
      </x:c>
      <x:c r="B388" t="str">
        <x:v>449281783851362</x:v>
      </x:c>
      <x:c r="C388" t="str">
        <x:v>Doruk Hastaneleri - SİNA ÖZEL Sağlık Hizmetleri A.ş</x:v>
      </x:c>
      <x:c r="D388" t="str">
        <x:v>120249614228610399</x:v>
      </x:c>
      <x:c r="E388" t="str">
        <x:v>Instagram gönderisi: Bir sezon boyunca ortaya...</x:v>
      </x:c>
      <x:c r="F388" t="str">
        <x:v>LINK_CLICKS</x:v>
      </x:c>
      <x:c r="G388" t="n">
        <x:v>63289</x:v>
      </x:c>
      <x:c r="H388" s="28" t="n">
        <x:v>4962.61</x:v>
      </x:c>
      <x:c r="I388" t="n">
        <x:v>71604</x:v>
      </x:c>
      <x:c r="J388" t="n">
        <x:v>714</x:v>
      </x:c>
      <x:c r="K388" t="n">
        <x:v>717</x:v>
      </x:c>
      <x:c r="L388" s="27" t="n">
        <x:f>IFERROR(K388/I388,0)</x:f>
        <x:v>0.010013407072230602</x:v>
      </x:c>
      <x:c r="M388" s="28" t="n">
        <x:f>IFERROR(H388/K388,0)</x:f>
        <x:v>6.921352859135285</x:v>
      </x:c>
      <x:c r="N388" s="28" t="n">
        <x:f>IFERROR(H388/I388*1000,0)</x:f>
        <x:v>69.30632366906876</x:v>
      </x:c>
      <x:c r="O388" t="n">
        <x:v>1.131381</x:v>
      </x:c>
      <x:c r="P388" t="n">
        <x:v>0</x:v>
      </x:c>
      <x:c r="Q388" s="28" t="n">
        <x:v>0</x:v>
      </x:c>
      <x:c r="R388" s="28" t="n">
        <x:v>0</x:v>
      </x:c>
    </x:row>
    <x:row r="389">
      <x:c r="A389" t="str">
        <x:v>2026-07-25</x:v>
      </x:c>
      <x:c r="B389" t="str">
        <x:v>449281783851362</x:v>
      </x:c>
      <x:c r="C389" t="str">
        <x:v>Doruk Hastaneleri - SİNA ÖZEL Sağlık Hizmetleri A.ş</x:v>
      </x:c>
      <x:c r="D389" t="str">
        <x:v>120251414264130399</x:v>
      </x:c>
      <x:c r="E389" t="str">
        <x:v>Prostat Checkup - lead</x:v>
      </x:c>
      <x:c r="F389" t="str">
        <x:v>OUTCOME_LEADS</x:v>
      </x:c>
      <x:c r="G389" t="n">
        <x:v>8190</x:v>
      </x:c>
      <x:c r="H389" s="28" t="n">
        <x:v>662.18</x:v>
      </x:c>
      <x:c r="I389" t="n">
        <x:v>10312</x:v>
      </x:c>
      <x:c r="J389" t="n">
        <x:v>311</x:v>
      </x:c>
      <x:c r="K389" t="n">
        <x:v>85</x:v>
      </x:c>
      <x:c r="L389" s="27" t="n">
        <x:f>IFERROR(K389/I389,0)</x:f>
        <x:v>0.008242823894491854</x:v>
      </x:c>
      <x:c r="M389" s="28" t="n">
        <x:f>IFERROR(H389/K389,0)</x:f>
        <x:v>7.79035294117647</x:v>
      </x:c>
      <x:c r="N389" s="28" t="n">
        <x:f>IFERROR(H389/I389*1000,0)</x:f>
        <x:v>64.21450737005429</x:v>
      </x:c>
      <x:c r="O389" t="n">
        <x:v>1.259096</x:v>
      </x:c>
      <x:c r="P389" t="n">
        <x:v>5</x:v>
      </x:c>
      <x:c r="Q389" s="28" t="n">
        <x:v>0</x:v>
      </x:c>
      <x:c r="R389" s="28" t="n">
        <x:v>0</x:v>
      </x:c>
    </x:row>
    <x:row r="390">
      <x:c r="A390" t="str">
        <x:v>2026-07-25</x:v>
      </x:c>
      <x:c r="B390" t="str">
        <x:v>449281783851362</x:v>
      </x:c>
      <x:c r="C390" t="str">
        <x:v>Doruk Hastaneleri - SİNA ÖZEL Sağlık Hizmetleri A.ş</x:v>
      </x:c>
      <x:c r="D390" t="str">
        <x:v>120252323141170399</x:v>
      </x:c>
      <x:c r="E390" t="str">
        <x:v>Instagram gönderisi: Medikal estetik alanındaki...</x:v>
      </x:c>
      <x:c r="F390" t="str">
        <x:v>LINK_CLICKS</x:v>
      </x:c>
      <x:c r="G390" t="n">
        <x:v>8956</x:v>
      </x:c>
      <x:c r="H390" s="28" t="n">
        <x:v>555.47</x:v>
      </x:c>
      <x:c r="I390" t="n">
        <x:v>9716</x:v>
      </x:c>
      <x:c r="J390" t="n">
        <x:v>126</x:v>
      </x:c>
      <x:c r="K390" t="n">
        <x:v>125</x:v>
      </x:c>
      <x:c r="L390" s="27" t="n">
        <x:f>IFERROR(K390/I390,0)</x:f>
        <x:v>0.012865376698229724</x:v>
      </x:c>
      <x:c r="M390" s="28" t="n">
        <x:f>IFERROR(H390/K390,0)</x:f>
        <x:v>4.44376</x:v>
      </x:c>
      <x:c r="N390" s="28" t="n">
        <x:f>IFERROR(H390/I390*1000,0)</x:f>
        <x:v>57.170646356525324</x:v>
      </x:c>
      <x:c r="O390" t="n">
        <x:v>1.084859</x:v>
      </x:c>
      <x:c r="P390" t="n">
        <x:v>0</x:v>
      </x:c>
      <x:c r="Q390" s="28" t="n">
        <x:v>0</x:v>
      </x:c>
      <x:c r="R390" s="28" t="n">
        <x:v>0</x:v>
      </x:c>
    </x:row>
    <x:row r="391">
      <x:c r="A391" t="str">
        <x:v>2026-07-25</x:v>
      </x:c>
      <x:c r="B391" t="str">
        <x:v>449281783851362</x:v>
      </x:c>
      <x:c r="C391" t="str">
        <x:v>Doruk Hastaneleri - SİNA ÖZEL Sağlık Hizmetleri A.ş</x:v>
      </x:c>
      <x:c r="D391" t="str">
        <x:v>120255099624540399</x:v>
      </x:c>
      <x:c r="E391" t="str">
        <x:v>Instagram gönderisi: Doruk Sağlık Grubu olarak,...</x:v>
      </x:c>
      <x:c r="F391" t="str">
        <x:v>LINK_CLICKS</x:v>
      </x:c>
      <x:c r="G391" t="n">
        <x:v>102188</x:v>
      </x:c>
      <x:c r="H391" s="28" t="n">
        <x:v>4350.69</x:v>
      </x:c>
      <x:c r="I391" t="n">
        <x:v>102188</x:v>
      </x:c>
      <x:c r="J391" t="n">
        <x:v>577</x:v>
      </x:c>
      <x:c r="K391" t="n">
        <x:v>575</x:v>
      </x:c>
      <x:c r="L391" s="27" t="n">
        <x:f>IFERROR(K391/I391,0)</x:f>
        <x:v>0.005626883782831643</x:v>
      </x:c>
      <x:c r="M391" s="28" t="n">
        <x:f>IFERROR(H391/K391,0)</x:f>
        <x:v>7.5664173913043475</x:v>
      </x:c>
      <x:c r="N391" s="28" t="n">
        <x:f>IFERROR(H391/I391*1000,0)</x:f>
        <x:v>42.57535131326574</x:v>
      </x:c>
      <x:c r="O391" t="n">
        <x:v>1</x:v>
      </x:c>
      <x:c r="P391" t="n">
        <x:v>0</x:v>
      </x:c>
      <x:c r="Q391" s="28" t="n">
        <x:v>0</x:v>
      </x:c>
      <x:c r="R391" s="28" t="n">
        <x:v>0</x:v>
      </x:c>
    </x:row>
    <x:row r="392">
      <x:c r="A392" t="str">
        <x:v>2026-07-25</x:v>
      </x:c>
      <x:c r="B392" t="str">
        <x:v>449281783851362</x:v>
      </x:c>
      <x:c r="C392" t="str">
        <x:v>Doruk Hastaneleri - SİNA ÖZEL Sağlık Hizmetleri A.ş</x:v>
      </x:c>
      <x:c r="D392" t="str">
        <x:v>120255158812950399</x:v>
      </x:c>
      <x:c r="E392" t="str">
        <x:v>Doktor - Bilinirlik Kampanyası - Yıldırım</x:v>
      </x:c>
      <x:c r="F392" t="str">
        <x:v>OUTCOME_AWARENESS</x:v>
      </x:c>
      <x:c r="G392" t="n">
        <x:v>310871</x:v>
      </x:c>
      <x:c r="H392" s="28" t="n">
        <x:v>3308.37</x:v>
      </x:c>
      <x:c r="I392" t="n">
        <x:v>340373</x:v>
      </x:c>
      <x:c r="J392" t="n">
        <x:v>217</x:v>
      </x:c>
      <x:c r="K392" t="n">
        <x:v>0</x:v>
      </x:c>
      <x:c r="L392" s="27" t="n">
        <x:f>IFERROR(K392/I392,0)</x:f>
        <x:v>0</x:v>
      </x:c>
      <x:c r="M392" s="28" t="n">
        <x:f>IFERROR(H392/K392,0)</x:f>
        <x:v>0</x:v>
      </x:c>
      <x:c r="N392" s="28" t="n">
        <x:f>IFERROR(H392/I392*1000,0)</x:f>
        <x:v>9.719836767311154</x:v>
      </x:c>
      <x:c r="O392" t="n">
        <x:v>1.094901</x:v>
      </x:c>
      <x:c r="P392" t="n">
        <x:v>0</x:v>
      </x:c>
      <x:c r="Q392" s="28" t="n">
        <x:v>0</x:v>
      </x:c>
      <x:c r="R392" s="28" t="n">
        <x:v>0</x:v>
      </x:c>
    </x:row>
    <x:row r="393">
      <x:c r="A393" t="str">
        <x:v>2026-07-25</x:v>
      </x:c>
      <x:c r="B393" t="str">
        <x:v>449281783851362</x:v>
      </x:c>
      <x:c r="C393" t="str">
        <x:v>Doruk Hastaneleri - SİNA ÖZEL Sağlık Hizmetleri A.ş</x:v>
      </x:c>
      <x:c r="D393" t="str">
        <x:v>120255738261970399</x:v>
      </x:c>
      <x:c r="E393" t="str">
        <x:v>Instagram gönderisi: Aşılama tedavisi, gebelik...</x:v>
      </x:c>
      <x:c r="F393" t="str">
        <x:v>LINK_CLICKS</x:v>
      </x:c>
      <x:c r="G393" t="n">
        <x:v>16599</x:v>
      </x:c>
      <x:c r="H393" s="28" t="n">
        <x:v>1117.54</x:v>
      </x:c>
      <x:c r="I393" t="n">
        <x:v>17397</x:v>
      </x:c>
      <x:c r="J393" t="n">
        <x:v>202</x:v>
      </x:c>
      <x:c r="K393" t="n">
        <x:v>203</x:v>
      </x:c>
      <x:c r="L393" s="27" t="n">
        <x:f>IFERROR(K393/I393,0)</x:f>
        <x:v>0.0116686785077887</x:v>
      </x:c>
      <x:c r="M393" s="28" t="n">
        <x:f>IFERROR(H393/K393,0)</x:f>
        <x:v>5.505123152709359</x:v>
      </x:c>
      <x:c r="N393" s="28" t="n">
        <x:f>IFERROR(H393/I393*1000,0)</x:f>
        <x:v>64.23751221474967</x:v>
      </x:c>
      <x:c r="O393" t="n">
        <x:v>1.048075</x:v>
      </x:c>
      <x:c r="P393" t="n">
        <x:v>0</x:v>
      </x:c>
      <x:c r="Q393" s="28" t="n">
        <x:v>0</x:v>
      </x:c>
      <x:c r="R393" s="28" t="n">
        <x:v>0</x:v>
      </x:c>
    </x:row>
    <x:row r="394">
      <x:c r="A394" t="str">
        <x:v>2026-07-25</x:v>
      </x:c>
      <x:c r="B394" t="str">
        <x:v>449281783851362</x:v>
      </x:c>
      <x:c r="C394" t="str">
        <x:v>Doruk Hastaneleri - SİNA ÖZEL Sağlık Hizmetleri A.ş</x:v>
      </x:c>
      <x:c r="D394" t="str">
        <x:v>120255738303970399</x:v>
      </x:c>
      <x:c r="E394" t="str">
        <x:v>Instagram gönderisi: 🏅 BURSA'DA BİR İLK
Özel...</x:v>
      </x:c>
      <x:c r="F394" t="str">
        <x:v>LINK_CLICKS</x:v>
      </x:c>
      <x:c r="G394" t="n">
        <x:v>12085</x:v>
      </x:c>
      <x:c r="H394" s="28" t="n">
        <x:v>1121.59</x:v>
      </x:c>
      <x:c r="I394" t="n">
        <x:v>12753</x:v>
      </x:c>
      <x:c r="J394" t="n">
        <x:v>327</x:v>
      </x:c>
      <x:c r="K394" t="n">
        <x:v>344</x:v>
      </x:c>
      <x:c r="L394" s="27" t="n">
        <x:f>IFERROR(K394/I394,0)</x:f>
        <x:v>0.026974045322669175</x:v>
      </x:c>
      <x:c r="M394" s="28" t="n">
        <x:f>IFERROR(H394/K394,0)</x:f>
        <x:v>3.2604360465116278</x:v>
      </x:c>
      <x:c r="N394" s="28" t="n">
        <x:f>IFERROR(H394/I394*1000,0)</x:f>
        <x:v>87.94714969026896</x:v>
      </x:c>
      <x:c r="O394" t="n">
        <x:v>1.055275</x:v>
      </x:c>
      <x:c r="P394" t="n">
        <x:v>0</x:v>
      </x:c>
      <x:c r="Q394" s="28" t="n">
        <x:v>0</x:v>
      </x:c>
      <x:c r="R394" s="28" t="n">
        <x:v>0</x:v>
      </x:c>
    </x:row>
    <x:row r="395">
      <x:c r="A395" t="str">
        <x:v>2026-07-25</x:v>
      </x:c>
      <x:c r="B395" t="str">
        <x:v>449281783851362</x:v>
      </x:c>
      <x:c r="C395" t="str">
        <x:v>Doruk Hastaneleri - SİNA ÖZEL Sağlık Hizmetleri A.ş</x:v>
      </x:c>
      <x:c r="D395" t="str">
        <x:v>120255738326270399</x:v>
      </x:c>
      <x:c r="E395" t="str">
        <x:v>Instagram gönderisi: Gebelikte bel ağrısı sık...</x:v>
      </x:c>
      <x:c r="F395" t="str">
        <x:v>LINK_CLICKS</x:v>
      </x:c>
      <x:c r="G395" t="n">
        <x:v>17511</x:v>
      </x:c>
      <x:c r="H395" s="28" t="n">
        <x:v>1059.63</x:v>
      </x:c>
      <x:c r="I395" t="n">
        <x:v>18966</x:v>
      </x:c>
      <x:c r="J395" t="n">
        <x:v>236</x:v>
      </x:c>
      <x:c r="K395" t="n">
        <x:v>241</x:v>
      </x:c>
      <x:c r="L395" s="27" t="n">
        <x:f>IFERROR(K395/I395,0)</x:f>
        <x:v>0.01270694927765475</x:v>
      </x:c>
      <x:c r="M395" s="28" t="n">
        <x:f>IFERROR(H395/K395,0)</x:f>
        <x:v>4.396804979253113</x:v>
      </x:c>
      <x:c r="N395" s="28" t="n">
        <x:f>IFERROR(H395/I395*1000,0)</x:f>
        <x:v>55.86997785510915</x:v>
      </x:c>
      <x:c r="O395" t="n">
        <x:v>1.083091</x:v>
      </x:c>
      <x:c r="P395" t="n">
        <x:v>0</x:v>
      </x:c>
      <x:c r="Q395" s="28" t="n">
        <x:v>0</x:v>
      </x:c>
      <x:c r="R395" s="28" t="n">
        <x:v>0</x:v>
      </x:c>
    </x:row>
    <x:row r="396">
      <x:c r="A396" t="str">
        <x:v>2026-07-25</x:v>
      </x:c>
      <x:c r="B396" t="str">
        <x:v>449281783851362</x:v>
      </x:c>
      <x:c r="C396" t="str">
        <x:v>Doruk Hastaneleri - SİNA ÖZEL Sağlık Hizmetleri A.ş</x:v>
      </x:c>
      <x:c r="D396" t="str">
        <x:v>120255738351260399</x:v>
      </x:c>
      <x:c r="E396" t="str">
        <x:v>Instagram gönderisi: İlişki sonrasında idrar...</x:v>
      </x:c>
      <x:c r="F396" t="str">
        <x:v>LINK_CLICKS</x:v>
      </x:c>
      <x:c r="G396" t="n">
        <x:v>10469</x:v>
      </x:c>
      <x:c r="H396" s="28" t="n">
        <x:v>1041.17</x:v>
      </x:c>
      <x:c r="I396" t="n">
        <x:v>11581</x:v>
      </x:c>
      <x:c r="J396" t="n">
        <x:v>205</x:v>
      </x:c>
      <x:c r="K396" t="n">
        <x:v>201</x:v>
      </x:c>
      <x:c r="L396" s="27" t="n">
        <x:f>IFERROR(K396/I396,0)</x:f>
        <x:v>0.017356014161125984</x:v>
      </x:c>
      <x:c r="M396" s="28" t="n">
        <x:f>IFERROR(H396/K396,0)</x:f>
        <x:v>5.179950248756219</x:v>
      </x:c>
      <x:c r="N396" s="28" t="n">
        <x:f>IFERROR(H396/I396*1000,0)</x:f>
        <x:v>89.903289871341</x:v>
      </x:c>
      <x:c r="O396" t="n">
        <x:v>1.106218</x:v>
      </x:c>
      <x:c r="P396" t="n">
        <x:v>0</x:v>
      </x:c>
      <x:c r="Q396" s="28" t="n">
        <x:v>0</x:v>
      </x:c>
      <x:c r="R396" s="28" t="n">
        <x:v>0</x:v>
      </x:c>
    </x:row>
    <x:row r="397">
      <x:c r="A397" t="str">
        <x:v>2026-07-25</x:v>
      </x:c>
      <x:c r="B397" t="str">
        <x:v>449281783851362</x:v>
      </x:c>
      <x:c r="C397" t="str">
        <x:v>Doruk Hastaneleri - SİNA ÖZEL Sağlık Hizmetleri A.ş</x:v>
      </x:c>
      <x:c r="D397" t="str">
        <x:v>120255738376560399</x:v>
      </x:c>
      <x:c r="E397" t="str">
        <x:v>Instagram gönderisi: Ablasyon tedavisi, vücutta...</x:v>
      </x:c>
      <x:c r="F397" t="str">
        <x:v>LINK_CLICKS</x:v>
      </x:c>
      <x:c r="G397" t="n">
        <x:v>7120</x:v>
      </x:c>
      <x:c r="H397" s="28" t="n">
        <x:v>1050.3</x:v>
      </x:c>
      <x:c r="I397" t="n">
        <x:v>7736</x:v>
      </x:c>
      <x:c r="J397" t="n">
        <x:v>129</x:v>
      </x:c>
      <x:c r="K397" t="n">
        <x:v>127</x:v>
      </x:c>
      <x:c r="L397" s="27" t="n">
        <x:f>IFERROR(K397/I397,0)</x:f>
        <x:v>0.01641675284384695</x:v>
      </x:c>
      <x:c r="M397" s="28" t="n">
        <x:f>IFERROR(H397/K397,0)</x:f>
        <x:v>8.27007874015748</x:v>
      </x:c>
      <x:c r="N397" s="28" t="n">
        <x:f>IFERROR(H397/I397*1000,0)</x:f>
        <x:v>135.7678386763185</x:v>
      </x:c>
      <x:c r="O397" t="n">
        <x:v>1.086517</x:v>
      </x:c>
      <x:c r="P397" t="n">
        <x:v>0</x:v>
      </x:c>
      <x:c r="Q397" s="28" t="n">
        <x:v>0</x:v>
      </x:c>
      <x:c r="R397" s="28" t="n">
        <x:v>0</x:v>
      </x:c>
    </x:row>
    <x:row r="398">
      <x:c r="A398" t="str">
        <x:v>2026-07-25</x:v>
      </x:c>
      <x:c r="B398" t="str">
        <x:v>449281783851362</x:v>
      </x:c>
      <x:c r="C398" t="str">
        <x:v>Doruk Hastaneleri - SİNA ÖZEL Sağlık Hizmetleri A.ş</x:v>
      </x:c>
      <x:c r="D398" t="str">
        <x:v>120255739080510399</x:v>
      </x:c>
      <x:c r="E398" t="str">
        <x:v>Gönderi: "👃 Rinoplasti Ameliyatı Nedir? Yumuşak Doku Neden..."</x:v>
      </x:c>
      <x:c r="F398" t="str">
        <x:v>OUTCOME_ENGAGEMENT</x:v>
      </x:c>
      <x:c r="G398" t="n">
        <x:v>12991</x:v>
      </x:c>
      <x:c r="H398" s="28" t="n">
        <x:v>1070.27</x:v>
      </x:c>
      <x:c r="I398" t="n">
        <x:v>15411</x:v>
      </x:c>
      <x:c r="J398" t="n">
        <x:v>632</x:v>
      </x:c>
      <x:c r="K398" t="n">
        <x:v>293</x:v>
      </x:c>
      <x:c r="L398" s="27" t="n">
        <x:f>IFERROR(K398/I398,0)</x:f>
        <x:v>0.019012393744727792</x:v>
      </x:c>
      <x:c r="M398" s="28" t="n">
        <x:f>IFERROR(H398/K398,0)</x:f>
        <x:v>3.6527986348122865</x:v>
      </x:c>
      <x:c r="N398" s="28" t="n">
        <x:f>IFERROR(H398/I398*1000,0)</x:f>
        <x:v>69.44844591525535</x:v>
      </x:c>
      <x:c r="O398" t="n">
        <x:v>1.186283</x:v>
      </x:c>
      <x:c r="P398" t="n">
        <x:v>0</x:v>
      </x:c>
      <x:c r="Q398" s="28" t="n">
        <x:v>0</x:v>
      </x:c>
      <x:c r="R398" s="28" t="n">
        <x:v>0</x:v>
      </x:c>
    </x:row>
    <x:row r="399">
      <x:c r="A399" t="str">
        <x:v>2026-07-25</x:v>
      </x:c>
      <x:c r="B399" t="str">
        <x:v>449281783851362</x:v>
      </x:c>
      <x:c r="C399" t="str">
        <x:v>Doruk Hastaneleri - SİNA ÖZEL Sağlık Hizmetleri A.ş</x:v>
      </x:c>
      <x:c r="D399" t="str">
        <x:v>120255739163090399</x:v>
      </x:c>
      <x:c r="E399" t="str">
        <x:v>Instagram gönderisi: 👃 Rinoplasti Ameliyatı...</x:v>
      </x:c>
      <x:c r="F399" t="str">
        <x:v>LINK_CLICKS</x:v>
      </x:c>
      <x:c r="G399" t="n">
        <x:v>14520</x:v>
      </x:c>
      <x:c r="H399" s="28" t="n">
        <x:v>1058.91</x:v>
      </x:c>
      <x:c r="I399" t="n">
        <x:v>16375</x:v>
      </x:c>
      <x:c r="J399" t="n">
        <x:v>560</x:v>
      </x:c>
      <x:c r="K399" t="n">
        <x:v>573</x:v>
      </x:c>
      <x:c r="L399" s="27" t="n">
        <x:f>IFERROR(K399/I399,0)</x:f>
        <x:v>0.03499236641221374</x:v>
      </x:c>
      <x:c r="M399" s="28" t="n">
        <x:f>IFERROR(H399/K399,0)</x:f>
        <x:v>1.8480104712041887</x:v>
      </x:c>
      <x:c r="N399" s="28" t="n">
        <x:f>IFERROR(H399/I399*1000,0)</x:f>
        <x:v>64.66625954198474</x:v>
      </x:c>
      <x:c r="O399" t="n">
        <x:v>1.127755</x:v>
      </x:c>
      <x:c r="P399" t="n">
        <x:v>0</x:v>
      </x:c>
      <x:c r="Q399" s="28" t="n">
        <x:v>0</x:v>
      </x:c>
      <x:c r="R399" s="28" t="n">
        <x:v>0</x:v>
      </x:c>
    </x:row>
    <x:row r="400">
      <x:c r="A400" t="str">
        <x:v>2026-07-25</x:v>
      </x:c>
      <x:c r="B400" t="str">
        <x:v>449281783851362</x:v>
      </x:c>
      <x:c r="C400" t="str">
        <x:v>Doruk Hastaneleri - SİNA ÖZEL Sağlık Hizmetleri A.ş</x:v>
      </x:c>
      <x:c r="D400" t="str">
        <x:v>120255739194330399</x:v>
      </x:c>
      <x:c r="E400" t="str">
        <x:v>Instagram gönderisi: 🖐️ Parmak Ucu Defekti Nasıl...</x:v>
      </x:c>
      <x:c r="F400" t="str">
        <x:v>LINK_CLICKS</x:v>
      </x:c>
      <x:c r="G400" t="n">
        <x:v>10846</x:v>
      </x:c>
      <x:c r="H400" s="28" t="n">
        <x:v>1018.37</x:v>
      </x:c>
      <x:c r="I400" t="n">
        <x:v>11812</x:v>
      </x:c>
      <x:c r="J400" t="n">
        <x:v>297</x:v>
      </x:c>
      <x:c r="K400" t="n">
        <x:v>299</x:v>
      </x:c>
      <x:c r="L400" s="27" t="n">
        <x:f>IFERROR(K400/I400,0)</x:f>
        <x:v>0.025313240772096172</x:v>
      </x:c>
      <x:c r="M400" s="28" t="n">
        <x:f>IFERROR(H400/K400,0)</x:f>
        <x:v>3.4059197324414714</x:v>
      </x:c>
      <x:c r="N400" s="28" t="n">
        <x:f>IFERROR(H400/I400*1000,0)</x:f>
        <x:v>86.21486623772435</x:v>
      </x:c>
      <x:c r="O400" t="n">
        <x:v>1.089065</x:v>
      </x:c>
      <x:c r="P400" t="n">
        <x:v>0</x:v>
      </x:c>
      <x:c r="Q400" s="28" t="n">
        <x:v>0</x:v>
      </x:c>
      <x:c r="R400" s="28" t="n">
        <x:v>0</x:v>
      </x:c>
    </x:row>
    <x:row r="401">
      <x:c r="A401" t="str">
        <x:v>2026-07-25</x:v>
      </x:c>
      <x:c r="B401" t="str">
        <x:v>449281783851362</x:v>
      </x:c>
      <x:c r="C401" t="str">
        <x:v>Doruk Hastaneleri - SİNA ÖZEL Sağlık Hizmetleri A.ş</x:v>
      </x:c>
      <x:c r="D401" t="str">
        <x:v>120255739290470399</x:v>
      </x:c>
      <x:c r="E401" t="str">
        <x:v>Instagram gönderisi: 🎗️ Kemoterapi Alan Her...</x:v>
      </x:c>
      <x:c r="F401" t="str">
        <x:v>LINK_CLICKS</x:v>
      </x:c>
      <x:c r="G401" t="n">
        <x:v>14628</x:v>
      </x:c>
      <x:c r="H401" s="28" t="n">
        <x:v>1361.23</x:v>
      </x:c>
      <x:c r="I401" t="n">
        <x:v>15509</x:v>
      </x:c>
      <x:c r="J401" t="n">
        <x:v>229</x:v>
      </x:c>
      <x:c r="K401" t="n">
        <x:v>232</x:v>
      </x:c>
      <x:c r="L401" s="27" t="n">
        <x:f>IFERROR(K401/I401,0)</x:f>
        <x:v>0.01495905603198143</x:v>
      </x:c>
      <x:c r="M401" s="28" t="n">
        <x:f>IFERROR(H401/K401,0)</x:f>
        <x:v>5.867370689655172</x:v>
      </x:c>
      <x:c r="N401" s="28" t="n">
        <x:f>IFERROR(H401/I401*1000,0)</x:f>
        <x:v>87.77032690695725</x:v>
      </x:c>
      <x:c r="O401" t="n">
        <x:v>1.060227</x:v>
      </x:c>
      <x:c r="P401" t="n">
        <x:v>0</x:v>
      </x:c>
      <x:c r="Q401" s="28" t="n">
        <x:v>0</x:v>
      </x:c>
      <x:c r="R401" s="28" t="n">
        <x:v>0</x:v>
      </x:c>
    </x:row>
    <x:row r="402">
      <x:c r="A402" t="str">
        <x:v>2026-07-25</x:v>
      </x:c>
      <x:c r="B402" t="str">
        <x:v>449281783851362</x:v>
      </x:c>
      <x:c r="C402" t="str">
        <x:v>Doruk Hastaneleri - SİNA ÖZEL Sağlık Hizmetleri A.ş</x:v>
      </x:c>
      <x:c r="D402" t="str">
        <x:v>120255739336980399</x:v>
      </x:c>
      <x:c r="E402" t="str">
        <x:v>Instagram gönderisi: 🎗️ Kanser Tanısı Fizik...</x:v>
      </x:c>
      <x:c r="F402" t="str">
        <x:v>LINK_CLICKS</x:v>
      </x:c>
      <x:c r="G402" t="n">
        <x:v>7583</x:v>
      </x:c>
      <x:c r="H402" s="28" t="n">
        <x:v>959.02</x:v>
      </x:c>
      <x:c r="I402" t="n">
        <x:v>8207</x:v>
      </x:c>
      <x:c r="J402" t="n">
        <x:v>114</x:v>
      </x:c>
      <x:c r="K402" t="n">
        <x:v>118</x:v>
      </x:c>
      <x:c r="L402" s="27" t="n">
        <x:f>IFERROR(K402/I402,0)</x:f>
        <x:v>0.014377970025587912</x:v>
      </x:c>
      <x:c r="M402" s="28" t="n">
        <x:f>IFERROR(H402/K402,0)</x:f>
        <x:v>8.12728813559322</x:v>
      </x:c>
      <x:c r="N402" s="28" t="n">
        <x:f>IFERROR(H402/I402*1000,0)</x:f>
        <x:v>116.85390520287558</x:v>
      </x:c>
      <x:c r="O402" t="n">
        <x:v>1.082289</x:v>
      </x:c>
      <x:c r="P402" t="n">
        <x:v>0</x:v>
      </x:c>
      <x:c r="Q402" s="28" t="n">
        <x:v>0</x:v>
      </x:c>
      <x:c r="R402" s="28" t="n">
        <x:v>0</x:v>
      </x:c>
    </x:row>
    <x:row r="403">
      <x:c r="A403" t="str">
        <x:v>2026-07-25</x:v>
      </x:c>
      <x:c r="B403" t="str">
        <x:v>449281783851362</x:v>
      </x:c>
      <x:c r="C403" t="str">
        <x:v>Doruk Hastaneleri - SİNA ÖZEL Sağlık Hizmetleri A.ş</x:v>
      </x:c>
      <x:c r="D403" t="str">
        <x:v>120255739368940399</x:v>
      </x:c>
      <x:c r="E403" t="str">
        <x:v>Instagram gönderisi: •Gebelikte Tarama Testleri |...</x:v>
      </x:c>
      <x:c r="F403" t="str">
        <x:v>LINK_CLICKS</x:v>
      </x:c>
      <x:c r="G403" t="n">
        <x:v>11595</x:v>
      </x:c>
      <x:c r="H403" s="28" t="n">
        <x:v>1015.11</x:v>
      </x:c>
      <x:c r="I403" t="n">
        <x:v>13205</x:v>
      </x:c>
      <x:c r="J403" t="n">
        <x:v>382</x:v>
      </x:c>
      <x:c r="K403" t="n">
        <x:v>389</x:v>
      </x:c>
      <x:c r="L403" s="27" t="n">
        <x:f>IFERROR(K403/I403,0)</x:f>
        <x:v>0.029458538432411967</x:v>
      </x:c>
      <x:c r="M403" s="28" t="n">
        <x:f>IFERROR(H403/K403,0)</x:f>
        <x:v>2.6095372750642674</x:v>
      </x:c>
      <x:c r="N403" s="28" t="n">
        <x:f>IFERROR(H403/I403*1000,0)</x:f>
        <x:v>76.87315410829231</x:v>
      </x:c>
      <x:c r="O403" t="n">
        <x:v>1.138853</x:v>
      </x:c>
      <x:c r="P403" t="n">
        <x:v>0</x:v>
      </x:c>
      <x:c r="Q403" s="28" t="n">
        <x:v>0</x:v>
      </x:c>
      <x:c r="R403" s="28" t="n">
        <x:v>0</x:v>
      </x:c>
    </x:row>
    <x:row r="404">
      <x:c r="A404" t="str">
        <x:v>2026-07-25</x:v>
      </x:c>
      <x:c r="B404" t="str">
        <x:v>449281783851362</x:v>
      </x:c>
      <x:c r="C404" t="str">
        <x:v>Doruk Hastaneleri - SİNA ÖZEL Sağlık Hizmetleri A.ş</x:v>
      </x:c>
      <x:c r="D404" t="str">
        <x:v>120255739424180399</x:v>
      </x:c>
      <x:c r="E404" t="str">
        <x:v>Instagram gönderisi: ✅Gebelikte uyku pozisyonu...</x:v>
      </x:c>
      <x:c r="F404" t="str">
        <x:v>LINK_CLICKS</x:v>
      </x:c>
      <x:c r="G404" t="n">
        <x:v>20720</x:v>
      </x:c>
      <x:c r="H404" s="28" t="n">
        <x:v>1037.99</x:v>
      </x:c>
      <x:c r="I404" t="n">
        <x:v>22997</x:v>
      </x:c>
      <x:c r="J404" t="n">
        <x:v>737</x:v>
      </x:c>
      <x:c r="K404" t="n">
        <x:v>757</x:v>
      </x:c>
      <x:c r="L404" s="27" t="n">
        <x:f>IFERROR(K404/I404,0)</x:f>
        <x:v>0.032917337043962255</x:v>
      </x:c>
      <x:c r="M404" s="28" t="n">
        <x:f>IFERROR(H404/K404,0)</x:f>
        <x:v>1.3711889035667106</x:v>
      </x:c>
      <x:c r="N404" s="28" t="n">
        <x:f>IFERROR(H404/I404*1000,0)</x:f>
        <x:v>45.135887289646476</x:v>
      </x:c>
      <x:c r="O404" t="n">
        <x:v>1.109894</x:v>
      </x:c>
      <x:c r="P404" t="n">
        <x:v>0</x:v>
      </x:c>
      <x:c r="Q404" s="28" t="n">
        <x:v>0</x:v>
      </x:c>
      <x:c r="R404" s="28" t="n">
        <x:v>0</x:v>
      </x:c>
    </x:row>
    <x:row r="405">
      <x:c r="A405" t="str">
        <x:v>2026-07-25</x:v>
      </x:c>
      <x:c r="B405" t="str">
        <x:v>449281783851362</x:v>
      </x:c>
      <x:c r="C405" t="str">
        <x:v>Doruk Hastaneleri - SİNA ÖZEL Sağlık Hizmetleri A.ş</x:v>
      </x:c>
      <x:c r="D405" t="str">
        <x:v>120255739460510399</x:v>
      </x:c>
      <x:c r="E405" t="str">
        <x:v>Instagram gönderisi: 🦴 Omurga Kırıklarında Asıl...</x:v>
      </x:c>
      <x:c r="F405" t="str">
        <x:v>LINK_CLICKS</x:v>
      </x:c>
      <x:c r="G405" t="n">
        <x:v>17327</x:v>
      </x:c>
      <x:c r="H405" s="28" t="n">
        <x:v>1142.16</x:v>
      </x:c>
      <x:c r="I405" t="n">
        <x:v>17792</x:v>
      </x:c>
      <x:c r="J405" t="n">
        <x:v>177</x:v>
      </x:c>
      <x:c r="K405" t="n">
        <x:v>179</x:v>
      </x:c>
      <x:c r="L405" s="27" t="n">
        <x:f>IFERROR(K405/I405,0)</x:f>
        <x:v>0.01006070143884892</x:v>
      </x:c>
      <x:c r="M405" s="28" t="n">
        <x:f>IFERROR(H405/K405,0)</x:f>
        <x:v>6.380782122905028</x:v>
      </x:c>
      <x:c r="N405" s="28" t="n">
        <x:f>IFERROR(H405/I405*1000,0)</x:f>
        <x:v>64.19514388489209</x:v>
      </x:c>
      <x:c r="O405" t="n">
        <x:v>1.026837</x:v>
      </x:c>
      <x:c r="P405" t="n">
        <x:v>0</x:v>
      </x:c>
      <x:c r="Q405" s="28" t="n">
        <x:v>0</x:v>
      </x:c>
      <x:c r="R405" s="28" t="n">
        <x:v>0</x:v>
      </x:c>
    </x:row>
    <x:row r="406">
      <x:c r="A406" t="str">
        <x:v>2026-07-25</x:v>
      </x:c>
      <x:c r="B406" t="str">
        <x:v>449281783851362</x:v>
      </x:c>
      <x:c r="C406" t="str">
        <x:v>Doruk Hastaneleri - SİNA ÖZEL Sağlık Hizmetleri A.ş</x:v>
      </x:c>
      <x:c r="D406" t="str">
        <x:v>120255739485660399</x:v>
      </x:c>
      <x:c r="E406" t="str">
        <x:v>Instagram gönderisi: 🦴 Bel Fıtığında Doğru Zaman...</x:v>
      </x:c>
      <x:c r="F406" t="str">
        <x:v>LINK_CLICKS</x:v>
      </x:c>
      <x:c r="G406" t="n">
        <x:v>15898</x:v>
      </x:c>
      <x:c r="H406" s="28" t="n">
        <x:v>994.93</x:v>
      </x:c>
      <x:c r="I406" t="n">
        <x:v>17480</x:v>
      </x:c>
      <x:c r="J406" t="n">
        <x:v>264</x:v>
      </x:c>
      <x:c r="K406" t="n">
        <x:v>267</x:v>
      </x:c>
      <x:c r="L406" s="27" t="n">
        <x:f>IFERROR(K406/I406,0)</x:f>
        <x:v>0.015274599542334096</x:v>
      </x:c>
      <x:c r="M406" s="28" t="n">
        <x:f>IFERROR(H406/K406,0)</x:f>
        <x:v>3.726329588014981</x:v>
      </x:c>
      <x:c r="N406" s="28" t="n">
        <x:f>IFERROR(H406/I406*1000,0)</x:f>
        <x:v>56.918192219679625</x:v>
      </x:c>
      <x:c r="O406" t="n">
        <x:v>1.099509</x:v>
      </x:c>
      <x:c r="P406" t="n">
        <x:v>0</x:v>
      </x:c>
      <x:c r="Q406" s="28" t="n">
        <x:v>0</x:v>
      </x:c>
      <x:c r="R406" s="28" t="n">
        <x:v>0</x:v>
      </x:c>
    </x:row>
    <x:row r="407">
      <x:c r="A407" t="str">
        <x:v>2026-07-25</x:v>
      </x:c>
      <x:c r="B407" t="str">
        <x:v>449281783851362</x:v>
      </x:c>
      <x:c r="C407" t="str">
        <x:v>Doruk Hastaneleri - SİNA ÖZEL Sağlık Hizmetleri A.ş</x:v>
      </x:c>
      <x:c r="D407" t="str">
        <x:v>120255763855030399</x:v>
      </x:c>
      <x:c r="E407" t="str">
        <x:v>Doktor - Bilinirlik Kampanyası - Çekirge</x:v>
      </x:c>
      <x:c r="F407" t="str">
        <x:v>OUTCOME_AWARENESS</x:v>
      </x:c>
      <x:c r="G407" t="n">
        <x:v>200326</x:v>
      </x:c>
      <x:c r="H407" s="28" t="n">
        <x:v>2521.68</x:v>
      </x:c>
      <x:c r="I407" t="n">
        <x:v>243861</x:v>
      </x:c>
      <x:c r="J407" t="n">
        <x:v>155</x:v>
      </x:c>
      <x:c r="K407" t="n">
        <x:v>0</x:v>
      </x:c>
      <x:c r="L407" s="27" t="n">
        <x:f>IFERROR(K407/I407,0)</x:f>
        <x:v>0</x:v>
      </x:c>
      <x:c r="M407" s="28" t="n">
        <x:f>IFERROR(H407/K407,0)</x:f>
        <x:v>0</x:v>
      </x:c>
      <x:c r="N407" s="28" t="n">
        <x:f>IFERROR(H407/I407*1000,0)</x:f>
        <x:v>10.340644875564358</x:v>
      </x:c>
      <x:c r="O407" t="n">
        <x:v>1.217321</x:v>
      </x:c>
      <x:c r="P407" t="n">
        <x:v>0</x:v>
      </x:c>
      <x:c r="Q407" s="28" t="n">
        <x:v>0</x:v>
      </x:c>
      <x:c r="R407" s="28" t="n">
        <x:v>0</x:v>
      </x:c>
    </x:row>
    <x:row r="408">
      <x:c r="A408" t="str">
        <x:v>2026-07-26</x:v>
      </x:c>
      <x:c r="B408" t="str">
        <x:v>449281783851362</x:v>
      </x:c>
      <x:c r="C408" t="str">
        <x:v>Doruk Hastaneleri - SİNA ÖZEL Sağlık Hizmetleri A.ş</x:v>
      </x:c>
      <x:c r="D408" t="str">
        <x:v>120242415465180399</x:v>
      </x:c>
      <x:c r="E408" t="str">
        <x:v>Gebe-Doğum Form Kampanyası</x:v>
      </x:c>
      <x:c r="F408" t="str">
        <x:v>OUTCOME_LEADS</x:v>
      </x:c>
      <x:c r="G408" t="n">
        <x:v>0</x:v>
      </x:c>
      <x:c r="H408" s="28" t="n">
        <x:v>0</x:v>
      </x:c>
      <x:c r="I408" t="n">
        <x:v>0</x:v>
      </x:c>
      <x:c r="J408" t="n">
        <x:v>0</x:v>
      </x:c>
      <x:c r="K408" t="n">
        <x:v>0</x:v>
      </x:c>
      <x:c r="L408" s="27" t="n">
        <x:f>IFERROR(K408/I408,0)</x:f>
        <x:v>0</x:v>
      </x:c>
      <x:c r="M408" s="28" t="n">
        <x:f>IFERROR(H408/K408,0)</x:f>
        <x:v>0</x:v>
      </x:c>
      <x:c r="N408" s="28" t="n">
        <x:f>IFERROR(H408/I408*1000,0)</x:f>
        <x:v>0</x:v>
      </x:c>
      <x:c r="O408" t="n">
        <x:v>0</x:v>
      </x:c>
      <x:c r="P408" t="n">
        <x:v>0</x:v>
      </x:c>
      <x:c r="Q408" s="28" t="n">
        <x:v>0</x:v>
      </x:c>
      <x:c r="R408" s="28" t="n">
        <x:v>0</x:v>
      </x:c>
    </x:row>
    <x:row r="409">
      <x:c r="A409" t="str">
        <x:v>2026-07-26</x:v>
      </x:c>
      <x:c r="B409" t="str">
        <x:v>449281783851362</x:v>
      </x:c>
      <x:c r="C409" t="str">
        <x:v>Doruk Hastaneleri - SİNA ÖZEL Sağlık Hizmetleri A.ş</x:v>
      </x:c>
      <x:c r="D409" t="str">
        <x:v>120251414264130399</x:v>
      </x:c>
      <x:c r="E409" t="str">
        <x:v>Prostat Checkup - lead</x:v>
      </x:c>
      <x:c r="F409" t="str">
        <x:v>OUTCOME_LEADS</x:v>
      </x:c>
      <x:c r="G409" t="n">
        <x:v>0</x:v>
      </x:c>
      <x:c r="H409" s="28" t="n">
        <x:v>0</x:v>
      </x:c>
      <x:c r="I409" t="n">
        <x:v>0</x:v>
      </x:c>
      <x:c r="J409" t="n">
        <x:v>0</x:v>
      </x:c>
      <x:c r="K409" t="n">
        <x:v>0</x:v>
      </x:c>
      <x:c r="L409" s="27" t="n">
        <x:f>IFERROR(K409/I409,0)</x:f>
        <x:v>0</x:v>
      </x:c>
      <x:c r="M409" s="28" t="n">
        <x:f>IFERROR(H409/K409,0)</x:f>
        <x:v>0</x:v>
      </x:c>
      <x:c r="N409" s="28" t="n">
        <x:f>IFERROR(H409/I409*1000,0)</x:f>
        <x:v>0</x:v>
      </x:c>
      <x:c r="O409" t="n">
        <x:v>0</x:v>
      </x:c>
      <x:c r="P409" t="n">
        <x:v>0</x:v>
      </x:c>
      <x:c r="Q409" s="28" t="n">
        <x:v>0</x:v>
      </x:c>
      <x:c r="R409" s="28" t="n">
        <x:v>0</x:v>
      </x:c>
    </x:row>
    <x:row r="410">
      <x:c r="A410" t="str">
        <x:v>2026-07-27</x:v>
      </x:c>
      <x:c r="B410" t="str">
        <x:v>449281783851362</x:v>
      </x:c>
      <x:c r="C410" t="str">
        <x:v>Doruk Hastaneleri - SİNA ÖZEL Sağlık Hizmetleri A.ş</x:v>
      </x:c>
      <x:c r="D410" t="str">
        <x:v>120202624613730399</x:v>
      </x:c>
      <x:c r="E410" t="str">
        <x:v>CBO / Saç Ekimi - lead / soğuk</x:v>
      </x:c>
      <x:c r="F410" t="str">
        <x:v>OUTCOME_LEADS</x:v>
      </x:c>
      <x:c r="G410" t="n">
        <x:v>5225</x:v>
      </x:c>
      <x:c r="H410" s="28" t="n">
        <x:v>929.35</x:v>
      </x:c>
      <x:c r="I410" t="n">
        <x:v>8232</x:v>
      </x:c>
      <x:c r="J410" t="n">
        <x:v>45</x:v>
      </x:c>
      <x:c r="K410" t="n">
        <x:v>31</x:v>
      </x:c>
      <x:c r="L410" s="27" t="n">
        <x:f>IFERROR(K410/I410,0)</x:f>
        <x:v>0.0037657920310981536</x:v>
      </x:c>
      <x:c r="M410" s="28" t="n">
        <x:f>IFERROR(H410/K410,0)</x:f>
        <x:v>29.979032258064517</x:v>
      </x:c>
      <x:c r="N410" s="28" t="n">
        <x:f>IFERROR(H410/I410*1000,0)</x:f>
        <x:v>112.89480077745384</x:v>
      </x:c>
      <x:c r="O410" t="n">
        <x:v>1.575502</x:v>
      </x:c>
      <x:c r="P410" t="n">
        <x:v>2</x:v>
      </x:c>
      <x:c r="Q410" s="28" t="n">
        <x:v>0</x:v>
      </x:c>
      <x:c r="R410" s="28" t="n">
        <x:v>0</x:v>
      </x:c>
    </x:row>
    <x:row r="411">
      <x:c r="A411" t="str">
        <x:v>2026-07-27</x:v>
      </x:c>
      <x:c r="B411" t="str">
        <x:v>449281783851362</x:v>
      </x:c>
      <x:c r="C411" t="str">
        <x:v>Doruk Hastaneleri - SİNA ÖZEL Sağlık Hizmetleri A.ş</x:v>
      </x:c>
      <x:c r="D411" t="str">
        <x:v>120211731920800399</x:v>
      </x:c>
      <x:c r="E411" t="str">
        <x:v>ABO / Göz Kapağı Estetiği / plastik cerrahi / lead</x:v>
      </x:c>
      <x:c r="F411" t="str">
        <x:v>OUTCOME_LEADS</x:v>
      </x:c>
      <x:c r="G411" t="n">
        <x:v>1758</x:v>
      </x:c>
      <x:c r="H411" s="28" t="n">
        <x:v>240.66</x:v>
      </x:c>
      <x:c r="I411" t="n">
        <x:v>2299</x:v>
      </x:c>
      <x:c r="J411" t="n">
        <x:v>10</x:v>
      </x:c>
      <x:c r="K411" t="n">
        <x:v>6</x:v>
      </x:c>
      <x:c r="L411" s="27" t="n">
        <x:f>IFERROR(K411/I411,0)</x:f>
        <x:v>0.0026098303610265334</x:v>
      </x:c>
      <x:c r="M411" s="28" t="n">
        <x:f>IFERROR(H411/K411,0)</x:f>
        <x:v>40.11</x:v>
      </x:c>
      <x:c r="N411" s="28" t="n">
        <x:f>IFERROR(H411/I411*1000,0)</x:f>
        <x:v>104.68029578077424</x:v>
      </x:c>
      <x:c r="O411" t="n">
        <x:v>1.307736</x:v>
      </x:c>
      <x:c r="P411" t="n">
        <x:v>0</x:v>
      </x:c>
      <x:c r="Q411" s="28" t="n">
        <x:v>0</x:v>
      </x:c>
      <x:c r="R411" s="28" t="n">
        <x:v>0</x:v>
      </x:c>
    </x:row>
    <x:row r="412">
      <x:c r="A412" t="str">
        <x:v>2026-07-27</x:v>
      </x:c>
      <x:c r="B412" t="str">
        <x:v>449281783851362</x:v>
      </x:c>
      <x:c r="C412" t="str">
        <x:v>Doruk Hastaneleri - SİNA ÖZEL Sağlık Hizmetleri A.ş</x:v>
      </x:c>
      <x:c r="D412" t="str">
        <x:v>120211732243050399</x:v>
      </x:c>
      <x:c r="E412" t="str">
        <x:v>ABO /Kepçe Kulak / plastik cerrahi / lead</x:v>
      </x:c>
      <x:c r="F412" t="str">
        <x:v>OUTCOME_LEADS</x:v>
      </x:c>
      <x:c r="G412" t="n">
        <x:v>5353</x:v>
      </x:c>
      <x:c r="H412" s="28" t="n">
        <x:v>246.62</x:v>
      </x:c>
      <x:c r="I412" t="n">
        <x:v>6358</x:v>
      </x:c>
      <x:c r="J412" t="n">
        <x:v>30</x:v>
      </x:c>
      <x:c r="K412" t="n">
        <x:v>21</x:v>
      </x:c>
      <x:c r="L412" s="27" t="n">
        <x:f>IFERROR(K412/I412,0)</x:f>
        <x:v>0.003302925448254168</x:v>
      </x:c>
      <x:c r="M412" s="28" t="n">
        <x:f>IFERROR(H412/K412,0)</x:f>
        <x:v>11.743809523809524</x:v>
      </x:c>
      <x:c r="N412" s="28" t="n">
        <x:f>IFERROR(H412/I412*1000,0)</x:f>
        <x:v>38.78892733564014</x:v>
      </x:c>
      <x:c r="O412" t="n">
        <x:v>1.187745</x:v>
      </x:c>
      <x:c r="P412" t="n">
        <x:v>3</x:v>
      </x:c>
      <x:c r="Q412" s="28" t="n">
        <x:v>0</x:v>
      </x:c>
      <x:c r="R412" s="28" t="n">
        <x:v>0</x:v>
      </x:c>
    </x:row>
    <x:row r="413">
      <x:c r="A413" t="str">
        <x:v>2026-07-27</x:v>
      </x:c>
      <x:c r="B413" t="str">
        <x:v>449281783851362</x:v>
      </x:c>
      <x:c r="C413" t="str">
        <x:v>Doruk Hastaneleri - SİNA ÖZEL Sağlık Hizmetleri A.ş</x:v>
      </x:c>
      <x:c r="D413" t="str">
        <x:v>120211732311210399</x:v>
      </x:c>
      <x:c r="E413" t="str">
        <x:v>ABO / Meme Estetiği / plastik cerrahi / lead</x:v>
      </x:c>
      <x:c r="F413" t="str">
        <x:v>OUTCOME_LEADS</x:v>
      </x:c>
      <x:c r="G413" t="n">
        <x:v>5719</x:v>
      </x:c>
      <x:c r="H413" s="28" t="n">
        <x:v>889.88</x:v>
      </x:c>
      <x:c r="I413" t="n">
        <x:v>8385</x:v>
      </x:c>
      <x:c r="J413" t="n">
        <x:v>56</x:v>
      </x:c>
      <x:c r="K413" t="n">
        <x:v>38</x:v>
      </x:c>
      <x:c r="L413" s="27" t="n">
        <x:f>IFERROR(K413/I413,0)</x:f>
        <x:v>0.004531902206320811</x:v>
      </x:c>
      <x:c r="M413" s="28" t="n">
        <x:f>IFERROR(H413/K413,0)</x:f>
        <x:v>23.417894736842104</x:v>
      </x:c>
      <x:c r="N413" s="28" t="n">
        <x:f>IFERROR(H413/I413*1000,0)</x:f>
        <x:v>106.12760882528325</x:v>
      </x:c>
      <x:c r="O413" t="n">
        <x:v>1.466165</x:v>
      </x:c>
      <x:c r="P413" t="n">
        <x:v>3</x:v>
      </x:c>
      <x:c r="Q413" s="28" t="n">
        <x:v>0</x:v>
      </x:c>
      <x:c r="R413" s="28" t="n">
        <x:v>0</x:v>
      </x:c>
    </x:row>
    <x:row r="414">
      <x:c r="A414" t="str">
        <x:v>2026-07-27</x:v>
      </x:c>
      <x:c r="B414" t="str">
        <x:v>449281783851362</x:v>
      </x:c>
      <x:c r="C414" t="str">
        <x:v>Doruk Hastaneleri - SİNA ÖZEL Sağlık Hizmetleri A.ş</x:v>
      </x:c>
      <x:c r="D414" t="str">
        <x:v>120211732618490399</x:v>
      </x:c>
      <x:c r="E414" t="str">
        <x:v>ABO /Jinekomasti / plastik cerrahi / lead</x:v>
      </x:c>
      <x:c r="F414" t="str">
        <x:v>OUTCOME_LEADS</x:v>
      </x:c>
      <x:c r="G414" t="n">
        <x:v>2517</x:v>
      </x:c>
      <x:c r="H414" s="28" t="n">
        <x:v>259.74</x:v>
      </x:c>
      <x:c r="I414" t="n">
        <x:v>3319</x:v>
      </x:c>
      <x:c r="J414" t="n">
        <x:v>20</x:v>
      </x:c>
      <x:c r="K414" t="n">
        <x:v>8</x:v>
      </x:c>
      <x:c r="L414" s="27" t="n">
        <x:f>IFERROR(K414/I414,0)</x:f>
        <x:v>0.0024103645676408557</x:v>
      </x:c>
      <x:c r="M414" s="28" t="n">
        <x:f>IFERROR(H414/K414,0)</x:f>
        <x:v>32.4675</x:v>
      </x:c>
      <x:c r="N414" s="28" t="n">
        <x:f>IFERROR(H414/I414*1000,0)</x:f>
        <x:v>78.25851159987948</x:v>
      </x:c>
      <x:c r="O414" t="n">
        <x:v>1.318633</x:v>
      </x:c>
      <x:c r="P414" t="n">
        <x:v>1</x:v>
      </x:c>
      <x:c r="Q414" s="28" t="n">
        <x:v>0</x:v>
      </x:c>
      <x:c r="R414" s="28" t="n">
        <x:v>0</x:v>
      </x:c>
    </x:row>
    <x:row r="415">
      <x:c r="A415" t="str">
        <x:v>2026-07-27</x:v>
      </x:c>
      <x:c r="B415" t="str">
        <x:v>449281783851362</x:v>
      </x:c>
      <x:c r="C415" t="str">
        <x:v>Doruk Hastaneleri - SİNA ÖZEL Sağlık Hizmetleri A.ş</x:v>
      </x:c>
      <x:c r="D415" t="str">
        <x:v>120211732654260399</x:v>
      </x:c>
      <x:c r="E415" t="str">
        <x:v>ABO / Rinoplasti / plastik cerrahi / lead</x:v>
      </x:c>
      <x:c r="F415" t="str">
        <x:v>OUTCOME_LEADS</x:v>
      </x:c>
      <x:c r="G415" t="n">
        <x:v>3053</x:v>
      </x:c>
      <x:c r="H415" s="28" t="n">
        <x:v>664.33</x:v>
      </x:c>
      <x:c r="I415" t="n">
        <x:v>4363</x:v>
      </x:c>
      <x:c r="J415" t="n">
        <x:v>29</x:v>
      </x:c>
      <x:c r="K415" t="n">
        <x:v>22</x:v>
      </x:c>
      <x:c r="L415" s="27" t="n">
        <x:f>IFERROR(K415/I415,0)</x:f>
        <x:v>0.0050424020169608065</x:v>
      </x:c>
      <x:c r="M415" s="28" t="n">
        <x:f>IFERROR(H415/K415,0)</x:f>
        <x:v>30.196818181818184</x:v>
      </x:c>
      <x:c r="N415" s="28" t="n">
        <x:f>IFERROR(H415/I415*1000,0)</x:f>
        <x:v>152.26449690579878</x:v>
      </x:c>
      <x:c r="O415" t="n">
        <x:v>1.429086</x:v>
      </x:c>
      <x:c r="P415" t="n">
        <x:v>1</x:v>
      </x:c>
      <x:c r="Q415" s="28" t="n">
        <x:v>0</x:v>
      </x:c>
      <x:c r="R415" s="28" t="n">
        <x:v>0</x:v>
      </x:c>
    </x:row>
    <x:row r="416">
      <x:c r="A416" t="str">
        <x:v>2026-07-27</x:v>
      </x:c>
      <x:c r="B416" t="str">
        <x:v>449281783851362</x:v>
      </x:c>
      <x:c r="C416" t="str">
        <x:v>Doruk Hastaneleri - SİNA ÖZEL Sağlık Hizmetleri A.ş</x:v>
      </x:c>
      <x:c r="D416" t="str">
        <x:v>120211732712890399</x:v>
      </x:c>
      <x:c r="E416" t="str">
        <x:v>ABO / Vücut Şekillendirme / plastik cerrahi / lead</x:v>
      </x:c>
      <x:c r="F416" t="str">
        <x:v>OUTCOME_LEADS</x:v>
      </x:c>
      <x:c r="G416" t="n">
        <x:v>896</x:v>
      </x:c>
      <x:c r="H416" s="28" t="n">
        <x:v>277.72</x:v>
      </x:c>
      <x:c r="I416" t="n">
        <x:v>1338</x:v>
      </x:c>
      <x:c r="J416" t="n">
        <x:v>12</x:v>
      </x:c>
      <x:c r="K416" t="n">
        <x:v>7</x:v>
      </x:c>
      <x:c r="L416" s="27" t="n">
        <x:f>IFERROR(K416/I416,0)</x:f>
        <x:v>0.00523168908819133</x:v>
      </x:c>
      <x:c r="M416" s="28" t="n">
        <x:f>IFERROR(H416/K416,0)</x:f>
        <x:v>39.674285714285716</x:v>
      </x:c>
      <x:c r="N416" s="28" t="n">
        <x:f>IFERROR(H416/I416*1000,0)</x:f>
        <x:v>207.56352765321375</x:v>
      </x:c>
      <x:c r="O416" t="n">
        <x:v>1.493304</x:v>
      </x:c>
      <x:c r="P416" t="n">
        <x:v>1</x:v>
      </x:c>
      <x:c r="Q416" s="28" t="n">
        <x:v>0</x:v>
      </x:c>
      <x:c r="R416" s="28" t="n">
        <x:v>0</x:v>
      </x:c>
    </x:row>
    <x:row r="417">
      <x:c r="A417" t="str">
        <x:v>2026-07-27</x:v>
      </x:c>
      <x:c r="B417" t="str">
        <x:v>449281783851362</x:v>
      </x:c>
      <x:c r="C417" t="str">
        <x:v>Doruk Hastaneleri - SİNA ÖZEL Sağlık Hizmetleri A.ş</x:v>
      </x:c>
      <x:c r="D417" t="str">
        <x:v>120211732754080399</x:v>
      </x:c>
      <x:c r="E417" t="str">
        <x:v>ABO / Yüz Germe (Facelift) / plastik cerrahi / lead</x:v>
      </x:c>
      <x:c r="F417" t="str">
        <x:v>OUTCOME_LEADS</x:v>
      </x:c>
      <x:c r="G417" t="n">
        <x:v>639</x:v>
      </x:c>
      <x:c r="H417" s="28" t="n">
        <x:v>307.49</x:v>
      </x:c>
      <x:c r="I417" t="n">
        <x:v>965</x:v>
      </x:c>
      <x:c r="J417" t="n">
        <x:v>11</x:v>
      </x:c>
      <x:c r="K417" t="n">
        <x:v>7</x:v>
      </x:c>
      <x:c r="L417" s="27" t="n">
        <x:f>IFERROR(K417/I417,0)</x:f>
        <x:v>0.007253886010362694</x:v>
      </x:c>
      <x:c r="M417" s="28" t="n">
        <x:f>IFERROR(H417/K417,0)</x:f>
        <x:v>43.92714285714286</x:v>
      </x:c>
      <x:c r="N417" s="28" t="n">
        <x:f>IFERROR(H417/I417*1000,0)</x:f>
        <x:v>318.64248704663214</x:v>
      </x:c>
      <x:c r="O417" t="n">
        <x:v>1.510172</x:v>
      </x:c>
      <x:c r="P417" t="n">
        <x:v>0</x:v>
      </x:c>
      <x:c r="Q417" s="28" t="n">
        <x:v>0</x:v>
      </x:c>
      <x:c r="R417" s="28" t="n">
        <x:v>0</x:v>
      </x:c>
    </x:row>
    <x:row r="418">
      <x:c r="A418" t="str">
        <x:v>2026-07-27</x:v>
      </x:c>
      <x:c r="B418" t="str">
        <x:v>449281783851362</x:v>
      </x:c>
      <x:c r="C418" t="str">
        <x:v>Doruk Hastaneleri - SİNA ÖZEL Sağlık Hizmetleri A.ş</x:v>
      </x:c>
      <x:c r="D418" t="str">
        <x:v>120214167265870399</x:v>
      </x:c>
      <x:c r="E418" t="str">
        <x:v>Baş Dönmesi ve Denge Ünitesi / lead</x:v>
      </x:c>
      <x:c r="F418" t="str">
        <x:v>OUTCOME_LEADS</x:v>
      </x:c>
      <x:c r="G418" t="n">
        <x:v>3277</x:v>
      </x:c>
      <x:c r="H418" s="28" t="n">
        <x:v>276.79</x:v>
      </x:c>
      <x:c r="I418" t="n">
        <x:v>4086</x:v>
      </x:c>
      <x:c r="J418" t="n">
        <x:v>84</x:v>
      </x:c>
      <x:c r="K418" t="n">
        <x:v>41</x:v>
      </x:c>
      <x:c r="L418" s="27" t="n">
        <x:f>IFERROR(K418/I418,0)</x:f>
        <x:v>0.010034263338228096</x:v>
      </x:c>
      <x:c r="M418" s="28" t="n">
        <x:f>IFERROR(H418/K418,0)</x:f>
        <x:v>6.7509756097560985</x:v>
      </x:c>
      <x:c r="N418" s="28" t="n">
        <x:f>IFERROR(H418/I418*1000,0)</x:f>
        <x:v>67.74106705824768</x:v>
      </x:c>
      <x:c r="O418" t="n">
        <x:v>1.246872</x:v>
      </x:c>
      <x:c r="P418" t="n">
        <x:v>2</x:v>
      </x:c>
      <x:c r="Q418" s="28" t="n">
        <x:v>0</x:v>
      </x:c>
      <x:c r="R418" s="28" t="n">
        <x:v>0</x:v>
      </x:c>
    </x:row>
    <x:row r="419">
      <x:c r="A419" t="str">
        <x:v>2026-07-27</x:v>
      </x:c>
      <x:c r="B419" t="str">
        <x:v>449281783851362</x:v>
      </x:c>
      <x:c r="C419" t="str">
        <x:v>Doruk Hastaneleri - SİNA ÖZEL Sağlık Hizmetleri A.ş</x:v>
      </x:c>
      <x:c r="D419" t="str">
        <x:v>120220089108220399</x:v>
      </x:c>
      <x:c r="E419" t="str">
        <x:v>Checkup - genel - lead</x:v>
      </x:c>
      <x:c r="F419" t="str">
        <x:v>OUTCOME_LEADS</x:v>
      </x:c>
      <x:c r="G419" t="n">
        <x:v>3831</x:v>
      </x:c>
      <x:c r="H419" s="28" t="n">
        <x:v>745.76</x:v>
      </x:c>
      <x:c r="I419" t="n">
        <x:v>5290</x:v>
      </x:c>
      <x:c r="J419" t="n">
        <x:v>42</x:v>
      </x:c>
      <x:c r="K419" t="n">
        <x:v>24</x:v>
      </x:c>
      <x:c r="L419" s="27" t="n">
        <x:f>IFERROR(K419/I419,0)</x:f>
        <x:v>0.004536862003780718</x:v>
      </x:c>
      <x:c r="M419" s="28" t="n">
        <x:f>IFERROR(H419/K419,0)</x:f>
        <x:v>31.073333333333334</x:v>
      </x:c>
      <x:c r="N419" s="28" t="n">
        <x:f>IFERROR(H419/I419*1000,0)</x:f>
        <x:v>140.97542533081287</x:v>
      </x:c>
      <x:c r="O419" t="n">
        <x:v>1.380841</x:v>
      </x:c>
      <x:c r="P419" t="n">
        <x:v>3</x:v>
      </x:c>
      <x:c r="Q419" s="28" t="n">
        <x:v>0</x:v>
      </x:c>
      <x:c r="R419" s="28" t="n">
        <x:v>0</x:v>
      </x:c>
    </x:row>
    <x:row r="420">
      <x:c r="A420" t="str">
        <x:v>2026-07-27</x:v>
      </x:c>
      <x:c r="B420" t="str">
        <x:v>449281783851362</x:v>
      </x:c>
      <x:c r="C420" t="str">
        <x:v>Doruk Hastaneleri - SİNA ÖZEL Sağlık Hizmetleri A.ş</x:v>
      </x:c>
      <x:c r="D420" t="str">
        <x:v>120242415465180399</x:v>
      </x:c>
      <x:c r="E420" t="str">
        <x:v>Gebe-Doğum Form Kampanyası</x:v>
      </x:c>
      <x:c r="F420" t="str">
        <x:v>OUTCOME_LEADS</x:v>
      </x:c>
      <x:c r="G420" t="n">
        <x:v>37479</x:v>
      </x:c>
      <x:c r="H420" s="28" t="n">
        <x:v>6120.06</x:v>
      </x:c>
      <x:c r="I420" t="n">
        <x:v>82309</x:v>
      </x:c>
      <x:c r="J420" t="n">
        <x:v>365</x:v>
      </x:c>
      <x:c r="K420" t="n">
        <x:v>231</x:v>
      </x:c>
      <x:c r="L420" s="27" t="n">
        <x:f>IFERROR(K420/I420,0)</x:f>
        <x:v>0.002806497466862676</x:v>
      </x:c>
      <x:c r="M420" s="28" t="n">
        <x:f>IFERROR(H420/K420,0)</x:f>
        <x:v>26.493766233766234</x:v>
      </x:c>
      <x:c r="N420" s="28" t="n">
        <x:f>IFERROR(H420/I420*1000,0)</x:f>
        <x:v>74.35468782271684</x:v>
      </x:c>
      <x:c r="O420" t="n">
        <x:v>2.196137</x:v>
      </x:c>
      <x:c r="P420" t="n">
        <x:v>23</x:v>
      </x:c>
      <x:c r="Q420" s="28" t="n">
        <x:v>0</x:v>
      </x:c>
      <x:c r="R420" s="28" t="n">
        <x:v>0</x:v>
      </x:c>
    </x:row>
    <x:row r="421">
      <x:c r="A421" t="str">
        <x:v>2026-07-27</x:v>
      </x:c>
      <x:c r="B421" t="str">
        <x:v>449281783851362</x:v>
      </x:c>
      <x:c r="C421" t="str">
        <x:v>Doruk Hastaneleri - SİNA ÖZEL Sağlık Hizmetleri A.ş</x:v>
      </x:c>
      <x:c r="D421" t="str">
        <x:v>120244050701710399</x:v>
      </x:c>
      <x:c r="E421" t="str">
        <x:v>Uzman Hekim Başvuru</x:v>
      </x:c>
      <x:c r="F421" t="str">
        <x:v>OUTCOME_LEADS</x:v>
      </x:c>
      <x:c r="G421" t="n">
        <x:v>5015</x:v>
      </x:c>
      <x:c r="H421" s="28" t="n">
        <x:v>826.26</x:v>
      </x:c>
      <x:c r="I421" t="n">
        <x:v>7004</x:v>
      </x:c>
      <x:c r="J421" t="n">
        <x:v>85</x:v>
      </x:c>
      <x:c r="K421" t="n">
        <x:v>46</x:v>
      </x:c>
      <x:c r="L421" s="27" t="n">
        <x:f>IFERROR(K421/I421,0)</x:f>
        <x:v>0.0065676756139348945</x:v>
      </x:c>
      <x:c r="M421" s="28" t="n">
        <x:f>IFERROR(H421/K421,0)</x:f>
        <x:v>17.96217391304348</x:v>
      </x:c>
      <x:c r="N421" s="28" t="n">
        <x:f>IFERROR(H421/I421*1000,0)</x:f>
        <x:v>117.96973158195317</x:v>
      </x:c>
      <x:c r="O421" t="n">
        <x:v>1.39661</x:v>
      </x:c>
      <x:c r="P421" t="n">
        <x:v>2</x:v>
      </x:c>
      <x:c r="Q421" s="28" t="n">
        <x:v>0</x:v>
      </x:c>
      <x:c r="R421" s="28" t="n">
        <x:v>0</x:v>
      </x:c>
    </x:row>
    <x:row r="422">
      <x:c r="A422" t="str">
        <x:v>2026-07-27</x:v>
      </x:c>
      <x:c r="B422" t="str">
        <x:v>449281783851362</x:v>
      </x:c>
      <x:c r="C422" t="str">
        <x:v>Doruk Hastaneleri - SİNA ÖZEL Sağlık Hizmetleri A.ş</x:v>
      </x:c>
      <x:c r="D422" t="str">
        <x:v>120246476228800399</x:v>
      </x:c>
      <x:c r="E422" t="str">
        <x:v>FTR Yatılı - lead</x:v>
      </x:c>
      <x:c r="F422" t="str">
        <x:v>OUTCOME_LEADS</x:v>
      </x:c>
      <x:c r="G422" t="n">
        <x:v>41741</x:v>
      </x:c>
      <x:c r="H422" s="28" t="n">
        <x:v>3070.07</x:v>
      </x:c>
      <x:c r="I422" t="n">
        <x:v>47185</x:v>
      </x:c>
      <x:c r="J422" t="n">
        <x:v>306</x:v>
      </x:c>
      <x:c r="K422" t="n">
        <x:v>157</x:v>
      </x:c>
      <x:c r="L422" s="27" t="n">
        <x:f>IFERROR(K422/I422,0)</x:f>
        <x:v>0.0033273286001907387</x:v>
      </x:c>
      <x:c r="M422" s="28" t="n">
        <x:f>IFERROR(H422/K422,0)</x:f>
        <x:v>19.55458598726115</x:v>
      </x:c>
      <x:c r="N422" s="28" t="n">
        <x:f>IFERROR(H422/I422*1000,0)</x:f>
        <x:v>65.06453322030306</x:v>
      </x:c>
      <x:c r="O422" t="n">
        <x:v>1.130423</x:v>
      </x:c>
      <x:c r="P422" t="n">
        <x:v>6</x:v>
      </x:c>
      <x:c r="Q422" s="28" t="n">
        <x:v>0</x:v>
      </x:c>
      <x:c r="R422" s="28" t="n">
        <x:v>0</x:v>
      </x:c>
    </x:row>
    <x:row r="423">
      <x:c r="A423" t="str">
        <x:v>2026-07-27</x:v>
      </x:c>
      <x:c r="B423" t="str">
        <x:v>449281783851362</x:v>
      </x:c>
      <x:c r="C423" t="str">
        <x:v>Doruk Hastaneleri - SİNA ÖZEL Sağlık Hizmetleri A.ş</x:v>
      </x:c>
      <x:c r="D423" t="str">
        <x:v>120246691590090399</x:v>
      </x:c>
      <x:c r="E423" t="str">
        <x:v>Hemşire İş Başvuru - lead</x:v>
      </x:c>
      <x:c r="F423" t="str">
        <x:v>OUTCOME_LEADS</x:v>
      </x:c>
      <x:c r="G423" t="n">
        <x:v>7702</x:v>
      </x:c>
      <x:c r="H423" s="28" t="n">
        <x:v>739.71</x:v>
      </x:c>
      <x:c r="I423" t="n">
        <x:v>13000</x:v>
      </x:c>
      <x:c r="J423" t="n">
        <x:v>101</x:v>
      </x:c>
      <x:c r="K423" t="n">
        <x:v>65</x:v>
      </x:c>
      <x:c r="L423" s="27" t="n">
        <x:f>IFERROR(K423/I423,0)</x:f>
        <x:v>0.005</x:v>
      </x:c>
      <x:c r="M423" s="28" t="n">
        <x:f>IFERROR(H423/K423,0)</x:f>
        <x:v>11.380153846153847</x:v>
      </x:c>
      <x:c r="N423" s="28" t="n">
        <x:f>IFERROR(H423/I423*1000,0)</x:f>
        <x:v>56.900769230769235</x:v>
      </x:c>
      <x:c r="O423" t="n">
        <x:v>1.687873</x:v>
      </x:c>
      <x:c r="P423" t="n">
        <x:v>3</x:v>
      </x:c>
      <x:c r="Q423" s="28" t="n">
        <x:v>0</x:v>
      </x:c>
      <x:c r="R423" s="28" t="n">
        <x:v>0</x:v>
      </x:c>
    </x:row>
    <x:row r="424">
      <x:c r="A424" t="str">
        <x:v>2026-07-27</x:v>
      </x:c>
      <x:c r="B424" t="str">
        <x:v>449281783851362</x:v>
      </x:c>
      <x:c r="C424" t="str">
        <x:v>Doruk Hastaneleri - SİNA ÖZEL Sağlık Hizmetleri A.ş</x:v>
      </x:c>
      <x:c r="D424" t="str">
        <x:v>120246924981440399</x:v>
      </x:c>
      <x:c r="E424" t="str">
        <x:v>ÖSS-TSS - marka bilinirliği</x:v>
      </x:c>
      <x:c r="F424" t="str">
        <x:v>OUTCOME_AWARENESS</x:v>
      </x:c>
      <x:c r="G424" t="n">
        <x:v>109228</x:v>
      </x:c>
      <x:c r="H424" s="28" t="n">
        <x:v>1361.74</x:v>
      </x:c>
      <x:c r="I424" t="n">
        <x:v>114366</x:v>
      </x:c>
      <x:c r="J424" t="n">
        <x:v>152</x:v>
      </x:c>
      <x:c r="K424" t="n">
        <x:v>32</x:v>
      </x:c>
      <x:c r="L424" s="27" t="n">
        <x:f>IFERROR(K424/I424,0)</x:f>
        <x:v>0.00027980343808474547</x:v>
      </x:c>
      <x:c r="M424" s="28" t="n">
        <x:f>IFERROR(H424/K424,0)</x:f>
        <x:v>42.554375</x:v>
      </x:c>
      <x:c r="N424" s="28" t="n">
        <x:f>IFERROR(H424/I424*1000,0)</x:f>
        <x:v>11.90686043054754</x:v>
      </x:c>
      <x:c r="O424" t="n">
        <x:v>1.047039</x:v>
      </x:c>
      <x:c r="P424" t="n">
        <x:v>0</x:v>
      </x:c>
      <x:c r="Q424" s="28" t="n">
        <x:v>0</x:v>
      </x:c>
      <x:c r="R424" s="28" t="n">
        <x:v>0</x:v>
      </x:c>
    </x:row>
    <x:row r="425">
      <x:c r="A425" t="str">
        <x:v>2026-07-27</x:v>
      </x:c>
      <x:c r="B425" t="str">
        <x:v>449281783851362</x:v>
      </x:c>
      <x:c r="C425" t="str">
        <x:v>Doruk Hastaneleri - SİNA ÖZEL Sağlık Hizmetleri A.ş</x:v>
      </x:c>
      <x:c r="D425" t="str">
        <x:v>120247034876600399</x:v>
      </x:c>
      <x:c r="E425" t="str">
        <x:v>Gebe-Doğum Bilinirlik</x:v>
      </x:c>
      <x:c r="F425" t="str">
        <x:v>OUTCOME_AWARENESS</x:v>
      </x:c>
      <x:c r="G425" t="n">
        <x:v>70590</x:v>
      </x:c>
      <x:c r="H425" s="28" t="n">
        <x:v>677.79</x:v>
      </x:c>
      <x:c r="I425" t="n">
        <x:v>72852</x:v>
      </x:c>
      <x:c r="J425" t="n">
        <x:v>38</x:v>
      </x:c>
      <x:c r="K425" t="n">
        <x:v>0</x:v>
      </x:c>
      <x:c r="L425" s="27" t="n">
        <x:f>IFERROR(K425/I425,0)</x:f>
        <x:v>0</x:v>
      </x:c>
      <x:c r="M425" s="28" t="n">
        <x:f>IFERROR(H425/K425,0)</x:f>
        <x:v>0</x:v>
      </x:c>
      <x:c r="N425" s="28" t="n">
        <x:f>IFERROR(H425/I425*1000,0)</x:f>
        <x:v>9.30365672871026</x:v>
      </x:c>
      <x:c r="O425" t="n">
        <x:v>1.032044</x:v>
      </x:c>
      <x:c r="P425" t="n">
        <x:v>0</x:v>
      </x:c>
      <x:c r="Q425" s="28" t="n">
        <x:v>0</x:v>
      </x:c>
      <x:c r="R425" s="28" t="n">
        <x:v>0</x:v>
      </x:c>
    </x:row>
    <x:row r="426">
      <x:c r="A426" t="str">
        <x:v>2026-07-27</x:v>
      </x:c>
      <x:c r="B426" t="str">
        <x:v>449281783851362</x:v>
      </x:c>
      <x:c r="C426" t="str">
        <x:v>Doruk Hastaneleri - SİNA ÖZEL Sağlık Hizmetleri A.ş</x:v>
      </x:c>
      <x:c r="D426" t="str">
        <x:v>120248812698040399</x:v>
      </x:c>
      <x:c r="E426" t="str">
        <x:v>ABO / Medikal Estetik lead / 16.04.2026</x:v>
      </x:c>
      <x:c r="F426" t="str">
        <x:v>OUTCOME_LEADS</x:v>
      </x:c>
      <x:c r="G426" t="n">
        <x:v>13952</x:v>
      </x:c>
      <x:c r="H426" s="28" t="n">
        <x:v>1913.31</x:v>
      </x:c>
      <x:c r="I426" t="n">
        <x:v>17801</x:v>
      </x:c>
      <x:c r="J426" t="n">
        <x:v>190</x:v>
      </x:c>
      <x:c r="K426" t="n">
        <x:v>85</x:v>
      </x:c>
      <x:c r="L426" s="27" t="n">
        <x:f>IFERROR(K426/I426,0)</x:f>
        <x:v>0.004775012639739341</x:v>
      </x:c>
      <x:c r="M426" s="28" t="n">
        <x:f>IFERROR(H426/K426,0)</x:f>
        <x:v>22.509529411764706</x:v>
      </x:c>
      <x:c r="N426" s="28" t="n">
        <x:f>IFERROR(H426/I426*1000,0)</x:f>
        <x:v>107.48328745576092</x:v>
      </x:c>
      <x:c r="O426" t="n">
        <x:v>1.275874</x:v>
      </x:c>
      <x:c r="P426" t="n">
        <x:v>15</x:v>
      </x:c>
      <x:c r="Q426" s="28" t="n">
        <x:v>0</x:v>
      </x:c>
      <x:c r="R426" s="28" t="n">
        <x:v>0</x:v>
      </x:c>
    </x:row>
    <x:row r="427">
      <x:c r="A427" t="str">
        <x:v>2026-07-27</x:v>
      </x:c>
      <x:c r="B427" t="str">
        <x:v>449281783851362</x:v>
      </x:c>
      <x:c r="C427" t="str">
        <x:v>Doruk Hastaneleri - SİNA ÖZEL Sağlık Hizmetleri A.ş</x:v>
      </x:c>
      <x:c r="D427" t="str">
        <x:v>120249061996540399</x:v>
      </x:c>
      <x:c r="E427" t="str">
        <x:v>Doktor - Bilinirlik Kampanyası - Nilüfer</x:v>
      </x:c>
      <x:c r="F427" t="str">
        <x:v>OUTCOME_AWARENESS</x:v>
      </x:c>
      <x:c r="G427" t="n">
        <x:v>404008</x:v>
      </x:c>
      <x:c r="H427" s="28" t="n">
        <x:v>4201.59</x:v>
      </x:c>
      <x:c r="I427" t="n">
        <x:v>458542</x:v>
      </x:c>
      <x:c r="J427" t="n">
        <x:v>319</x:v>
      </x:c>
      <x:c r="K427" t="n">
        <x:v>0</x:v>
      </x:c>
      <x:c r="L427" s="27" t="n">
        <x:f>IFERROR(K427/I427,0)</x:f>
        <x:v>0</x:v>
      </x:c>
      <x:c r="M427" s="28" t="n">
        <x:f>IFERROR(H427/K427,0)</x:f>
        <x:v>0</x:v>
      </x:c>
      <x:c r="N427" s="28" t="n">
        <x:f>IFERROR(H427/I427*1000,0)</x:f>
        <x:v>9.162933820675097</x:v>
      </x:c>
      <x:c r="O427" t="n">
        <x:v>1.134982</x:v>
      </x:c>
      <x:c r="P427" t="n">
        <x:v>0</x:v>
      </x:c>
      <x:c r="Q427" s="28" t="n">
        <x:v>0</x:v>
      </x:c>
      <x:c r="R427" s="28" t="n">
        <x:v>0</x:v>
      </x:c>
    </x:row>
    <x:row r="428">
      <x:c r="A428" t="str">
        <x:v>2026-07-27</x:v>
      </x:c>
      <x:c r="B428" t="str">
        <x:v>449281783851362</x:v>
      </x:c>
      <x:c r="C428" t="str">
        <x:v>Doruk Hastaneleri - SİNA ÖZEL Sağlık Hizmetleri A.ş</x:v>
      </x:c>
      <x:c r="D428" t="str">
        <x:v>120249614228610399</x:v>
      </x:c>
      <x:c r="E428" t="str">
        <x:v>Instagram gönderisi: Bir sezon boyunca ortaya...</x:v>
      </x:c>
      <x:c r="F428" t="str">
        <x:v>LINK_CLICKS</x:v>
      </x:c>
      <x:c r="G428" t="n">
        <x:v>42631</x:v>
      </x:c>
      <x:c r="H428" s="28" t="n">
        <x:v>2721.75</x:v>
      </x:c>
      <x:c r="I428" t="n">
        <x:v>48541</x:v>
      </x:c>
      <x:c r="J428" t="n">
        <x:v>598</x:v>
      </x:c>
      <x:c r="K428" t="n">
        <x:v>605</x:v>
      </x:c>
      <x:c r="L428" s="27" t="n">
        <x:f>IFERROR(K428/I428,0)</x:f>
        <x:v>0.01246369048845306</x:v>
      </x:c>
      <x:c r="M428" s="28" t="n">
        <x:f>IFERROR(H428/K428,0)</x:f>
        <x:v>4.498760330578512</x:v>
      </x:c>
      <x:c r="N428" s="28" t="n">
        <x:f>IFERROR(H428/I428*1000,0)</x:f>
        <x:v>56.07115634206135</x:v>
      </x:c>
      <x:c r="O428" t="n">
        <x:v>1.138632</x:v>
      </x:c>
      <x:c r="P428" t="n">
        <x:v>0</x:v>
      </x:c>
      <x:c r="Q428" s="28" t="n">
        <x:v>0</x:v>
      </x:c>
      <x:c r="R428" s="28" t="n">
        <x:v>0</x:v>
      </x:c>
    </x:row>
    <x:row r="429">
      <x:c r="A429" t="str">
        <x:v>2026-07-27</x:v>
      </x:c>
      <x:c r="B429" t="str">
        <x:v>449281783851362</x:v>
      </x:c>
      <x:c r="C429" t="str">
        <x:v>Doruk Hastaneleri - SİNA ÖZEL Sağlık Hizmetleri A.ş</x:v>
      </x:c>
      <x:c r="D429" t="str">
        <x:v>120251414264130399</x:v>
      </x:c>
      <x:c r="E429" t="str">
        <x:v>Prostat Checkup - lead</x:v>
      </x:c>
      <x:c r="F429" t="str">
        <x:v>OUTCOME_LEADS</x:v>
      </x:c>
      <x:c r="G429" t="n">
        <x:v>6062</x:v>
      </x:c>
      <x:c r="H429" s="28" t="n">
        <x:v>466.6</x:v>
      </x:c>
      <x:c r="I429" t="n">
        <x:v>7431</x:v>
      </x:c>
      <x:c r="J429" t="n">
        <x:v>283</x:v>
      </x:c>
      <x:c r="K429" t="n">
        <x:v>82</x:v>
      </x:c>
      <x:c r="L429" s="27" t="n">
        <x:f>IFERROR(K429/I429,0)</x:f>
        <x:v>0.011034853990041718</x:v>
      </x:c>
      <x:c r="M429" s="28" t="n">
        <x:f>IFERROR(H429/K429,0)</x:f>
        <x:v>5.690243902439025</x:v>
      </x:c>
      <x:c r="N429" s="28" t="n">
        <x:f>IFERROR(H429/I429*1000,0)</x:f>
        <x:v>62.79101063113983</x:v>
      </x:c>
      <x:c r="O429" t="n">
        <x:v>1.225833</x:v>
      </x:c>
      <x:c r="P429" t="n">
        <x:v>6</x:v>
      </x:c>
      <x:c r="Q429" s="28" t="n">
        <x:v>0</x:v>
      </x:c>
      <x:c r="R429" s="28" t="n">
        <x:v>0</x:v>
      </x:c>
    </x:row>
    <x:row r="430">
      <x:c r="A430" t="str">
        <x:v>2026-07-27</x:v>
      </x:c>
      <x:c r="B430" t="str">
        <x:v>449281783851362</x:v>
      </x:c>
      <x:c r="C430" t="str">
        <x:v>Doruk Hastaneleri - SİNA ÖZEL Sağlık Hizmetleri A.ş</x:v>
      </x:c>
      <x:c r="D430" t="str">
        <x:v>120252323141170399</x:v>
      </x:c>
      <x:c r="E430" t="str">
        <x:v>Instagram gönderisi: Medikal estetik alanındaki...</x:v>
      </x:c>
      <x:c r="F430" t="str">
        <x:v>LINK_CLICKS</x:v>
      </x:c>
      <x:c r="G430" t="n">
        <x:v>4908</x:v>
      </x:c>
      <x:c r="H430" s="28" t="n">
        <x:v>313.55</x:v>
      </x:c>
      <x:c r="I430" t="n">
        <x:v>5392</x:v>
      </x:c>
      <x:c r="J430" t="n">
        <x:v>95</x:v>
      </x:c>
      <x:c r="K430" t="n">
        <x:v>93</x:v>
      </x:c>
      <x:c r="L430" s="27" t="n">
        <x:f>IFERROR(K430/I430,0)</x:f>
        <x:v>0.017247774480712165</x:v>
      </x:c>
      <x:c r="M430" s="28" t="n">
        <x:f>IFERROR(H430/K430,0)</x:f>
        <x:v>3.371505376344086</x:v>
      </x:c>
      <x:c r="N430" s="28" t="n">
        <x:f>IFERROR(H430/I430*1000,0)</x:f>
        <x:v>58.150964391691396</x:v>
      </x:c>
      <x:c r="O430" t="n">
        <x:v>1.098615</x:v>
      </x:c>
      <x:c r="P430" t="n">
        <x:v>0</x:v>
      </x:c>
      <x:c r="Q430" s="28" t="n">
        <x:v>0</x:v>
      </x:c>
      <x:c r="R430" s="28" t="n">
        <x:v>0</x:v>
      </x:c>
    </x:row>
    <x:row r="431">
      <x:c r="A431" t="str">
        <x:v>2026-07-27</x:v>
      </x:c>
      <x:c r="B431" t="str">
        <x:v>449281783851362</x:v>
      </x:c>
      <x:c r="C431" t="str">
        <x:v>Doruk Hastaneleri - SİNA ÖZEL Sağlık Hizmetleri A.ş</x:v>
      </x:c>
      <x:c r="D431" t="str">
        <x:v>120255099624540399</x:v>
      </x:c>
      <x:c r="E431" t="str">
        <x:v>Instagram gönderisi: Doruk Sağlık Grubu olarak,...</x:v>
      </x:c>
      <x:c r="F431" t="str">
        <x:v>LINK_CLICKS</x:v>
      </x:c>
      <x:c r="G431" t="n">
        <x:v>27932</x:v>
      </x:c>
      <x:c r="H431" s="28" t="n">
        <x:v>2101.18</x:v>
      </x:c>
      <x:c r="I431" t="n">
        <x:v>30655</x:v>
      </x:c>
      <x:c r="J431" t="n">
        <x:v>568</x:v>
      </x:c>
      <x:c r="K431" t="n">
        <x:v>572</x:v>
      </x:c>
      <x:c r="L431" s="27" t="n">
        <x:f>IFERROR(K431/I431,0)</x:f>
        <x:v>0.018659272549339422</x:v>
      </x:c>
      <x:c r="M431" s="28" t="n">
        <x:f>IFERROR(H431/K431,0)</x:f>
        <x:v>3.6733916083916083</x:v>
      </x:c>
      <x:c r="N431" s="28" t="n">
        <x:f>IFERROR(H431/I431*1000,0)</x:f>
        <x:v>68.54281520143532</x:v>
      </x:c>
      <x:c r="O431" t="n">
        <x:v>1.097487</x:v>
      </x:c>
      <x:c r="P431" t="n">
        <x:v>0</x:v>
      </x:c>
      <x:c r="Q431" s="28" t="n">
        <x:v>0</x:v>
      </x:c>
      <x:c r="R431" s="28" t="n">
        <x:v>0</x:v>
      </x:c>
    </x:row>
    <x:row r="432">
      <x:c r="A432" t="str">
        <x:v>2026-07-27</x:v>
      </x:c>
      <x:c r="B432" t="str">
        <x:v>449281783851362</x:v>
      </x:c>
      <x:c r="C432" t="str">
        <x:v>Doruk Hastaneleri - SİNA ÖZEL Sağlık Hizmetleri A.ş</x:v>
      </x:c>
      <x:c r="D432" t="str">
        <x:v>120255158812950399</x:v>
      </x:c>
      <x:c r="E432" t="str">
        <x:v>Doktor - Bilinirlik Kampanyası - Yıldırım</x:v>
      </x:c>
      <x:c r="F432" t="str">
        <x:v>OUTCOME_AWARENESS</x:v>
      </x:c>
      <x:c r="G432" t="n">
        <x:v>212923</x:v>
      </x:c>
      <x:c r="H432" s="28" t="n">
        <x:v>2078.52</x:v>
      </x:c>
      <x:c r="I432" t="n">
        <x:v>227458</x:v>
      </x:c>
      <x:c r="J432" t="n">
        <x:v>144</x:v>
      </x:c>
      <x:c r="K432" t="n">
        <x:v>0</x:v>
      </x:c>
      <x:c r="L432" s="27" t="n">
        <x:f>IFERROR(K432/I432,0)</x:f>
        <x:v>0</x:v>
      </x:c>
      <x:c r="M432" s="28" t="n">
        <x:f>IFERROR(H432/K432,0)</x:f>
        <x:v>0</x:v>
      </x:c>
      <x:c r="N432" s="28" t="n">
        <x:f>IFERROR(H432/I432*1000,0)</x:f>
        <x:v>9.138038670875503</x:v>
      </x:c>
      <x:c r="O432" t="n">
        <x:v>1.068264</x:v>
      </x:c>
      <x:c r="P432" t="n">
        <x:v>0</x:v>
      </x:c>
      <x:c r="Q432" s="28" t="n">
        <x:v>0</x:v>
      </x:c>
      <x:c r="R432" s="28" t="n">
        <x:v>0</x:v>
      </x:c>
    </x:row>
    <x:row r="433">
      <x:c r="A433" t="str">
        <x:v>2026-07-27</x:v>
      </x:c>
      <x:c r="B433" t="str">
        <x:v>449281783851362</x:v>
      </x:c>
      <x:c r="C433" t="str">
        <x:v>Doruk Hastaneleri - SİNA ÖZEL Sağlık Hizmetleri A.ş</x:v>
      </x:c>
      <x:c r="D433" t="str">
        <x:v>120255738261970399</x:v>
      </x:c>
      <x:c r="E433" t="str">
        <x:v>Instagram gönderisi: Aşılama tedavisi, gebelik...</x:v>
      </x:c>
      <x:c r="F433" t="str">
        <x:v>LINK_CLICKS</x:v>
      </x:c>
      <x:c r="G433" t="n">
        <x:v>16549</x:v>
      </x:c>
      <x:c r="H433" s="28" t="n">
        <x:v>1422.16</x:v>
      </x:c>
      <x:c r="I433" t="n">
        <x:v>17565</x:v>
      </x:c>
      <x:c r="J433" t="n">
        <x:v>171</x:v>
      </x:c>
      <x:c r="K433" t="n">
        <x:v>173</x:v>
      </x:c>
      <x:c r="L433" s="27" t="n">
        <x:f>IFERROR(K433/I433,0)</x:f>
        <x:v>0.009849131796185597</x:v>
      </x:c>
      <x:c r="M433" s="28" t="n">
        <x:f>IFERROR(H433/K433,0)</x:f>
        <x:v>8.220578034682081</x:v>
      </x:c>
      <x:c r="N433" s="28" t="n">
        <x:f>IFERROR(H433/I433*1000,0)</x:f>
        <x:v>80.96555650441219</x:v>
      </x:c>
      <x:c r="O433" t="n">
        <x:v>1.061393</x:v>
      </x:c>
      <x:c r="P433" t="n">
        <x:v>0</x:v>
      </x:c>
      <x:c r="Q433" s="28" t="n">
        <x:v>0</x:v>
      </x:c>
      <x:c r="R433" s="28" t="n">
        <x:v>0</x:v>
      </x:c>
    </x:row>
    <x:row r="434">
      <x:c r="A434" t="str">
        <x:v>2026-07-27</x:v>
      </x:c>
      <x:c r="B434" t="str">
        <x:v>449281783851362</x:v>
      </x:c>
      <x:c r="C434" t="str">
        <x:v>Doruk Hastaneleri - SİNA ÖZEL Sağlık Hizmetleri A.ş</x:v>
      </x:c>
      <x:c r="D434" t="str">
        <x:v>120255738303970399</x:v>
      </x:c>
      <x:c r="E434" t="str">
        <x:v>Instagram gönderisi: 🏅 BURSA'DA BİR İLK
Özel...</x:v>
      </x:c>
      <x:c r="F434" t="str">
        <x:v>LINK_CLICKS</x:v>
      </x:c>
      <x:c r="G434" t="n">
        <x:v>7318</x:v>
      </x:c>
      <x:c r="H434" s="28" t="n">
        <x:v>656.13</x:v>
      </x:c>
      <x:c r="I434" t="n">
        <x:v>7679</x:v>
      </x:c>
      <x:c r="J434" t="n">
        <x:v>224</x:v>
      </x:c>
      <x:c r="K434" t="n">
        <x:v>226</x:v>
      </x:c>
      <x:c r="L434" s="27" t="n">
        <x:f>IFERROR(K434/I434,0)</x:f>
        <x:v>0.02943091548378695</x:v>
      </x:c>
      <x:c r="M434" s="28" t="n">
        <x:f>IFERROR(H434/K434,0)</x:f>
        <x:v>2.903230088495575</x:v>
      </x:c>
      <x:c r="N434" s="28" t="n">
        <x:f>IFERROR(H434/I434*1000,0)</x:f>
        <x:v>85.44471936450059</x:v>
      </x:c>
      <x:c r="O434" t="n">
        <x:v>1.04933</x:v>
      </x:c>
      <x:c r="P434" t="n">
        <x:v>0</x:v>
      </x:c>
      <x:c r="Q434" s="28" t="n">
        <x:v>0</x:v>
      </x:c>
      <x:c r="R434" s="28" t="n">
        <x:v>0</x:v>
      </x:c>
    </x:row>
    <x:row r="435">
      <x:c r="A435" t="str">
        <x:v>2026-07-27</x:v>
      </x:c>
      <x:c r="B435" t="str">
        <x:v>449281783851362</x:v>
      </x:c>
      <x:c r="C435" t="str">
        <x:v>Doruk Hastaneleri - SİNA ÖZEL Sağlık Hizmetleri A.ş</x:v>
      </x:c>
      <x:c r="D435" t="str">
        <x:v>120255738326270399</x:v>
      </x:c>
      <x:c r="E435" t="str">
        <x:v>Instagram gönderisi: Gebelikte bel ağrısı sık...</x:v>
      </x:c>
      <x:c r="F435" t="str">
        <x:v>LINK_CLICKS</x:v>
      </x:c>
      <x:c r="G435" t="n">
        <x:v>12057</x:v>
      </x:c>
      <x:c r="H435" s="28" t="n">
        <x:v>898.33</x:v>
      </x:c>
      <x:c r="I435" t="n">
        <x:v>12990</x:v>
      </x:c>
      <x:c r="J435" t="n">
        <x:v>168</x:v>
      </x:c>
      <x:c r="K435" t="n">
        <x:v>168</x:v>
      </x:c>
      <x:c r="L435" s="27" t="n">
        <x:f>IFERROR(K435/I435,0)</x:f>
        <x:v>0.012933025404157044</x:v>
      </x:c>
      <x:c r="M435" s="28" t="n">
        <x:f>IFERROR(H435/K435,0)</x:f>
        <x:v>5.347202380952381</x:v>
      </x:c>
      <x:c r="N435" s="28" t="n">
        <x:f>IFERROR(H435/I435*1000,0)</x:f>
        <x:v>69.15550423402618</x:v>
      </x:c>
      <x:c r="O435" t="n">
        <x:v>1.077382</x:v>
      </x:c>
      <x:c r="P435" t="n">
        <x:v>0</x:v>
      </x:c>
      <x:c r="Q435" s="28" t="n">
        <x:v>0</x:v>
      </x:c>
      <x:c r="R435" s="28" t="n">
        <x:v>0</x:v>
      </x:c>
    </x:row>
    <x:row r="436">
      <x:c r="A436" t="str">
        <x:v>2026-07-27</x:v>
      </x:c>
      <x:c r="B436" t="str">
        <x:v>449281783851362</x:v>
      </x:c>
      <x:c r="C436" t="str">
        <x:v>Doruk Hastaneleri - SİNA ÖZEL Sağlık Hizmetleri A.ş</x:v>
      </x:c>
      <x:c r="D436" t="str">
        <x:v>120255738351260399</x:v>
      </x:c>
      <x:c r="E436" t="str">
        <x:v>Instagram gönderisi: İlişki sonrasında idrar...</x:v>
      </x:c>
      <x:c r="F436" t="str">
        <x:v>LINK_CLICKS</x:v>
      </x:c>
      <x:c r="G436" t="n">
        <x:v>10387</x:v>
      </x:c>
      <x:c r="H436" s="28" t="n">
        <x:v>971.29</x:v>
      </x:c>
      <x:c r="I436" t="n">
        <x:v>10944</x:v>
      </x:c>
      <x:c r="J436" t="n">
        <x:v>180</x:v>
      </x:c>
      <x:c r="K436" t="n">
        <x:v>176</x:v>
      </x:c>
      <x:c r="L436" s="27" t="n">
        <x:f>IFERROR(K436/I436,0)</x:f>
        <x:v>0.01608187134502924</x:v>
      </x:c>
      <x:c r="M436" s="28" t="n">
        <x:f>IFERROR(H436/K436,0)</x:f>
        <x:v>5.518693181818182</x:v>
      </x:c>
      <x:c r="N436" s="28" t="n">
        <x:f>IFERROR(H436/I436*1000,0)</x:f>
        <x:v>88.75091374269005</x:v>
      </x:c>
      <x:c r="O436" t="n">
        <x:v>1.053625</x:v>
      </x:c>
      <x:c r="P436" t="n">
        <x:v>0</x:v>
      </x:c>
      <x:c r="Q436" s="28" t="n">
        <x:v>0</x:v>
      </x:c>
      <x:c r="R436" s="28" t="n">
        <x:v>0</x:v>
      </x:c>
    </x:row>
    <x:row r="437">
      <x:c r="A437" t="str">
        <x:v>2026-07-27</x:v>
      </x:c>
      <x:c r="B437" t="str">
        <x:v>449281783851362</x:v>
      </x:c>
      <x:c r="C437" t="str">
        <x:v>Doruk Hastaneleri - SİNA ÖZEL Sağlık Hizmetleri A.ş</x:v>
      </x:c>
      <x:c r="D437" t="str">
        <x:v>120255738376560399</x:v>
      </x:c>
      <x:c r="E437" t="str">
        <x:v>Instagram gönderisi: Ablasyon tedavisi, vücutta...</x:v>
      </x:c>
      <x:c r="F437" t="str">
        <x:v>LINK_CLICKS</x:v>
      </x:c>
      <x:c r="G437" t="n">
        <x:v>9925</x:v>
      </x:c>
      <x:c r="H437" s="28" t="n">
        <x:v>1237.02</x:v>
      </x:c>
      <x:c r="I437" t="n">
        <x:v>10577</x:v>
      </x:c>
      <x:c r="J437" t="n">
        <x:v>171</x:v>
      </x:c>
      <x:c r="K437" t="n">
        <x:v>178</x:v>
      </x:c>
      <x:c r="L437" s="27" t="n">
        <x:f>IFERROR(K437/I437,0)</x:f>
        <x:v>0.016828968516592605</x:v>
      </x:c>
      <x:c r="M437" s="28" t="n">
        <x:f>IFERROR(H437/K437,0)</x:f>
        <x:v>6.949550561797753</x:v>
      </x:c>
      <x:c r="N437" s="28" t="n">
        <x:f>IFERROR(H437/I437*1000,0)</x:f>
        <x:v>116.95376760896283</x:v>
      </x:c>
      <x:c r="O437" t="n">
        <x:v>1.065693</x:v>
      </x:c>
      <x:c r="P437" t="n">
        <x:v>0</x:v>
      </x:c>
      <x:c r="Q437" s="28" t="n">
        <x:v>0</x:v>
      </x:c>
      <x:c r="R437" s="28" t="n">
        <x:v>0</x:v>
      </x:c>
    </x:row>
    <x:row r="438">
      <x:c r="A438" t="str">
        <x:v>2026-07-27</x:v>
      </x:c>
      <x:c r="B438" t="str">
        <x:v>449281783851362</x:v>
      </x:c>
      <x:c r="C438" t="str">
        <x:v>Doruk Hastaneleri - SİNA ÖZEL Sağlık Hizmetleri A.ş</x:v>
      </x:c>
      <x:c r="D438" t="str">
        <x:v>120255739080510399</x:v>
      </x:c>
      <x:c r="E438" t="str">
        <x:v>Gönderi: "👃 Rinoplasti Ameliyatı Nedir? Yumuşak Doku Neden..."</x:v>
      </x:c>
      <x:c r="F438" t="str">
        <x:v>OUTCOME_ENGAGEMENT</x:v>
      </x:c>
      <x:c r="G438" t="n">
        <x:v>9361</x:v>
      </x:c>
      <x:c r="H438" s="28" t="n">
        <x:v>735.96</x:v>
      </x:c>
      <x:c r="I438" t="n">
        <x:v>10389</x:v>
      </x:c>
      <x:c r="J438" t="n">
        <x:v>539</x:v>
      </x:c>
      <x:c r="K438" t="n">
        <x:v>246</x:v>
      </x:c>
      <x:c r="L438" s="27" t="n">
        <x:f>IFERROR(K438/I438,0)</x:f>
        <x:v>0.023678891134854173</x:v>
      </x:c>
      <x:c r="M438" s="28" t="n">
        <x:f>IFERROR(H438/K438,0)</x:f>
        <x:v>2.9917073170731707</x:v>
      </x:c>
      <x:c r="N438" s="28" t="n">
        <x:f>IFERROR(H438/I438*1000,0)</x:f>
        <x:v>70.84031186832226</x:v>
      </x:c>
      <x:c r="O438" t="n">
        <x:v>1.109817</x:v>
      </x:c>
      <x:c r="P438" t="n">
        <x:v>0</x:v>
      </x:c>
      <x:c r="Q438" s="28" t="n">
        <x:v>0</x:v>
      </x:c>
      <x:c r="R438" s="28" t="n">
        <x:v>0</x:v>
      </x:c>
    </x:row>
    <x:row r="439">
      <x:c r="A439" t="str">
        <x:v>2026-07-27</x:v>
      </x:c>
      <x:c r="B439" t="str">
        <x:v>449281783851362</x:v>
      </x:c>
      <x:c r="C439" t="str">
        <x:v>Doruk Hastaneleri - SİNA ÖZEL Sağlık Hizmetleri A.ş</x:v>
      </x:c>
      <x:c r="D439" t="str">
        <x:v>120255739163090399</x:v>
      </x:c>
      <x:c r="E439" t="str">
        <x:v>Instagram gönderisi: 👃 Rinoplasti Ameliyatı...</x:v>
      </x:c>
      <x:c r="F439" t="str">
        <x:v>LINK_CLICKS</x:v>
      </x:c>
      <x:c r="G439" t="n">
        <x:v>12983</x:v>
      </x:c>
      <x:c r="H439" s="28" t="n">
        <x:v>794.27</x:v>
      </x:c>
      <x:c r="I439" t="n">
        <x:v>14696</x:v>
      </x:c>
      <x:c r="J439" t="n">
        <x:v>505</x:v>
      </x:c>
      <x:c r="K439" t="n">
        <x:v>531</x:v>
      </x:c>
      <x:c r="L439" s="27" t="n">
        <x:f>IFERROR(K439/I439,0)</x:f>
        <x:v>0.03613228089275993</x:v>
      </x:c>
      <x:c r="M439" s="28" t="n">
        <x:f>IFERROR(H439/K439,0)</x:f>
        <x:v>1.4958003766478343</x:v>
      </x:c>
      <x:c r="N439" s="28" t="n">
        <x:f>IFERROR(H439/I439*1000,0)</x:f>
        <x:v>54.046679368535656</x:v>
      </x:c>
      <x:c r="O439" t="n">
        <x:v>1.131942</x:v>
      </x:c>
      <x:c r="P439" t="n">
        <x:v>0</x:v>
      </x:c>
      <x:c r="Q439" s="28" t="n">
        <x:v>0</x:v>
      </x:c>
      <x:c r="R439" s="28" t="n">
        <x:v>0</x:v>
      </x:c>
    </x:row>
    <x:row r="440">
      <x:c r="A440" t="str">
        <x:v>2026-07-27</x:v>
      </x:c>
      <x:c r="B440" t="str">
        <x:v>449281783851362</x:v>
      </x:c>
      <x:c r="C440" t="str">
        <x:v>Doruk Hastaneleri - SİNA ÖZEL Sağlık Hizmetleri A.ş</x:v>
      </x:c>
      <x:c r="D440" t="str">
        <x:v>120255739194330399</x:v>
      </x:c>
      <x:c r="E440" t="str">
        <x:v>Instagram gönderisi: 🖐️ Parmak Ucu Defekti Nasıl...</x:v>
      </x:c>
      <x:c r="F440" t="str">
        <x:v>LINK_CLICKS</x:v>
      </x:c>
      <x:c r="G440" t="n">
        <x:v>9515</x:v>
      </x:c>
      <x:c r="H440" s="28" t="n">
        <x:v>788.07</x:v>
      </x:c>
      <x:c r="I440" t="n">
        <x:v>9657</x:v>
      </x:c>
      <x:c r="J440" t="n">
        <x:v>262</x:v>
      </x:c>
      <x:c r="K440" t="n">
        <x:v>255</x:v>
      </x:c>
      <x:c r="L440" s="27" t="n">
        <x:f>IFERROR(K440/I440,0)</x:f>
        <x:v>0.026405716060888474</x:v>
      </x:c>
      <x:c r="M440" s="28" t="n">
        <x:f>IFERROR(H440/K440,0)</x:f>
        <x:v>3.0904705882352945</x:v>
      </x:c>
      <x:c r="N440" s="28" t="n">
        <x:f>IFERROR(H440/I440*1000,0)</x:f>
        <x:v>81.60608884746816</x:v>
      </x:c>
      <x:c r="O440" t="n">
        <x:v>1.014924</x:v>
      </x:c>
      <x:c r="P440" t="n">
        <x:v>0</x:v>
      </x:c>
      <x:c r="Q440" s="28" t="n">
        <x:v>0</x:v>
      </x:c>
      <x:c r="R440" s="28" t="n">
        <x:v>0</x:v>
      </x:c>
    </x:row>
    <x:row r="441">
      <x:c r="A441" t="str">
        <x:v>2026-07-27</x:v>
      </x:c>
      <x:c r="B441" t="str">
        <x:v>449281783851362</x:v>
      </x:c>
      <x:c r="C441" t="str">
        <x:v>Doruk Hastaneleri - SİNA ÖZEL Sağlık Hizmetleri A.ş</x:v>
      </x:c>
      <x:c r="D441" t="str">
        <x:v>120255739290470399</x:v>
      </x:c>
      <x:c r="E441" t="str">
        <x:v>Instagram gönderisi: 🎗️ Kemoterapi Alan Her...</x:v>
      </x:c>
      <x:c r="F441" t="str">
        <x:v>LINK_CLICKS</x:v>
      </x:c>
      <x:c r="G441" t="n">
        <x:v>10652</x:v>
      </x:c>
      <x:c r="H441" s="28" t="n">
        <x:v>855.53</x:v>
      </x:c>
      <x:c r="I441" t="n">
        <x:v>11634</x:v>
      </x:c>
      <x:c r="J441" t="n">
        <x:v>350</x:v>
      </x:c>
      <x:c r="K441" t="n">
        <x:v>359</x:v>
      </x:c>
      <x:c r="L441" s="27" t="n">
        <x:f>IFERROR(K441/I441,0)</x:f>
        <x:v>0.030857830496819668</x:v>
      </x:c>
      <x:c r="M441" s="28" t="n">
        <x:f>IFERROR(H441/K441,0)</x:f>
        <x:v>2.383091922005571</x:v>
      </x:c>
      <x:c r="N441" s="28" t="n">
        <x:f>IFERROR(H441/I441*1000,0)</x:f>
        <x:v>73.5370465875881</x:v>
      </x:c>
      <x:c r="O441" t="n">
        <x:v>1.092189</x:v>
      </x:c>
      <x:c r="P441" t="n">
        <x:v>0</x:v>
      </x:c>
      <x:c r="Q441" s="28" t="n">
        <x:v>0</x:v>
      </x:c>
      <x:c r="R441" s="28" t="n">
        <x:v>0</x:v>
      </x:c>
    </x:row>
    <x:row r="442">
      <x:c r="A442" t="str">
        <x:v>2026-07-27</x:v>
      </x:c>
      <x:c r="B442" t="str">
        <x:v>449281783851362</x:v>
      </x:c>
      <x:c r="C442" t="str">
        <x:v>Doruk Hastaneleri - SİNA ÖZEL Sağlık Hizmetleri A.ş</x:v>
      </x:c>
      <x:c r="D442" t="str">
        <x:v>120255739336980399</x:v>
      </x:c>
      <x:c r="E442" t="str">
        <x:v>Instagram gönderisi: 🎗️ Kanser Tanısı Fizik...</x:v>
      </x:c>
      <x:c r="F442" t="str">
        <x:v>LINK_CLICKS</x:v>
      </x:c>
      <x:c r="G442" t="n">
        <x:v>7081</x:v>
      </x:c>
      <x:c r="H442" s="28" t="n">
        <x:v>883.62</x:v>
      </x:c>
      <x:c r="I442" t="n">
        <x:v>7623</x:v>
      </x:c>
      <x:c r="J442" t="n">
        <x:v>158</x:v>
      </x:c>
      <x:c r="K442" t="n">
        <x:v>162</x:v>
      </x:c>
      <x:c r="L442" s="27" t="n">
        <x:f>IFERROR(K442/I442,0)</x:f>
        <x:v>0.021251475796930343</x:v>
      </x:c>
      <x:c r="M442" s="28" t="n">
        <x:f>IFERROR(H442/K442,0)</x:f>
        <x:v>5.454444444444444</x:v>
      </x:c>
      <x:c r="N442" s="28" t="n">
        <x:f>IFERROR(H442/I442*1000,0)</x:f>
        <x:v>115.91499409681228</x:v>
      </x:c>
      <x:c r="O442" t="n">
        <x:v>1.076543</x:v>
      </x:c>
      <x:c r="P442" t="n">
        <x:v>0</x:v>
      </x:c>
      <x:c r="Q442" s="28" t="n">
        <x:v>0</x:v>
      </x:c>
      <x:c r="R442" s="28" t="n">
        <x:v>0</x:v>
      </x:c>
    </x:row>
    <x:row r="443">
      <x:c r="A443" t="str">
        <x:v>2026-07-27</x:v>
      </x:c>
      <x:c r="B443" t="str">
        <x:v>449281783851362</x:v>
      </x:c>
      <x:c r="C443" t="str">
        <x:v>Doruk Hastaneleri - SİNA ÖZEL Sağlık Hizmetleri A.ş</x:v>
      </x:c>
      <x:c r="D443" t="str">
        <x:v>120255739368940399</x:v>
      </x:c>
      <x:c r="E443" t="str">
        <x:v>Instagram gönderisi: •Gebelikte Tarama Testleri |...</x:v>
      </x:c>
      <x:c r="F443" t="str">
        <x:v>LINK_CLICKS</x:v>
      </x:c>
      <x:c r="G443" t="n">
        <x:v>6001</x:v>
      </x:c>
      <x:c r="H443" s="28" t="n">
        <x:v>468.47</x:v>
      </x:c>
      <x:c r="I443" t="n">
        <x:v>6427</x:v>
      </x:c>
      <x:c r="J443" t="n">
        <x:v>201</x:v>
      </x:c>
      <x:c r="K443" t="n">
        <x:v>205</x:v>
      </x:c>
      <x:c r="L443" s="27" t="n">
        <x:f>IFERROR(K443/I443,0)</x:f>
        <x:v>0.03189668585654271</x:v>
      </x:c>
      <x:c r="M443" s="28" t="n">
        <x:f>IFERROR(H443/K443,0)</x:f>
        <x:v>2.285219512195122</x:v>
      </x:c>
      <x:c r="N443" s="28" t="n">
        <x:f>IFERROR(H443/I443*1000,0)</x:f>
        <x:v>72.89092889372958</x:v>
      </x:c>
      <x:c r="O443" t="n">
        <x:v>1.070988</x:v>
      </x:c>
      <x:c r="P443" t="n">
        <x:v>0</x:v>
      </x:c>
      <x:c r="Q443" s="28" t="n">
        <x:v>0</x:v>
      </x:c>
      <x:c r="R443" s="28" t="n">
        <x:v>0</x:v>
      </x:c>
    </x:row>
    <x:row r="444">
      <x:c r="A444" t="str">
        <x:v>2026-07-27</x:v>
      </x:c>
      <x:c r="B444" t="str">
        <x:v>449281783851362</x:v>
      </x:c>
      <x:c r="C444" t="str">
        <x:v>Doruk Hastaneleri - SİNA ÖZEL Sağlık Hizmetleri A.ş</x:v>
      </x:c>
      <x:c r="D444" t="str">
        <x:v>120255739424180399</x:v>
      </x:c>
      <x:c r="E444" t="str">
        <x:v>Instagram gönderisi: ✅Gebelikte uyku pozisyonu...</x:v>
      </x:c>
      <x:c r="F444" t="str">
        <x:v>LINK_CLICKS</x:v>
      </x:c>
      <x:c r="G444" t="n">
        <x:v>9782</x:v>
      </x:c>
      <x:c r="H444" s="28" t="n">
        <x:v>475.09</x:v>
      </x:c>
      <x:c r="I444" t="n">
        <x:v>10487</x:v>
      </x:c>
      <x:c r="J444" t="n">
        <x:v>349</x:v>
      </x:c>
      <x:c r="K444" t="n">
        <x:v>360</x:v>
      </x:c>
      <x:c r="L444" s="27" t="n">
        <x:f>IFERROR(K444/I444,0)</x:f>
        <x:v>0.034328215886335466</x:v>
      </x:c>
      <x:c r="M444" s="28" t="n">
        <x:f>IFERROR(H444/K444,0)</x:f>
        <x:v>1.3196944444444443</x:v>
      </x:c>
      <x:c r="N444" s="28" t="n">
        <x:f>IFERROR(H444/I444*1000,0)</x:f>
        <x:v>45.30275579288643</x:v>
      </x:c>
      <x:c r="O444" t="n">
        <x:v>1.072071</x:v>
      </x:c>
      <x:c r="P444" t="n">
        <x:v>0</x:v>
      </x:c>
      <x:c r="Q444" s="28" t="n">
        <x:v>0</x:v>
      </x:c>
      <x:c r="R444" s="28" t="n">
        <x:v>0</x:v>
      </x:c>
    </x:row>
    <x:row r="445">
      <x:c r="A445" t="str">
        <x:v>2026-07-27</x:v>
      </x:c>
      <x:c r="B445" t="str">
        <x:v>449281783851362</x:v>
      </x:c>
      <x:c r="C445" t="str">
        <x:v>Doruk Hastaneleri - SİNA ÖZEL Sağlık Hizmetleri A.ş</x:v>
      </x:c>
      <x:c r="D445" t="str">
        <x:v>120255739460510399</x:v>
      </x:c>
      <x:c r="E445" t="str">
        <x:v>Instagram gönderisi: 🦴 Omurga Kırıklarında Asıl...</x:v>
      </x:c>
      <x:c r="F445" t="str">
        <x:v>LINK_CLICKS</x:v>
      </x:c>
      <x:c r="G445" t="n">
        <x:v>14456</x:v>
      </x:c>
      <x:c r="H445" s="28" t="n">
        <x:v>996.52</x:v>
      </x:c>
      <x:c r="I445" t="n">
        <x:v>15965</x:v>
      </x:c>
      <x:c r="J445" t="n">
        <x:v>261</x:v>
      </x:c>
      <x:c r="K445" t="n">
        <x:v>263</x:v>
      </x:c>
      <x:c r="L445" s="27" t="n">
        <x:f>IFERROR(K445/I445,0)</x:f>
        <x:v>0.016473535859693078</x:v>
      </x:c>
      <x:c r="M445" s="28" t="n">
        <x:f>IFERROR(H445/K445,0)</x:f>
        <x:v>3.7890494296577946</x:v>
      </x:c>
      <x:c r="N445" s="28" t="n">
        <x:f>IFERROR(H445/I445*1000,0)</x:f>
        <x:v>62.419041653617285</x:v>
      </x:c>
      <x:c r="O445" t="n">
        <x:v>1.104386</x:v>
      </x:c>
      <x:c r="P445" t="n">
        <x:v>0</x:v>
      </x:c>
      <x:c r="Q445" s="28" t="n">
        <x:v>0</x:v>
      </x:c>
      <x:c r="R445" s="28" t="n">
        <x:v>0</x:v>
      </x:c>
    </x:row>
    <x:row r="446">
      <x:c r="A446" t="str">
        <x:v>2026-07-27</x:v>
      </x:c>
      <x:c r="B446" t="str">
        <x:v>449281783851362</x:v>
      </x:c>
      <x:c r="C446" t="str">
        <x:v>Doruk Hastaneleri - SİNA ÖZEL Sağlık Hizmetleri A.ş</x:v>
      </x:c>
      <x:c r="D446" t="str">
        <x:v>120255739485660399</x:v>
      </x:c>
      <x:c r="E446" t="str">
        <x:v>Instagram gönderisi: 🦴 Bel Fıtığında Doğru Zaman...</x:v>
      </x:c>
      <x:c r="F446" t="str">
        <x:v>LINK_CLICKS</x:v>
      </x:c>
      <x:c r="G446" t="n">
        <x:v>17659</x:v>
      </x:c>
      <x:c r="H446" s="28" t="n">
        <x:v>1026.21</x:v>
      </x:c>
      <x:c r="I446" t="n">
        <x:v>18985</x:v>
      </x:c>
      <x:c r="J446" t="n">
        <x:v>329</x:v>
      </x:c>
      <x:c r="K446" t="n">
        <x:v>329</x:v>
      </x:c>
      <x:c r="L446" s="27" t="n">
        <x:f>IFERROR(K446/I446,0)</x:f>
        <x:v>0.017329470634711613</x:v>
      </x:c>
      <x:c r="M446" s="28" t="n">
        <x:f>IFERROR(H446/K446,0)</x:f>
        <x:v>3.119179331306991</x:v>
      </x:c>
      <x:c r="N446" s="28" t="n">
        <x:f>IFERROR(H446/I446*1000,0)</x:f>
        <x:v>54.05372662628391</x:v>
      </x:c>
      <x:c r="O446" t="n">
        <x:v>1.075089</x:v>
      </x:c>
      <x:c r="P446" t="n">
        <x:v>0</x:v>
      </x:c>
      <x:c r="Q446" s="28" t="n">
        <x:v>0</x:v>
      </x:c>
      <x:c r="R446" s="28" t="n">
        <x:v>0</x:v>
      </x:c>
    </x:row>
    <x:row r="447">
      <x:c r="A447" t="str">
        <x:v>2026-07-27</x:v>
      </x:c>
      <x:c r="B447" t="str">
        <x:v>449281783851362</x:v>
      </x:c>
      <x:c r="C447" t="str">
        <x:v>Doruk Hastaneleri - SİNA ÖZEL Sağlık Hizmetleri A.ş</x:v>
      </x:c>
      <x:c r="D447" t="str">
        <x:v>120255763855030399</x:v>
      </x:c>
      <x:c r="E447" t="str">
        <x:v>Doktor - Bilinirlik Kampanyası - Çekirge</x:v>
      </x:c>
      <x:c r="F447" t="str">
        <x:v>OUTCOME_AWARENESS</x:v>
      </x:c>
      <x:c r="G447" t="n">
        <x:v>129921</x:v>
      </x:c>
      <x:c r="H447" s="28" t="n">
        <x:v>1540.36</x:v>
      </x:c>
      <x:c r="I447" t="n">
        <x:v>164315</x:v>
      </x:c>
      <x:c r="J447" t="n">
        <x:v>160</x:v>
      </x:c>
      <x:c r="K447" t="n">
        <x:v>0</x:v>
      </x:c>
      <x:c r="L447" s="27" t="n">
        <x:f>IFERROR(K447/I447,0)</x:f>
        <x:v>0</x:v>
      </x:c>
      <x:c r="M447" s="28" t="n">
        <x:f>IFERROR(H447/K447,0)</x:f>
        <x:v>0</x:v>
      </x:c>
      <x:c r="N447" s="28" t="n">
        <x:f>IFERROR(H447/I447*1000,0)</x:f>
        <x:v>9.374433253202689</x:v>
      </x:c>
      <x:c r="O447" t="n">
        <x:v>1.26473</x:v>
      </x:c>
      <x:c r="P447" t="n">
        <x:v>0</x:v>
      </x:c>
      <x:c r="Q447" s="28" t="n">
        <x:v>0</x:v>
      </x:c>
      <x:c r="R447" s="28" t="n">
        <x:v>0</x:v>
      </x:c>
    </x:row>
    <x:row r="448">
      <x:c r="A448" t="str">
        <x:v>2026-07-28</x:v>
      </x:c>
      <x:c r="B448" t="str">
        <x:v>449281783851362</x:v>
      </x:c>
      <x:c r="C448" t="str">
        <x:v>Doruk Hastaneleri - SİNA ÖZEL Sağlık Hizmetleri A.ş</x:v>
      </x:c>
      <x:c r="D448" t="str">
        <x:v>120202624613730399</x:v>
      </x:c>
      <x:c r="E448" t="str">
        <x:v>CBO / Saç Ekimi - lead / soğuk</x:v>
      </x:c>
      <x:c r="F448" t="str">
        <x:v>OUTCOME_LEADS</x:v>
      </x:c>
      <x:c r="G448" t="n">
        <x:v>4786</x:v>
      </x:c>
      <x:c r="H448" s="28" t="n">
        <x:v>908.43</x:v>
      </x:c>
      <x:c r="I448" t="n">
        <x:v>8026</x:v>
      </x:c>
      <x:c r="J448" t="n">
        <x:v>42</x:v>
      </x:c>
      <x:c r="K448" t="n">
        <x:v>25</x:v>
      </x:c>
      <x:c r="L448" s="27" t="n">
        <x:f>IFERROR(K448/I448,0)</x:f>
        <x:v>0.0031148766508846248</x:v>
      </x:c>
      <x:c r="M448" s="28" t="n">
        <x:f>IFERROR(H448/K448,0)</x:f>
        <x:v>36.337199999999996</x:v>
      </x:c>
      <x:c r="N448" s="28" t="n">
        <x:f>IFERROR(H448/I448*1000,0)</x:f>
        <x:v>113.18589583852479</x:v>
      </x:c>
      <x:c r="O448" t="n">
        <x:v>1.676975</x:v>
      </x:c>
      <x:c r="P448" t="n">
        <x:v>1</x:v>
      </x:c>
      <x:c r="Q448" s="28" t="n">
        <x:v>0</x:v>
      </x:c>
      <x:c r="R448" s="28" t="n">
        <x:v>0</x:v>
      </x:c>
    </x:row>
    <x:row r="449">
      <x:c r="A449" t="str">
        <x:v>2026-07-28</x:v>
      </x:c>
      <x:c r="B449" t="str">
        <x:v>449281783851362</x:v>
      </x:c>
      <x:c r="C449" t="str">
        <x:v>Doruk Hastaneleri - SİNA ÖZEL Sağlık Hizmetleri A.ş</x:v>
      </x:c>
      <x:c r="D449" t="str">
        <x:v>120211731920800399</x:v>
      </x:c>
      <x:c r="E449" t="str">
        <x:v>ABO / Göz Kapağı Estetiği / plastik cerrahi / lead</x:v>
      </x:c>
      <x:c r="F449" t="str">
        <x:v>OUTCOME_LEADS</x:v>
      </x:c>
      <x:c r="G449" t="n">
        <x:v>2055</x:v>
      </x:c>
      <x:c r="H449" s="28" t="n">
        <x:v>269.99</x:v>
      </x:c>
      <x:c r="I449" t="n">
        <x:v>2666</x:v>
      </x:c>
      <x:c r="J449" t="n">
        <x:v>14</x:v>
      </x:c>
      <x:c r="K449" t="n">
        <x:v>6</x:v>
      </x:c>
      <x:c r="L449" s="27" t="n">
        <x:f>IFERROR(K449/I449,0)</x:f>
        <x:v>0.002250562640660165</x:v>
      </x:c>
      <x:c r="M449" s="28" t="n">
        <x:f>IFERROR(H449/K449,0)</x:f>
        <x:v>44.998333333333335</x:v>
      </x:c>
      <x:c r="N449" s="28" t="n">
        <x:f>IFERROR(H449/I449*1000,0)</x:f>
        <x:v>101.271567891973</x:v>
      </x:c>
      <x:c r="O449" t="n">
        <x:v>1.297324</x:v>
      </x:c>
      <x:c r="P449" t="n">
        <x:v>1</x:v>
      </x:c>
      <x:c r="Q449" s="28" t="n">
        <x:v>0</x:v>
      </x:c>
      <x:c r="R449" s="28" t="n">
        <x:v>0</x:v>
      </x:c>
    </x:row>
    <x:row r="450">
      <x:c r="A450" t="str">
        <x:v>2026-07-28</x:v>
      </x:c>
      <x:c r="B450" t="str">
        <x:v>449281783851362</x:v>
      </x:c>
      <x:c r="C450" t="str">
        <x:v>Doruk Hastaneleri - SİNA ÖZEL Sağlık Hizmetleri A.ş</x:v>
      </x:c>
      <x:c r="D450" t="str">
        <x:v>120211732243050399</x:v>
      </x:c>
      <x:c r="E450" t="str">
        <x:v>ABO /Kepçe Kulak / plastik cerrahi / lead</x:v>
      </x:c>
      <x:c r="F450" t="str">
        <x:v>OUTCOME_LEADS</x:v>
      </x:c>
      <x:c r="G450" t="n">
        <x:v>4918</x:v>
      </x:c>
      <x:c r="H450" s="28" t="n">
        <x:v>271.96</x:v>
      </x:c>
      <x:c r="I450" t="n">
        <x:v>5865</x:v>
      </x:c>
      <x:c r="J450" t="n">
        <x:v>23</x:v>
      </x:c>
      <x:c r="K450" t="n">
        <x:v>17</x:v>
      </x:c>
      <x:c r="L450" s="27" t="n">
        <x:f>IFERROR(K450/I450,0)</x:f>
        <x:v>0.002898550724637681</x:v>
      </x:c>
      <x:c r="M450" s="28" t="n">
        <x:f>IFERROR(H450/K450,0)</x:f>
        <x:v>15.997647058823528</x:v>
      </x:c>
      <x:c r="N450" s="28" t="n">
        <x:f>IFERROR(H450/I450*1000,0)</x:f>
        <x:v>46.369991474850806</x:v>
      </x:c>
      <x:c r="O450" t="n">
        <x:v>1.192558</x:v>
      </x:c>
      <x:c r="P450" t="n">
        <x:v>1</x:v>
      </x:c>
      <x:c r="Q450" s="28" t="n">
        <x:v>0</x:v>
      </x:c>
      <x:c r="R450" s="28" t="n">
        <x:v>0</x:v>
      </x:c>
    </x:row>
    <x:row r="451">
      <x:c r="A451" t="str">
        <x:v>2026-07-28</x:v>
      </x:c>
      <x:c r="B451" t="str">
        <x:v>449281783851362</x:v>
      </x:c>
      <x:c r="C451" t="str">
        <x:v>Doruk Hastaneleri - SİNA ÖZEL Sağlık Hizmetleri A.ş</x:v>
      </x:c>
      <x:c r="D451" t="str">
        <x:v>120211732311210399</x:v>
      </x:c>
      <x:c r="E451" t="str">
        <x:v>ABO / Meme Estetiği / plastik cerrahi / lead</x:v>
      </x:c>
      <x:c r="F451" t="str">
        <x:v>OUTCOME_LEADS</x:v>
      </x:c>
      <x:c r="G451" t="n">
        <x:v>5578</x:v>
      </x:c>
      <x:c r="H451" s="28" t="n">
        <x:v>910.13</x:v>
      </x:c>
      <x:c r="I451" t="n">
        <x:v>8175</x:v>
      </x:c>
      <x:c r="J451" t="n">
        <x:v>41</x:v>
      </x:c>
      <x:c r="K451" t="n">
        <x:v>24</x:v>
      </x:c>
      <x:c r="L451" s="27" t="n">
        <x:f>IFERROR(K451/I451,0)</x:f>
        <x:v>0.0029357798165137615</x:v>
      </x:c>
      <x:c r="M451" s="28" t="n">
        <x:f>IFERROR(H451/K451,0)</x:f>
        <x:v>37.92208333333333</x:v>
      </x:c>
      <x:c r="N451" s="28" t="n">
        <x:f>IFERROR(H451/I451*1000,0)</x:f>
        <x:v>111.33088685015291</x:v>
      </x:c>
      <x:c r="O451" t="n">
        <x:v>1.465579</x:v>
      </x:c>
      <x:c r="P451" t="n">
        <x:v>1</x:v>
      </x:c>
      <x:c r="Q451" s="28" t="n">
        <x:v>0</x:v>
      </x:c>
      <x:c r="R451" s="28" t="n">
        <x:v>0</x:v>
      </x:c>
    </x:row>
    <x:row r="452">
      <x:c r="A452" t="str">
        <x:v>2026-07-28</x:v>
      </x:c>
      <x:c r="B452" t="str">
        <x:v>449281783851362</x:v>
      </x:c>
      <x:c r="C452" t="str">
        <x:v>Doruk Hastaneleri - SİNA ÖZEL Sağlık Hizmetleri A.ş</x:v>
      </x:c>
      <x:c r="D452" t="str">
        <x:v>120211732618490399</x:v>
      </x:c>
      <x:c r="E452" t="str">
        <x:v>ABO /Jinekomasti / plastik cerrahi / lead</x:v>
      </x:c>
      <x:c r="F452" t="str">
        <x:v>OUTCOME_LEADS</x:v>
      </x:c>
      <x:c r="G452" t="n">
        <x:v>2129</x:v>
      </x:c>
      <x:c r="H452" s="28" t="n">
        <x:v>273.93</x:v>
      </x:c>
      <x:c r="I452" t="n">
        <x:v>2847</x:v>
      </x:c>
      <x:c r="J452" t="n">
        <x:v>15</x:v>
      </x:c>
      <x:c r="K452" t="n">
        <x:v>11</x:v>
      </x:c>
      <x:c r="L452" s="27" t="n">
        <x:f>IFERROR(K452/I452,0)</x:f>
        <x:v>0.003863716192483316</x:v>
      </x:c>
      <x:c r="M452" s="28" t="n">
        <x:f>IFERROR(H452/K452,0)</x:f>
        <x:v>24.902727272727272</x:v>
      </x:c>
      <x:c r="N452" s="28" t="n">
        <x:f>IFERROR(H452/I452*1000,0)</x:f>
        <x:v>96.21707060063224</x:v>
      </x:c>
      <x:c r="O452" t="n">
        <x:v>1.337248</x:v>
      </x:c>
      <x:c r="P452" t="n">
        <x:v>1</x:v>
      </x:c>
      <x:c r="Q452" s="28" t="n">
        <x:v>0</x:v>
      </x:c>
      <x:c r="R452" s="28" t="n">
        <x:v>0</x:v>
      </x:c>
    </x:row>
    <x:row r="453">
      <x:c r="A453" t="str">
        <x:v>2026-07-28</x:v>
      </x:c>
      <x:c r="B453" t="str">
        <x:v>449281783851362</x:v>
      </x:c>
      <x:c r="C453" t="str">
        <x:v>Doruk Hastaneleri - SİNA ÖZEL Sağlık Hizmetleri A.ş</x:v>
      </x:c>
      <x:c r="D453" t="str">
        <x:v>120211732654260399</x:v>
      </x:c>
      <x:c r="E453" t="str">
        <x:v>ABO / Rinoplasti / plastik cerrahi / lead</x:v>
      </x:c>
      <x:c r="F453" t="str">
        <x:v>OUTCOME_LEADS</x:v>
      </x:c>
      <x:c r="G453" t="n">
        <x:v>3487</x:v>
      </x:c>
      <x:c r="H453" s="28" t="n">
        <x:v>712</x:v>
      </x:c>
      <x:c r="I453" t="n">
        <x:v>5192</x:v>
      </x:c>
      <x:c r="J453" t="n">
        <x:v>43</x:v>
      </x:c>
      <x:c r="K453" t="n">
        <x:v>28</x:v>
      </x:c>
      <x:c r="L453" s="27" t="n">
        <x:f>IFERROR(K453/I453,0)</x:f>
        <x:v>0.00539291217257319</x:v>
      </x:c>
      <x:c r="M453" s="28" t="n">
        <x:f>IFERROR(H453/K453,0)</x:f>
        <x:v>25.428571428571427</x:v>
      </x:c>
      <x:c r="N453" s="28" t="n">
        <x:f>IFERROR(H453/I453*1000,0)</x:f>
        <x:v>137.1340523882897</x:v>
      </x:c>
      <x:c r="O453" t="n">
        <x:v>1.488959</x:v>
      </x:c>
      <x:c r="P453" t="n">
        <x:v>2</x:v>
      </x:c>
      <x:c r="Q453" s="28" t="n">
        <x:v>0</x:v>
      </x:c>
      <x:c r="R453" s="28" t="n">
        <x:v>0</x:v>
      </x:c>
    </x:row>
    <x:row r="454">
      <x:c r="A454" t="str">
        <x:v>2026-07-28</x:v>
      </x:c>
      <x:c r="B454" t="str">
        <x:v>449281783851362</x:v>
      </x:c>
      <x:c r="C454" t="str">
        <x:v>Doruk Hastaneleri - SİNA ÖZEL Sağlık Hizmetleri A.ş</x:v>
      </x:c>
      <x:c r="D454" t="str">
        <x:v>120211732712890399</x:v>
      </x:c>
      <x:c r="E454" t="str">
        <x:v>ABO / Vücut Şekillendirme / plastik cerrahi / lead</x:v>
      </x:c>
      <x:c r="F454" t="str">
        <x:v>OUTCOME_LEADS</x:v>
      </x:c>
      <x:c r="G454" t="n">
        <x:v>699</x:v>
      </x:c>
      <x:c r="H454" s="28" t="n">
        <x:v>285.93</x:v>
      </x:c>
      <x:c r="I454" t="n">
        <x:v>1075</x:v>
      </x:c>
      <x:c r="J454" t="n">
        <x:v>8</x:v>
      </x:c>
      <x:c r="K454" t="n">
        <x:v>3</x:v>
      </x:c>
      <x:c r="L454" s="27" t="n">
        <x:f>IFERROR(K454/I454,0)</x:f>
        <x:v>0.0027906976744186047</x:v>
      </x:c>
      <x:c r="M454" s="28" t="n">
        <x:f>IFERROR(H454/K454,0)</x:f>
        <x:v>95.31</x:v>
      </x:c>
      <x:c r="N454" s="28" t="n">
        <x:f>IFERROR(H454/I454*1000,0)</x:f>
        <x:v>265.98139534883717</x:v>
      </x:c>
      <x:c r="O454" t="n">
        <x:v>1.537911</x:v>
      </x:c>
      <x:c r="P454" t="n">
        <x:v>1</x:v>
      </x:c>
      <x:c r="Q454" s="28" t="n">
        <x:v>0</x:v>
      </x:c>
      <x:c r="R454" s="28" t="n">
        <x:v>0</x:v>
      </x:c>
    </x:row>
    <x:row r="455">
      <x:c r="A455" t="str">
        <x:v>2026-07-28</x:v>
      </x:c>
      <x:c r="B455" t="str">
        <x:v>449281783851362</x:v>
      </x:c>
      <x:c r="C455" t="str">
        <x:v>Doruk Hastaneleri - SİNA ÖZEL Sağlık Hizmetleri A.ş</x:v>
      </x:c>
      <x:c r="D455" t="str">
        <x:v>120211732754080399</x:v>
      </x:c>
      <x:c r="E455" t="str">
        <x:v>ABO / Yüz Germe (Facelift) / plastik cerrahi / lead</x:v>
      </x:c>
      <x:c r="F455" t="str">
        <x:v>OUTCOME_LEADS</x:v>
      </x:c>
      <x:c r="G455" t="n">
        <x:v>654</x:v>
      </x:c>
      <x:c r="H455" s="28" t="n">
        <x:v>273.64</x:v>
      </x:c>
      <x:c r="I455" t="n">
        <x:v>964</x:v>
      </x:c>
      <x:c r="J455" t="n">
        <x:v>12</x:v>
      </x:c>
      <x:c r="K455" t="n">
        <x:v>5</x:v>
      </x:c>
      <x:c r="L455" s="27" t="n">
        <x:f>IFERROR(K455/I455,0)</x:f>
        <x:v>0.005186721991701245</x:v>
      </x:c>
      <x:c r="M455" s="28" t="n">
        <x:f>IFERROR(H455/K455,0)</x:f>
        <x:v>54.727999999999994</x:v>
      </x:c>
      <x:c r="N455" s="28" t="n">
        <x:f>IFERROR(H455/I455*1000,0)</x:f>
        <x:v>283.8589211618257</x:v>
      </x:c>
      <x:c r="O455" t="n">
        <x:v>1.474006</x:v>
      </x:c>
      <x:c r="P455" t="n">
        <x:v>0</x:v>
      </x:c>
      <x:c r="Q455" s="28" t="n">
        <x:v>0</x:v>
      </x:c>
      <x:c r="R455" s="28" t="n">
        <x:v>0</x:v>
      </x:c>
    </x:row>
    <x:row r="456">
      <x:c r="A456" t="str">
        <x:v>2026-07-28</x:v>
      </x:c>
      <x:c r="B456" t="str">
        <x:v>449281783851362</x:v>
      </x:c>
      <x:c r="C456" t="str">
        <x:v>Doruk Hastaneleri - SİNA ÖZEL Sağlık Hizmetleri A.ş</x:v>
      </x:c>
      <x:c r="D456" t="str">
        <x:v>120214167265870399</x:v>
      </x:c>
      <x:c r="E456" t="str">
        <x:v>Baş Dönmesi ve Denge Ünitesi / lead</x:v>
      </x:c>
      <x:c r="F456" t="str">
        <x:v>OUTCOME_LEADS</x:v>
      </x:c>
      <x:c r="G456" t="n">
        <x:v>4829</x:v>
      </x:c>
      <x:c r="H456" s="28" t="n">
        <x:v>343.04</x:v>
      </x:c>
      <x:c r="I456" t="n">
        <x:v>5923</x:v>
      </x:c>
      <x:c r="J456" t="n">
        <x:v>67</x:v>
      </x:c>
      <x:c r="K456" t="n">
        <x:v>37</x:v>
      </x:c>
      <x:c r="L456" s="27" t="n">
        <x:f>IFERROR(K456/I456,0)</x:f>
        <x:v>0.0062468343744723955</x:v>
      </x:c>
      <x:c r="M456" s="28" t="n">
        <x:f>IFERROR(H456/K456,0)</x:f>
        <x:v>9.271351351351353</x:v>
      </x:c>
      <x:c r="N456" s="28" t="n">
        <x:f>IFERROR(H456/I456*1000,0)</x:f>
        <x:v>57.91659631943273</x:v>
      </x:c>
      <x:c r="O456" t="n">
        <x:v>1.226548</x:v>
      </x:c>
      <x:c r="P456" t="n">
        <x:v>3</x:v>
      </x:c>
      <x:c r="Q456" s="28" t="n">
        <x:v>0</x:v>
      </x:c>
      <x:c r="R456" s="28" t="n">
        <x:v>0</x:v>
      </x:c>
    </x:row>
    <x:row r="457">
      <x:c r="A457" t="str">
        <x:v>2026-07-28</x:v>
      </x:c>
      <x:c r="B457" t="str">
        <x:v>449281783851362</x:v>
      </x:c>
      <x:c r="C457" t="str">
        <x:v>Doruk Hastaneleri - SİNA ÖZEL Sağlık Hizmetleri A.ş</x:v>
      </x:c>
      <x:c r="D457" t="str">
        <x:v>120220089108220399</x:v>
      </x:c>
      <x:c r="E457" t="str">
        <x:v>Checkup - genel - lead</x:v>
      </x:c>
      <x:c r="F457" t="str">
        <x:v>OUTCOME_LEADS</x:v>
      </x:c>
      <x:c r="G457" t="n">
        <x:v>5252</x:v>
      </x:c>
      <x:c r="H457" s="28" t="n">
        <x:v>1032.71</x:v>
      </x:c>
      <x:c r="I457" t="n">
        <x:v>6912</x:v>
      </x:c>
      <x:c r="J457" t="n">
        <x:v>45</x:v>
      </x:c>
      <x:c r="K457" t="n">
        <x:v>24</x:v>
      </x:c>
      <x:c r="L457" s="27" t="n">
        <x:f>IFERROR(K457/I457,0)</x:f>
        <x:v>0.003472222222222222</x:v>
      </x:c>
      <x:c r="M457" s="28" t="n">
        <x:f>IFERROR(H457/K457,0)</x:f>
        <x:v>43.029583333333335</x:v>
      </x:c>
      <x:c r="N457" s="28" t="n">
        <x:f>IFERROR(H457/I457*1000,0)</x:f>
        <x:v>149.408275462963</x:v>
      </x:c>
      <x:c r="O457" t="n">
        <x:v>1.31607</x:v>
      </x:c>
      <x:c r="P457" t="n">
        <x:v>3</x:v>
      </x:c>
      <x:c r="Q457" s="28" t="n">
        <x:v>0</x:v>
      </x:c>
      <x:c r="R457" s="28" t="n">
        <x:v>0</x:v>
      </x:c>
    </x:row>
    <x:row r="458">
      <x:c r="A458" t="str">
        <x:v>2026-07-28</x:v>
      </x:c>
      <x:c r="B458" t="str">
        <x:v>170008509278498</x:v>
      </x:c>
      <x:c r="C458" t="str">
        <x:v>Doruk Hospital</x:v>
      </x:c>
      <x:c r="D458" t="str">
        <x:v>120232382033210080</x:v>
      </x:c>
      <x:c r="E458" t="str">
        <x:v>Fizik Tedavi - Intensive FTR - Türki Cumhuriyetler - Tümü - RU - Lechenie v Turtsii - lead</x:v>
      </x:c>
      <x:c r="F458" t="str">
        <x:v>OUTCOME_LEADS</x:v>
      </x:c>
      <x:c r="G458" t="n">
        <x:v>116736</x:v>
      </x:c>
      <x:c r="H458" s="28" t="n">
        <x:v>24469.97</x:v>
      </x:c>
      <x:c r="I458" t="n">
        <x:v>147849</x:v>
      </x:c>
      <x:c r="J458" t="n">
        <x:v>867</x:v>
      </x:c>
      <x:c r="K458" t="n">
        <x:v>567</x:v>
      </x:c>
      <x:c r="L458" s="27" t="n">
        <x:f>IFERROR(K458/I458,0)</x:f>
        <x:v>0.0038349938112533736</x:v>
      </x:c>
      <x:c r="M458" s="28" t="n">
        <x:f>IFERROR(H458/K458,0)</x:f>
        <x:v>43.156913580246915</x:v>
      </x:c>
      <x:c r="N458" s="28" t="n">
        <x:f>IFERROR(H458/I458*1000,0)</x:f>
        <x:v>165.50649649304358</x:v>
      </x:c>
      <x:c r="O458" t="n">
        <x:v>1.266524</x:v>
      </x:c>
      <x:c r="P458" t="n">
        <x:v>25</x:v>
      </x:c>
      <x:c r="Q458" s="28" t="n">
        <x:v>0</x:v>
      </x:c>
      <x:c r="R458" s="28" t="n">
        <x:v>0</x:v>
      </x:c>
    </x:row>
    <x:row r="459">
      <x:c r="A459" t="str">
        <x:v>2026-07-28</x:v>
      </x:c>
      <x:c r="B459" t="str">
        <x:v>170008509278498</x:v>
      </x:c>
      <x:c r="C459" t="str">
        <x:v>Doruk Hospital</x:v>
      </x:c>
      <x:c r="D459" t="str">
        <x:v>120238651325780080</x:v>
      </x:c>
      <x:c r="E459" t="str">
        <x:v>Whatsapp - Fizik Tedavi - Intensive FTR - Arap Bölgesi - Tümü - AR - Doruk İlaj Turkia</x:v>
      </x:c>
      <x:c r="F459" t="str">
        <x:v>OUTCOME_LEADS</x:v>
      </x:c>
      <x:c r="G459" t="n">
        <x:v>90753</x:v>
      </x:c>
      <x:c r="H459" s="28" t="n">
        <x:v>29487.45</x:v>
      </x:c>
      <x:c r="I459" t="n">
        <x:v>109434</x:v>
      </x:c>
      <x:c r="J459" t="n">
        <x:v>790</x:v>
      </x:c>
      <x:c r="K459" t="n">
        <x:v>304</x:v>
      </x:c>
      <x:c r="L459" s="27" t="n">
        <x:f>IFERROR(K459/I459,0)</x:f>
        <x:v>0.0027779300765758356</x:v>
      </x:c>
      <x:c r="M459" s="28" t="n">
        <x:f>IFERROR(H459/K459,0)</x:f>
        <x:v>96.99819078947368</x:v>
      </x:c>
      <x:c r="N459" s="28" t="n">
        <x:f>IFERROR(H459/I459*1000,0)</x:f>
        <x:v>269.4541915675201</x:v>
      </x:c>
      <x:c r="O459" t="n">
        <x:v>1.205844</x:v>
      </x:c>
      <x:c r="P459" t="n">
        <x:v>0</x:v>
      </x:c>
      <x:c r="Q459" s="28" t="n">
        <x:v>0</x:v>
      </x:c>
      <x:c r="R459" s="28" t="n">
        <x:v>0</x:v>
      </x:c>
    </x:row>
    <x:row r="460">
      <x:c r="A460" t="str">
        <x:v>2026-07-28</x:v>
      </x:c>
      <x:c r="B460" t="str">
        <x:v>449281783851362</x:v>
      </x:c>
      <x:c r="C460" t="str">
        <x:v>Doruk Hastaneleri - SİNA ÖZEL Sağlık Hizmetleri A.ş</x:v>
      </x:c>
      <x:c r="D460" t="str">
        <x:v>120242415465180399</x:v>
      </x:c>
      <x:c r="E460" t="str">
        <x:v>Gebe-Doğum Form Kampanyası</x:v>
      </x:c>
      <x:c r="F460" t="str">
        <x:v>OUTCOME_LEADS</x:v>
      </x:c>
      <x:c r="G460" t="n">
        <x:v>42235</x:v>
      </x:c>
      <x:c r="H460" s="28" t="n">
        <x:v>6246.5</x:v>
      </x:c>
      <x:c r="I460" t="n">
        <x:v>85981</x:v>
      </x:c>
      <x:c r="J460" t="n">
        <x:v>390</x:v>
      </x:c>
      <x:c r="K460" t="n">
        <x:v>249</x:v>
      </x:c>
      <x:c r="L460" s="27" t="n">
        <x:f>IFERROR(K460/I460,0)</x:f>
        <x:v>0.0028959886486549353</x:v>
      </x:c>
      <x:c r="M460" s="28" t="n">
        <x:f>IFERROR(H460/K460,0)</x:f>
        <x:v>25.086345381526105</x:v>
      </x:c>
      <x:c r="N460" s="28" t="n">
        <x:f>IFERROR(H460/I460*1000,0)</x:f>
        <x:v>72.64977146113677</x:v>
      </x:c>
      <x:c r="O460" t="n">
        <x:v>2.035776</x:v>
      </x:c>
      <x:c r="P460" t="n">
        <x:v>21</x:v>
      </x:c>
      <x:c r="Q460" s="28" t="n">
        <x:v>0</x:v>
      </x:c>
      <x:c r="R460" s="28" t="n">
        <x:v>0</x:v>
      </x:c>
    </x:row>
    <x:row r="461">
      <x:c r="A461" t="str">
        <x:v>2026-07-28</x:v>
      </x:c>
      <x:c r="B461" t="str">
        <x:v>170008509278498</x:v>
      </x:c>
      <x:c r="C461" t="str">
        <x:v>Doruk Hospital</x:v>
      </x:c>
      <x:c r="D461" t="str">
        <x:v>120242709752170080</x:v>
      </x:c>
      <x:c r="E461" t="str">
        <x:v>Instagram gönderisi: Аппарат TrueBeam — одна из...</x:v>
      </x:c>
      <x:c r="F461" t="str">
        <x:v>LINK_CLICKS</x:v>
      </x:c>
      <x:c r="G461" t="n">
        <x:v>65672</x:v>
      </x:c>
      <x:c r="H461" s="28" t="n">
        <x:v>3134.3</x:v>
      </x:c>
      <x:c r="I461" t="n">
        <x:v>68519</x:v>
      </x:c>
      <x:c r="J461" t="n">
        <x:v>998</x:v>
      </x:c>
      <x:c r="K461" t="n">
        <x:v>909</x:v>
      </x:c>
      <x:c r="L461" s="27" t="n">
        <x:f>IFERROR(K461/I461,0)</x:f>
        <x:v>0.013266393263182475</x:v>
      </x:c>
      <x:c r="M461" s="28" t="n">
        <x:f>IFERROR(H461/K461,0)</x:f>
        <x:v>3.448074807480748</x:v>
      </x:c>
      <x:c r="N461" s="28" t="n">
        <x:f>IFERROR(H461/I461*1000,0)</x:f>
        <x:v>45.74351639691181</x:v>
      </x:c>
      <x:c r="O461" t="n">
        <x:v>1.043352</x:v>
      </x:c>
      <x:c r="P461" t="n">
        <x:v>0</x:v>
      </x:c>
      <x:c r="Q461" s="28" t="n">
        <x:v>0</x:v>
      </x:c>
      <x:c r="R461" s="28" t="n">
        <x:v>0</x:v>
      </x:c>
    </x:row>
    <x:row r="462">
      <x:c r="A462" t="str">
        <x:v>2026-07-28</x:v>
      </x:c>
      <x:c r="B462" t="str">
        <x:v>449281783851362</x:v>
      </x:c>
      <x:c r="C462" t="str">
        <x:v>Doruk Hastaneleri - SİNA ÖZEL Sağlık Hizmetleri A.ş</x:v>
      </x:c>
      <x:c r="D462" t="str">
        <x:v>120244050701710399</x:v>
      </x:c>
      <x:c r="E462" t="str">
        <x:v>Uzman Hekim Başvuru</x:v>
      </x:c>
      <x:c r="F462" t="str">
        <x:v>OUTCOME_LEADS</x:v>
      </x:c>
      <x:c r="G462" t="n">
        <x:v>5715</x:v>
      </x:c>
      <x:c r="H462" s="28" t="n">
        <x:v>903.75</x:v>
      </x:c>
      <x:c r="I462" t="n">
        <x:v>7591</x:v>
      </x:c>
      <x:c r="J462" t="n">
        <x:v>75</x:v>
      </x:c>
      <x:c r="K462" t="n">
        <x:v>45</x:v>
      </x:c>
      <x:c r="L462" s="27" t="n">
        <x:f>IFERROR(K462/I462,0)</x:f>
        <x:v>0.005928072717692003</x:v>
      </x:c>
      <x:c r="M462" s="28" t="n">
        <x:f>IFERROR(H462/K462,0)</x:f>
        <x:v>20.083333333333332</x:v>
      </x:c>
      <x:c r="N462" s="28" t="n">
        <x:f>IFERROR(H462/I462*1000,0)</x:f>
        <x:v>119.05546041364774</x:v>
      </x:c>
      <x:c r="O462" t="n">
        <x:v>1.328259</x:v>
      </x:c>
      <x:c r="P462" t="n">
        <x:v>3</x:v>
      </x:c>
      <x:c r="Q462" s="28" t="n">
        <x:v>0</x:v>
      </x:c>
      <x:c r="R462" s="28" t="n">
        <x:v>0</x:v>
      </x:c>
    </x:row>
    <x:row r="463">
      <x:c r="A463" t="str">
        <x:v>2026-07-28</x:v>
      </x:c>
      <x:c r="B463" t="str">
        <x:v>449281783851362</x:v>
      </x:c>
      <x:c r="C463" t="str">
        <x:v>Doruk Hastaneleri - SİNA ÖZEL Sağlık Hizmetleri A.ş</x:v>
      </x:c>
      <x:c r="D463" t="str">
        <x:v>120246476228800399</x:v>
      </x:c>
      <x:c r="E463" t="str">
        <x:v>FTR Yatılı - lead</x:v>
      </x:c>
      <x:c r="F463" t="str">
        <x:v>OUTCOME_LEADS</x:v>
      </x:c>
      <x:c r="G463" t="n">
        <x:v>54825</x:v>
      </x:c>
      <x:c r="H463" s="28" t="n">
        <x:v>3854.37</x:v>
      </x:c>
      <x:c r="I463" t="n">
        <x:v>63992</x:v>
      </x:c>
      <x:c r="J463" t="n">
        <x:v>379</x:v>
      </x:c>
      <x:c r="K463" t="n">
        <x:v>180</x:v>
      </x:c>
      <x:c r="L463" s="27" t="n">
        <x:f>IFERROR(K463/I463,0)</x:f>
        <x:v>0.0028128516064508066</x:v>
      </x:c>
      <x:c r="M463" s="28" t="n">
        <x:f>IFERROR(H463/K463,0)</x:f>
        <x:v>21.413166666666665</x:v>
      </x:c>
      <x:c r="N463" s="28" t="n">
        <x:f>IFERROR(H463/I463*1000,0)</x:f>
        <x:v>60.23206025753219</x:v>
      </x:c>
      <x:c r="O463" t="n">
        <x:v>1.167205</x:v>
      </x:c>
      <x:c r="P463" t="n">
        <x:v>7</x:v>
      </x:c>
      <x:c r="Q463" s="28" t="n">
        <x:v>0</x:v>
      </x:c>
      <x:c r="R463" s="28" t="n">
        <x:v>0</x:v>
      </x:c>
    </x:row>
    <x:row r="464">
      <x:c r="A464" t="str">
        <x:v>2026-07-28</x:v>
      </x:c>
      <x:c r="B464" t="str">
        <x:v>449281783851362</x:v>
      </x:c>
      <x:c r="C464" t="str">
        <x:v>Doruk Hastaneleri - SİNA ÖZEL Sağlık Hizmetleri A.ş</x:v>
      </x:c>
      <x:c r="D464" t="str">
        <x:v>120246691590090399</x:v>
      </x:c>
      <x:c r="E464" t="str">
        <x:v>Hemşire İş Başvuru - lead</x:v>
      </x:c>
      <x:c r="F464" t="str">
        <x:v>OUTCOME_LEADS</x:v>
      </x:c>
      <x:c r="G464" t="n">
        <x:v>9346</x:v>
      </x:c>
      <x:c r="H464" s="28" t="n">
        <x:v>867.94</x:v>
      </x:c>
      <x:c r="I464" t="n">
        <x:v>15530</x:v>
      </x:c>
      <x:c r="J464" t="n">
        <x:v>113</x:v>
      </x:c>
      <x:c r="K464" t="n">
        <x:v>72</x:v>
      </x:c>
      <x:c r="L464" s="27" t="n">
        <x:f>IFERROR(K464/I464,0)</x:f>
        <x:v>0.00463618802318094</x:v>
      </x:c>
      <x:c r="M464" s="28" t="n">
        <x:f>IFERROR(H464/K464,0)</x:f>
        <x:v>12.054722222222223</x:v>
      </x:c>
      <x:c r="N464" s="28" t="n">
        <x:f>IFERROR(H464/I464*1000,0)</x:f>
        <x:v>55.8879587894398</x:v>
      </x:c>
      <x:c r="O464" t="n">
        <x:v>1.661673</x:v>
      </x:c>
      <x:c r="P464" t="n">
        <x:v>3</x:v>
      </x:c>
      <x:c r="Q464" s="28" t="n">
        <x:v>0</x:v>
      </x:c>
      <x:c r="R464" s="28" t="n">
        <x:v>0</x:v>
      </x:c>
    </x:row>
    <x:row r="465">
      <x:c r="A465" t="str">
        <x:v>2026-07-28</x:v>
      </x:c>
      <x:c r="B465" t="str">
        <x:v>449281783851362</x:v>
      </x:c>
      <x:c r="C465" t="str">
        <x:v>Doruk Hastaneleri - SİNA ÖZEL Sağlık Hizmetleri A.ş</x:v>
      </x:c>
      <x:c r="D465" t="str">
        <x:v>120246924981440399</x:v>
      </x:c>
      <x:c r="E465" t="str">
        <x:v>ÖSS-TSS - marka bilinirliği</x:v>
      </x:c>
      <x:c r="F465" t="str">
        <x:v>OUTCOME_AWARENESS</x:v>
      </x:c>
      <x:c r="G465" t="n">
        <x:v>124066</x:v>
      </x:c>
      <x:c r="H465" s="28" t="n">
        <x:v>1608.11</x:v>
      </x:c>
      <x:c r="I465" t="n">
        <x:v>127352</x:v>
      </x:c>
      <x:c r="J465" t="n">
        <x:v>158</x:v>
      </x:c>
      <x:c r="K465" t="n">
        <x:v>40</x:v>
      </x:c>
      <x:c r="L465" s="27" t="n">
        <x:f>IFERROR(K465/I465,0)</x:f>
        <x:v>0.0003140900810352409</x:v>
      </x:c>
      <x:c r="M465" s="28" t="n">
        <x:f>IFERROR(H465/K465,0)</x:f>
        <x:v>40.202749999999995</x:v>
      </x:c>
      <x:c r="N465" s="28" t="n">
        <x:f>IFERROR(H465/I465*1000,0)</x:f>
        <x:v>12.627285005339532</x:v>
      </x:c>
      <x:c r="O465" t="n">
        <x:v>1.026486</x:v>
      </x:c>
      <x:c r="P465" t="n">
        <x:v>0</x:v>
      </x:c>
      <x:c r="Q465" s="28" t="n">
        <x:v>0</x:v>
      </x:c>
      <x:c r="R465" s="28" t="n">
        <x:v>0</x:v>
      </x:c>
    </x:row>
    <x:row r="466">
      <x:c r="A466" t="str">
        <x:v>2026-07-28</x:v>
      </x:c>
      <x:c r="B466" t="str">
        <x:v>449281783851362</x:v>
      </x:c>
      <x:c r="C466" t="str">
        <x:v>Doruk Hastaneleri - SİNA ÖZEL Sağlık Hizmetleri A.ş</x:v>
      </x:c>
      <x:c r="D466" t="str">
        <x:v>120247034876600399</x:v>
      </x:c>
      <x:c r="E466" t="str">
        <x:v>Gebe-Doğum Bilinirlik</x:v>
      </x:c>
      <x:c r="F466" t="str">
        <x:v>OUTCOME_AWARENESS</x:v>
      </x:c>
      <x:c r="G466" t="n">
        <x:v>88732</x:v>
      </x:c>
      <x:c r="H466" s="28" t="n">
        <x:v>869.92</x:v>
      </x:c>
      <x:c r="I466" t="n">
        <x:v>88732</x:v>
      </x:c>
      <x:c r="J466" t="n">
        <x:v>27</x:v>
      </x:c>
      <x:c r="K466" t="n">
        <x:v>0</x:v>
      </x:c>
      <x:c r="L466" s="27" t="n">
        <x:f>IFERROR(K466/I466,0)</x:f>
        <x:v>0</x:v>
      </x:c>
      <x:c r="M466" s="28" t="n">
        <x:f>IFERROR(H466/K466,0)</x:f>
        <x:v>0</x:v>
      </x:c>
      <x:c r="N466" s="28" t="n">
        <x:f>IFERROR(H466/I466*1000,0)</x:f>
        <x:v>9.803903890366497</x:v>
      </x:c>
      <x:c r="O466" t="n">
        <x:v>1</x:v>
      </x:c>
      <x:c r="P466" t="n">
        <x:v>0</x:v>
      </x:c>
      <x:c r="Q466" s="28" t="n">
        <x:v>0</x:v>
      </x:c>
      <x:c r="R466" s="28" t="n">
        <x:v>0</x:v>
      </x:c>
    </x:row>
    <x:row r="467">
      <x:c r="A467" t="str">
        <x:v>2026-07-28</x:v>
      </x:c>
      <x:c r="B467" t="str">
        <x:v>449281783851362</x:v>
      </x:c>
      <x:c r="C467" t="str">
        <x:v>Doruk Hastaneleri - SİNA ÖZEL Sağlık Hizmetleri A.ş</x:v>
      </x:c>
      <x:c r="D467" t="str">
        <x:v>120248812698040399</x:v>
      </x:c>
      <x:c r="E467" t="str">
        <x:v>ABO / Medikal Estetik lead / 16.04.2026</x:v>
      </x:c>
      <x:c r="F467" t="str">
        <x:v>OUTCOME_LEADS</x:v>
      </x:c>
      <x:c r="G467" t="n">
        <x:v>16769</x:v>
      </x:c>
      <x:c r="H467" s="28" t="n">
        <x:v>2253.85</x:v>
      </x:c>
      <x:c r="I467" t="n">
        <x:v>20844</x:v>
      </x:c>
      <x:c r="J467" t="n">
        <x:v>207</x:v>
      </x:c>
      <x:c r="K467" t="n">
        <x:v>78</x:v>
      </x:c>
      <x:c r="L467" s="27" t="n">
        <x:f>IFERROR(K467/I467,0)</x:f>
        <x:v>0.003742084052964882</x:v>
      </x:c>
      <x:c r="M467" s="28" t="n">
        <x:f>IFERROR(H467/K467,0)</x:f>
        <x:v>28.89551282051282</x:v>
      </x:c>
      <x:c r="N467" s="28" t="n">
        <x:f>IFERROR(H467/I467*1000,0)</x:f>
        <x:v>108.12943772788331</x:v>
      </x:c>
      <x:c r="O467" t="n">
        <x:v>1.243008</x:v>
      </x:c>
      <x:c r="P467" t="n">
        <x:v>19</x:v>
      </x:c>
      <x:c r="Q467" s="28" t="n">
        <x:v>0</x:v>
      </x:c>
      <x:c r="R467" s="28" t="n">
        <x:v>0</x:v>
      </x:c>
    </x:row>
    <x:row r="468">
      <x:c r="A468" t="str">
        <x:v>2026-07-28</x:v>
      </x:c>
      <x:c r="B468" t="str">
        <x:v>449281783851362</x:v>
      </x:c>
      <x:c r="C468" t="str">
        <x:v>Doruk Hastaneleri - SİNA ÖZEL Sağlık Hizmetleri A.ş</x:v>
      </x:c>
      <x:c r="D468" t="str">
        <x:v>120249061996540399</x:v>
      </x:c>
      <x:c r="E468" t="str">
        <x:v>Doktor - Bilinirlik Kampanyası - Nilüfer</x:v>
      </x:c>
      <x:c r="F468" t="str">
        <x:v>OUTCOME_AWARENESS</x:v>
      </x:c>
      <x:c r="G468" t="n">
        <x:v>504598</x:v>
      </x:c>
      <x:c r="H468" s="28" t="n">
        <x:v>5511.58</x:v>
      </x:c>
      <x:c r="I468" t="n">
        <x:v>572621</x:v>
      </x:c>
      <x:c r="J468" t="n">
        <x:v>315</x:v>
      </x:c>
      <x:c r="K468" t="n">
        <x:v>0</x:v>
      </x:c>
      <x:c r="L468" s="27" t="n">
        <x:f>IFERROR(K468/I468,0)</x:f>
        <x:v>0</x:v>
      </x:c>
      <x:c r="M468" s="28" t="n">
        <x:f>IFERROR(H468/K468,0)</x:f>
        <x:v>0</x:v>
      </x:c>
      <x:c r="N468" s="28" t="n">
        <x:f>IFERROR(H468/I468*1000,0)</x:f>
        <x:v>9.625179656352108</x:v>
      </x:c>
      <x:c r="O468" t="n">
        <x:v>1.134806</x:v>
      </x:c>
      <x:c r="P468" t="n">
        <x:v>0</x:v>
      </x:c>
      <x:c r="Q468" s="28" t="n">
        <x:v>0</x:v>
      </x:c>
      <x:c r="R468" s="28" t="n">
        <x:v>0</x:v>
      </x:c>
    </x:row>
    <x:row r="469">
      <x:c r="A469" t="str">
        <x:v>2026-07-28</x:v>
      </x:c>
      <x:c r="B469" t="str">
        <x:v>449281783851362</x:v>
      </x:c>
      <x:c r="C469" t="str">
        <x:v>Doruk Hastaneleri - SİNA ÖZEL Sağlık Hizmetleri A.ş</x:v>
      </x:c>
      <x:c r="D469" t="str">
        <x:v>120249614228610399</x:v>
      </x:c>
      <x:c r="E469" t="str">
        <x:v>Instagram gönderisi: Bir sezon boyunca ortaya...</x:v>
      </x:c>
      <x:c r="F469" t="str">
        <x:v>LINK_CLICKS</x:v>
      </x:c>
      <x:c r="G469" t="n">
        <x:v>50976</x:v>
      </x:c>
      <x:c r="H469" s="28" t="n">
        <x:v>3401.96</x:v>
      </x:c>
      <x:c r="I469" t="n">
        <x:v>56378</x:v>
      </x:c>
      <x:c r="J469" t="n">
        <x:v>730</x:v>
      </x:c>
      <x:c r="K469" t="n">
        <x:v>743</x:v>
      </x:c>
      <x:c r="L469" s="27" t="n">
        <x:f>IFERROR(K469/I469,0)</x:f>
        <x:v>0.01317889957075455</x:v>
      </x:c>
      <x:c r="M469" s="28" t="n">
        <x:f>IFERROR(H469/K469,0)</x:f>
        <x:v>4.5786810228802155</x:v>
      </x:c>
      <x:c r="N469" s="28" t="n">
        <x:f>IFERROR(H469/I469*1000,0)</x:f>
        <x:v>60.34197736705808</x:v>
      </x:c>
      <x:c r="O469" t="n">
        <x:v>1.105971</x:v>
      </x:c>
      <x:c r="P469" t="n">
        <x:v>0</x:v>
      </x:c>
      <x:c r="Q469" s="28" t="n">
        <x:v>0</x:v>
      </x:c>
      <x:c r="R469" s="28" t="n">
        <x:v>0</x:v>
      </x:c>
    </x:row>
    <x:row r="470">
      <x:c r="A470" t="str">
        <x:v>2026-07-28</x:v>
      </x:c>
      <x:c r="B470" t="str">
        <x:v>449281783851362</x:v>
      </x:c>
      <x:c r="C470" t="str">
        <x:v>Doruk Hastaneleri - SİNA ÖZEL Sağlık Hizmetleri A.ş</x:v>
      </x:c>
      <x:c r="D470" t="str">
        <x:v>120251414264130399</x:v>
      </x:c>
      <x:c r="E470" t="str">
        <x:v>Prostat Checkup - lead</x:v>
      </x:c>
      <x:c r="F470" t="str">
        <x:v>OUTCOME_LEADS</x:v>
      </x:c>
      <x:c r="G470" t="n">
        <x:v>7073</x:v>
      </x:c>
      <x:c r="H470" s="28" t="n">
        <x:v>508.97</x:v>
      </x:c>
      <x:c r="I470" t="n">
        <x:v>9017</x:v>
      </x:c>
      <x:c r="J470" t="n">
        <x:v>296</x:v>
      </x:c>
      <x:c r="K470" t="n">
        <x:v>82</x:v>
      </x:c>
      <x:c r="L470" s="27" t="n">
        <x:f>IFERROR(K470/I470,0)</x:f>
        <x:v>0.009093933680825108</x:v>
      </x:c>
      <x:c r="M470" s="28" t="n">
        <x:f>IFERROR(H470/K470,0)</x:f>
        <x:v>6.206951219512195</x:v>
      </x:c>
      <x:c r="N470" s="28" t="n">
        <x:f>IFERROR(H470/I470*1000,0)</x:f>
        <x:v>56.44560275036043</x:v>
      </x:c>
      <x:c r="O470" t="n">
        <x:v>1.274848</x:v>
      </x:c>
      <x:c r="P470" t="n">
        <x:v>5</x:v>
      </x:c>
      <x:c r="Q470" s="28" t="n">
        <x:v>0</x:v>
      </x:c>
      <x:c r="R470" s="28" t="n">
        <x:v>0</x:v>
      </x:c>
    </x:row>
    <x:row r="471">
      <x:c r="A471" t="str">
        <x:v>2026-07-28</x:v>
      </x:c>
      <x:c r="B471" t="str">
        <x:v>449281783851362</x:v>
      </x:c>
      <x:c r="C471" t="str">
        <x:v>Doruk Hastaneleri - SİNA ÖZEL Sağlık Hizmetleri A.ş</x:v>
      </x:c>
      <x:c r="D471" t="str">
        <x:v>120252323141170399</x:v>
      </x:c>
      <x:c r="E471" t="str">
        <x:v>Instagram gönderisi: Medikal estetik alanındaki...</x:v>
      </x:c>
      <x:c r="F471" t="str">
        <x:v>LINK_CLICKS</x:v>
      </x:c>
      <x:c r="G471" t="n">
        <x:v>6467</x:v>
      </x:c>
      <x:c r="H471" s="28" t="n">
        <x:v>415.65</x:v>
      </x:c>
      <x:c r="I471" t="n">
        <x:v>7058</x:v>
      </x:c>
      <x:c r="J471" t="n">
        <x:v>103</x:v>
      </x:c>
      <x:c r="K471" t="n">
        <x:v>100</x:v>
      </x:c>
      <x:c r="L471" s="27" t="n">
        <x:f>IFERROR(K471/I471,0)</x:f>
        <x:v>0.014168319637291017</x:v>
      </x:c>
      <x:c r="M471" s="28" t="n">
        <x:f>IFERROR(H471/K471,0)</x:f>
        <x:v>4.156499999999999</x:v>
      </x:c>
      <x:c r="N471" s="28" t="n">
        <x:f>IFERROR(H471/I471*1000,0)</x:f>
        <x:v>58.89062057240011</x:v>
      </x:c>
      <x:c r="O471" t="n">
        <x:v>1.091387</x:v>
      </x:c>
      <x:c r="P471" t="n">
        <x:v>0</x:v>
      </x:c>
      <x:c r="Q471" s="28" t="n">
        <x:v>0</x:v>
      </x:c>
      <x:c r="R471" s="28" t="n">
        <x:v>0</x:v>
      </x:c>
    </x:row>
    <x:row r="472">
      <x:c r="A472" t="str">
        <x:v>2026-07-28</x:v>
      </x:c>
      <x:c r="B472" t="str">
        <x:v>449281783851362</x:v>
      </x:c>
      <x:c r="C472" t="str">
        <x:v>Doruk Hastaneleri - SİNA ÖZEL Sağlık Hizmetleri A.ş</x:v>
      </x:c>
      <x:c r="D472" t="str">
        <x:v>120255099624540399</x:v>
      </x:c>
      <x:c r="E472" t="str">
        <x:v>Instagram gönderisi: Doruk Sağlık Grubu olarak,...</x:v>
      </x:c>
      <x:c r="F472" t="str">
        <x:v>LINK_CLICKS</x:v>
      </x:c>
      <x:c r="G472" t="n">
        <x:v>39525</x:v>
      </x:c>
      <x:c r="H472" s="28" t="n">
        <x:v>3066.58</x:v>
      </x:c>
      <x:c r="I472" t="n">
        <x:v>42257</x:v>
      </x:c>
      <x:c r="J472" t="n">
        <x:v>888</x:v>
      </x:c>
      <x:c r="K472" t="n">
        <x:v>876</x:v>
      </x:c>
      <x:c r="L472" s="27" t="n">
        <x:f>IFERROR(K472/I472,0)</x:f>
        <x:v>0.020730293205859385</x:v>
      </x:c>
      <x:c r="M472" s="28" t="n">
        <x:f>IFERROR(H472/K472,0)</x:f>
        <x:v>3.500662100456621</x:v>
      </x:c>
      <x:c r="N472" s="28" t="n">
        <x:f>IFERROR(H472/I472*1000,0)</x:f>
        <x:v>72.56975175710532</x:v>
      </x:c>
      <x:c r="O472" t="n">
        <x:v>1.069121</x:v>
      </x:c>
      <x:c r="P472" t="n">
        <x:v>0</x:v>
      </x:c>
      <x:c r="Q472" s="28" t="n">
        <x:v>0</x:v>
      </x:c>
      <x:c r="R472" s="28" t="n">
        <x:v>0</x:v>
      </x:c>
    </x:row>
    <x:row r="473">
      <x:c r="A473" t="str">
        <x:v>2026-07-28</x:v>
      </x:c>
      <x:c r="B473" t="str">
        <x:v>449281783851362</x:v>
      </x:c>
      <x:c r="C473" t="str">
        <x:v>Doruk Hastaneleri - SİNA ÖZEL Sağlık Hizmetleri A.ş</x:v>
      </x:c>
      <x:c r="D473" t="str">
        <x:v>120255158812950399</x:v>
      </x:c>
      <x:c r="E473" t="str">
        <x:v>Doktor - Bilinirlik Kampanyası - Yıldırım</x:v>
      </x:c>
      <x:c r="F473" t="str">
        <x:v>OUTCOME_AWARENESS</x:v>
      </x:c>
      <x:c r="G473" t="n">
        <x:v>263553</x:v>
      </x:c>
      <x:c r="H473" s="28" t="n">
        <x:v>2753.84</x:v>
      </x:c>
      <x:c r="I473" t="n">
        <x:v>286816</x:v>
      </x:c>
      <x:c r="J473" t="n">
        <x:v>135</x:v>
      </x:c>
      <x:c r="K473" t="n">
        <x:v>0</x:v>
      </x:c>
      <x:c r="L473" s="27" t="n">
        <x:f>IFERROR(K473/I473,0)</x:f>
        <x:v>0</x:v>
      </x:c>
      <x:c r="M473" s="28" t="n">
        <x:f>IFERROR(H473/K473,0)</x:f>
        <x:v>0</x:v>
      </x:c>
      <x:c r="N473" s="28" t="n">
        <x:f>IFERROR(H473/I473*1000,0)</x:f>
        <x:v>9.601416936293651</x:v>
      </x:c>
      <x:c r="O473" t="n">
        <x:v>1.088267</x:v>
      </x:c>
      <x:c r="P473" t="n">
        <x:v>0</x:v>
      </x:c>
      <x:c r="Q473" s="28" t="n">
        <x:v>0</x:v>
      </x:c>
      <x:c r="R473" s="28" t="n">
        <x:v>0</x:v>
      </x:c>
    </x:row>
    <x:row r="474">
      <x:c r="A474" t="str">
        <x:v>2026-07-28</x:v>
      </x:c>
      <x:c r="B474" t="str">
        <x:v>449281783851362</x:v>
      </x:c>
      <x:c r="C474" t="str">
        <x:v>Doruk Hastaneleri - SİNA ÖZEL Sağlık Hizmetleri A.ş</x:v>
      </x:c>
      <x:c r="D474" t="str">
        <x:v>120255738261970399</x:v>
      </x:c>
      <x:c r="E474" t="str">
        <x:v>Instagram gönderisi: Aşılama tedavisi, gebelik...</x:v>
      </x:c>
      <x:c r="F474" t="str">
        <x:v>LINK_CLICKS</x:v>
      </x:c>
      <x:c r="G474" t="n">
        <x:v>16941</x:v>
      </x:c>
      <x:c r="H474" s="28" t="n">
        <x:v>1367.13</x:v>
      </x:c>
      <x:c r="I474" t="n">
        <x:v>18368</x:v>
      </x:c>
      <x:c r="J474" t="n">
        <x:v>243</x:v>
      </x:c>
      <x:c r="K474" t="n">
        <x:v>240</x:v>
      </x:c>
      <x:c r="L474" s="27" t="n">
        <x:f>IFERROR(K474/I474,0)</x:f>
        <x:v>0.013066202090592335</x:v>
      </x:c>
      <x:c r="M474" s="28" t="n">
        <x:f>IFERROR(H474/K474,0)</x:f>
        <x:v>5.696375000000001</x:v>
      </x:c>
      <x:c r="N474" s="28" t="n">
        <x:f>IFERROR(H474/I474*1000,0)</x:f>
        <x:v>74.42998693379792</x:v>
      </x:c>
      <x:c r="O474" t="n">
        <x:v>1.084234</x:v>
      </x:c>
      <x:c r="P474" t="n">
        <x:v>0</x:v>
      </x:c>
      <x:c r="Q474" s="28" t="n">
        <x:v>0</x:v>
      </x:c>
      <x:c r="R474" s="28" t="n">
        <x:v>0</x:v>
      </x:c>
    </x:row>
    <x:row r="475">
      <x:c r="A475" t="str">
        <x:v>2026-07-28</x:v>
      </x:c>
      <x:c r="B475" t="str">
        <x:v>449281783851362</x:v>
      </x:c>
      <x:c r="C475" t="str">
        <x:v>Doruk Hastaneleri - SİNA ÖZEL Sağlık Hizmetleri A.ş</x:v>
      </x:c>
      <x:c r="D475" t="str">
        <x:v>120255738303970399</x:v>
      </x:c>
      <x:c r="E475" t="str">
        <x:v>Instagram gönderisi: 🏅 BURSA'DA BİR İLK
Özel...</x:v>
      </x:c>
      <x:c r="F475" t="str">
        <x:v>LINK_CLICKS</x:v>
      </x:c>
      <x:c r="G475" t="n">
        <x:v>7491</x:v>
      </x:c>
      <x:c r="H475" s="28" t="n">
        <x:v>877.35</x:v>
      </x:c>
      <x:c r="I475" t="n">
        <x:v>8185</x:v>
      </x:c>
      <x:c r="J475" t="n">
        <x:v>302</x:v>
      </x:c>
      <x:c r="K475" t="n">
        <x:v>303</x:v>
      </x:c>
      <x:c r="L475" s="27" t="n">
        <x:f>IFERROR(K475/I475,0)</x:f>
        <x:v>0.03701893708002443</x:v>
      </x:c>
      <x:c r="M475" s="28" t="n">
        <x:f>IFERROR(H475/K475,0)</x:f>
        <x:v>2.8955445544554457</x:v>
      </x:c>
      <x:c r="N475" s="28" t="n">
        <x:f>IFERROR(H475/I475*1000,0)</x:f>
        <x:v>107.18998167379353</x:v>
      </x:c>
      <x:c r="O475" t="n">
        <x:v>1.092645</x:v>
      </x:c>
      <x:c r="P475" t="n">
        <x:v>0</x:v>
      </x:c>
      <x:c r="Q475" s="28" t="n">
        <x:v>0</x:v>
      </x:c>
      <x:c r="R475" s="28" t="n">
        <x:v>0</x:v>
      </x:c>
    </x:row>
    <x:row r="476">
      <x:c r="A476" t="str">
        <x:v>2026-07-28</x:v>
      </x:c>
      <x:c r="B476" t="str">
        <x:v>449281783851362</x:v>
      </x:c>
      <x:c r="C476" t="str">
        <x:v>Doruk Hastaneleri - SİNA ÖZEL Sağlık Hizmetleri A.ş</x:v>
      </x:c>
      <x:c r="D476" t="str">
        <x:v>120255738326270399</x:v>
      </x:c>
      <x:c r="E476" t="str">
        <x:v>Instagram gönderisi: Gebelikte bel ağrısı sık...</x:v>
      </x:c>
      <x:c r="F476" t="str">
        <x:v>LINK_CLICKS</x:v>
      </x:c>
      <x:c r="G476" t="n">
        <x:v>27746</x:v>
      </x:c>
      <x:c r="H476" s="28" t="n">
        <x:v>1614.13</x:v>
      </x:c>
      <x:c r="I476" t="n">
        <x:v>29473</x:v>
      </x:c>
      <x:c r="J476" t="n">
        <x:v>380</x:v>
      </x:c>
      <x:c r="K476" t="n">
        <x:v>375</x:v>
      </x:c>
      <x:c r="L476" s="27" t="n">
        <x:f>IFERROR(K476/I476,0)</x:f>
        <x:v>0.012723509652902656</x:v>
      </x:c>
      <x:c r="M476" s="28" t="n">
        <x:f>IFERROR(H476/K476,0)</x:f>
        <x:v>4.3043466666666665</x:v>
      </x:c>
      <x:c r="N476" s="28" t="n">
        <x:f>IFERROR(H476/I476*1000,0)</x:f>
        <x:v>54.76639636277271</x:v>
      </x:c>
      <x:c r="O476" t="n">
        <x:v>1.062243</x:v>
      </x:c>
      <x:c r="P476" t="n">
        <x:v>0</x:v>
      </x:c>
      <x:c r="Q476" s="28" t="n">
        <x:v>0</x:v>
      </x:c>
      <x:c r="R476" s="28" t="n">
        <x:v>0</x:v>
      </x:c>
    </x:row>
    <x:row r="477">
      <x:c r="A477" t="str">
        <x:v>2026-07-28</x:v>
      </x:c>
      <x:c r="B477" t="str">
        <x:v>449281783851362</x:v>
      </x:c>
      <x:c r="C477" t="str">
        <x:v>Doruk Hastaneleri - SİNA ÖZEL Sağlık Hizmetleri A.ş</x:v>
      </x:c>
      <x:c r="D477" t="str">
        <x:v>120255738351260399</x:v>
      </x:c>
      <x:c r="E477" t="str">
        <x:v>Instagram gönderisi: İlişki sonrasında idrar...</x:v>
      </x:c>
      <x:c r="F477" t="str">
        <x:v>LINK_CLICKS</x:v>
      </x:c>
      <x:c r="G477" t="n">
        <x:v>15645</x:v>
      </x:c>
      <x:c r="H477" s="28" t="n">
        <x:v>1603.56</x:v>
      </x:c>
      <x:c r="I477" t="n">
        <x:v>16994</x:v>
      </x:c>
      <x:c r="J477" t="n">
        <x:v>335</x:v>
      </x:c>
      <x:c r="K477" t="n">
        <x:v>321</x:v>
      </x:c>
      <x:c r="L477" s="27" t="n">
        <x:f>IFERROR(K477/I477,0)</x:f>
        <x:v>0.018889019653995528</x:v>
      </x:c>
      <x:c r="M477" s="28" t="n">
        <x:f>IFERROR(H477/K477,0)</x:f>
        <x:v>4.995514018691589</x:v>
      </x:c>
      <x:c r="N477" s="28" t="n">
        <x:f>IFERROR(H477/I477*1000,0)</x:f>
        <x:v>94.36036248087561</x:v>
      </x:c>
      <x:c r="O477" t="n">
        <x:v>1.086226</x:v>
      </x:c>
      <x:c r="P477" t="n">
        <x:v>0</x:v>
      </x:c>
      <x:c r="Q477" s="28" t="n">
        <x:v>0</x:v>
      </x:c>
      <x:c r="R477" s="28" t="n">
        <x:v>0</x:v>
      </x:c>
    </x:row>
    <x:row r="478">
      <x:c r="A478" t="str">
        <x:v>2026-07-28</x:v>
      </x:c>
      <x:c r="B478" t="str">
        <x:v>449281783851362</x:v>
      </x:c>
      <x:c r="C478" t="str">
        <x:v>Doruk Hastaneleri - SİNA ÖZEL Sağlık Hizmetleri A.ş</x:v>
      </x:c>
      <x:c r="D478" t="str">
        <x:v>120255738376560399</x:v>
      </x:c>
      <x:c r="E478" t="str">
        <x:v>Instagram gönderisi: Ablasyon tedavisi, vücutta...</x:v>
      </x:c>
      <x:c r="F478" t="str">
        <x:v>LINK_CLICKS</x:v>
      </x:c>
      <x:c r="G478" t="n">
        <x:v>10949</x:v>
      </x:c>
      <x:c r="H478" s="28" t="n">
        <x:v>1477</x:v>
      </x:c>
      <x:c r="I478" t="n">
        <x:v>12022</x:v>
      </x:c>
      <x:c r="J478" t="n">
        <x:v>218</x:v>
      </x:c>
      <x:c r="K478" t="n">
        <x:v>220</x:v>
      </x:c>
      <x:c r="L478" s="27" t="n">
        <x:f>IFERROR(K478/I478,0)</x:f>
        <x:v>0.01829978372982865</x:v>
      </x:c>
      <x:c r="M478" s="28" t="n">
        <x:f>IFERROR(H478/K478,0)</x:f>
        <x:v>6.713636363636364</x:v>
      </x:c>
      <x:c r="N478" s="28" t="n">
        <x:f>IFERROR(H478/I478*1000,0)</x:f>
        <x:v>122.8580934952587</x:v>
      </x:c>
      <x:c r="O478" t="n">
        <x:v>1.098</x:v>
      </x:c>
      <x:c r="P478" t="n">
        <x:v>0</x:v>
      </x:c>
      <x:c r="Q478" s="28" t="n">
        <x:v>0</x:v>
      </x:c>
      <x:c r="R478" s="28" t="n">
        <x:v>0</x:v>
      </x:c>
    </x:row>
    <x:row r="479">
      <x:c r="A479" t="str">
        <x:v>2026-07-28</x:v>
      </x:c>
      <x:c r="B479" t="str">
        <x:v>449281783851362</x:v>
      </x:c>
      <x:c r="C479" t="str">
        <x:v>Doruk Hastaneleri - SİNA ÖZEL Sağlık Hizmetleri A.ş</x:v>
      </x:c>
      <x:c r="D479" t="str">
        <x:v>120255739080510399</x:v>
      </x:c>
      <x:c r="E479" t="str">
        <x:v>Gönderi: "👃 Rinoplasti Ameliyatı Nedir? Yumuşak Doku Neden..."</x:v>
      </x:c>
      <x:c r="F479" t="str">
        <x:v>OUTCOME_ENGAGEMENT</x:v>
      </x:c>
      <x:c r="G479" t="n">
        <x:v>11783</x:v>
      </x:c>
      <x:c r="H479" s="28" t="n">
        <x:v>923.21</x:v>
      </x:c>
      <x:c r="I479" t="n">
        <x:v>14932</x:v>
      </x:c>
      <x:c r="J479" t="n">
        <x:v>708</x:v>
      </x:c>
      <x:c r="K479" t="n">
        <x:v>337</x:v>
      </x:c>
      <x:c r="L479" s="27" t="n">
        <x:f>IFERROR(K479/I479,0)</x:f>
        <x:v>0.022568979373158316</x:v>
      </x:c>
      <x:c r="M479" s="28" t="n">
        <x:f>IFERROR(H479/K479,0)</x:f>
        <x:v>2.7394955489614246</x:v>
      </x:c>
      <x:c r="N479" s="28" t="n">
        <x:f>IFERROR(H479/I479*1000,0)</x:f>
        <x:v>61.82761853736941</x:v>
      </x:c>
      <x:c r="O479" t="n">
        <x:v>1.267249</x:v>
      </x:c>
      <x:c r="P479" t="n">
        <x:v>0</x:v>
      </x:c>
      <x:c r="Q479" s="28" t="n">
        <x:v>0</x:v>
      </x:c>
      <x:c r="R479" s="28" t="n">
        <x:v>0</x:v>
      </x:c>
    </x:row>
    <x:row r="480">
      <x:c r="A480" t="str">
        <x:v>2026-07-28</x:v>
      </x:c>
      <x:c r="B480" t="str">
        <x:v>449281783851362</x:v>
      </x:c>
      <x:c r="C480" t="str">
        <x:v>Doruk Hastaneleri - SİNA ÖZEL Sağlık Hizmetleri A.ş</x:v>
      </x:c>
      <x:c r="D480" t="str">
        <x:v>120255739163090399</x:v>
      </x:c>
      <x:c r="E480" t="str">
        <x:v>Instagram gönderisi: 👃 Rinoplasti Ameliyatı...</x:v>
      </x:c>
      <x:c r="F480" t="str">
        <x:v>LINK_CLICKS</x:v>
      </x:c>
      <x:c r="G480" t="n">
        <x:v>13228</x:v>
      </x:c>
      <x:c r="H480" s="28" t="n">
        <x:v>857.24</x:v>
      </x:c>
      <x:c r="I480" t="n">
        <x:v>15148</x:v>
      </x:c>
      <x:c r="J480" t="n">
        <x:v>567</x:v>
      </x:c>
      <x:c r="K480" t="n">
        <x:v>591</x:v>
      </x:c>
      <x:c r="L480" s="27" t="n">
        <x:f>IFERROR(K480/I480,0)</x:f>
        <x:v>0.03901505149194613</x:v>
      </x:c>
      <x:c r="M480" s="28" t="n">
        <x:f>IFERROR(H480/K480,0)</x:f>
        <x:v>1.4504906937394246</x:v>
      </x:c>
      <x:c r="N480" s="28" t="n">
        <x:f>IFERROR(H480/I480*1000,0)</x:f>
        <x:v>56.59096910483232</x:v>
      </x:c>
      <x:c r="O480" t="n">
        <x:v>1.145147</x:v>
      </x:c>
      <x:c r="P480" t="n">
        <x:v>0</x:v>
      </x:c>
      <x:c r="Q480" s="28" t="n">
        <x:v>0</x:v>
      </x:c>
      <x:c r="R480" s="28" t="n">
        <x:v>0</x:v>
      </x:c>
    </x:row>
    <x:row r="481">
      <x:c r="A481" t="str">
        <x:v>2026-07-28</x:v>
      </x:c>
      <x:c r="B481" t="str">
        <x:v>449281783851362</x:v>
      </x:c>
      <x:c r="C481" t="str">
        <x:v>Doruk Hastaneleri - SİNA ÖZEL Sağlık Hizmetleri A.ş</x:v>
      </x:c>
      <x:c r="D481" t="str">
        <x:v>120255739194330399</x:v>
      </x:c>
      <x:c r="E481" t="str">
        <x:v>Instagram gönderisi: 🖐️ Parmak Ucu Defekti Nasıl...</x:v>
      </x:c>
      <x:c r="F481" t="str">
        <x:v>LINK_CLICKS</x:v>
      </x:c>
      <x:c r="G481" t="n">
        <x:v>8453</x:v>
      </x:c>
      <x:c r="H481" s="28" t="n">
        <x:v>855.74</x:v>
      </x:c>
      <x:c r="I481" t="n">
        <x:v>9028</x:v>
      </x:c>
      <x:c r="J481" t="n">
        <x:v>324</x:v>
      </x:c>
      <x:c r="K481" t="n">
        <x:v>316</x:v>
      </x:c>
      <x:c r="L481" s="27" t="n">
        <x:f>IFERROR(K481/I481,0)</x:f>
        <x:v>0.035002215330084185</x:v>
      </x:c>
      <x:c r="M481" s="28" t="n">
        <x:f>IFERROR(H481/K481,0)</x:f>
        <x:v>2.708037974683544</x:v>
      </x:c>
      <x:c r="N481" s="28" t="n">
        <x:f>IFERROR(H481/I481*1000,0)</x:f>
        <x:v>94.78732831191849</x:v>
      </x:c>
      <x:c r="O481" t="n">
        <x:v>1.068023</x:v>
      </x:c>
      <x:c r="P481" t="n">
        <x:v>0</x:v>
      </x:c>
      <x:c r="Q481" s="28" t="n">
        <x:v>0</x:v>
      </x:c>
      <x:c r="R481" s="28" t="n">
        <x:v>0</x:v>
      </x:c>
    </x:row>
    <x:row r="482">
      <x:c r="A482" t="str">
        <x:v>2026-07-28</x:v>
      </x:c>
      <x:c r="B482" t="str">
        <x:v>449281783851362</x:v>
      </x:c>
      <x:c r="C482" t="str">
        <x:v>Doruk Hastaneleri - SİNA ÖZEL Sağlık Hizmetleri A.ş</x:v>
      </x:c>
      <x:c r="D482" t="str">
        <x:v>120255739290470399</x:v>
      </x:c>
      <x:c r="E482" t="str">
        <x:v>Instagram gönderisi: 🎗️ Kemoterapi Alan Her...</x:v>
      </x:c>
      <x:c r="F482" t="str">
        <x:v>LINK_CLICKS</x:v>
      </x:c>
      <x:c r="G482" t="n">
        <x:v>18605</x:v>
      </x:c>
      <x:c r="H482" s="28" t="n">
        <x:v>1554.04</x:v>
      </x:c>
      <x:c r="I482" t="n">
        <x:v>21113</x:v>
      </x:c>
      <x:c r="J482" t="n">
        <x:v>434</x:v>
      </x:c>
      <x:c r="K482" t="n">
        <x:v>415</x:v>
      </x:c>
      <x:c r="L482" s="27" t="n">
        <x:f>IFERROR(K482/I482,0)</x:f>
        <x:v>0.019656136029934164</x:v>
      </x:c>
      <x:c r="M482" s="28" t="n">
        <x:f>IFERROR(H482/K482,0)</x:f>
        <x:v>3.7446746987951807</x:v>
      </x:c>
      <x:c r="N482" s="28" t="n">
        <x:f>IFERROR(H482/I482*1000,0)</x:f>
        <x:v>73.60583526737082</x:v>
      </x:c>
      <x:c r="O482" t="n">
        <x:v>1.134802</x:v>
      </x:c>
      <x:c r="P482" t="n">
        <x:v>0</x:v>
      </x:c>
      <x:c r="Q482" s="28" t="n">
        <x:v>0</x:v>
      </x:c>
      <x:c r="R482" s="28" t="n">
        <x:v>0</x:v>
      </x:c>
    </x:row>
    <x:row r="483">
      <x:c r="A483" t="str">
        <x:v>2026-07-28</x:v>
      </x:c>
      <x:c r="B483" t="str">
        <x:v>449281783851362</x:v>
      </x:c>
      <x:c r="C483" t="str">
        <x:v>Doruk Hastaneleri - SİNA ÖZEL Sağlık Hizmetleri A.ş</x:v>
      </x:c>
      <x:c r="D483" t="str">
        <x:v>120255739336980399</x:v>
      </x:c>
      <x:c r="E483" t="str">
        <x:v>Instagram gönderisi: 🎗️ Kanser Tanısı Fizik...</x:v>
      </x:c>
      <x:c r="F483" t="str">
        <x:v>LINK_CLICKS</x:v>
      </x:c>
      <x:c r="G483" t="n">
        <x:v>14065</x:v>
      </x:c>
      <x:c r="H483" s="28" t="n">
        <x:v>1525.77</x:v>
      </x:c>
      <x:c r="I483" t="n">
        <x:v>15198</x:v>
      </x:c>
      <x:c r="J483" t="n">
        <x:v>217</x:v>
      </x:c>
      <x:c r="K483" t="n">
        <x:v>199</x:v>
      </x:c>
      <x:c r="L483" s="27" t="n">
        <x:f>IFERROR(K483/I483,0)</x:f>
        <x:v>0.013093828135280958</x:v>
      </x:c>
      <x:c r="M483" s="28" t="n">
        <x:f>IFERROR(H483/K483,0)</x:f>
        <x:v>7.667185929648241</x:v>
      </x:c>
      <x:c r="N483" s="28" t="n">
        <x:f>IFERROR(H483/I483*1000,0)</x:f>
        <x:v>100.39281484405844</x:v>
      </x:c>
      <x:c r="O483" t="n">
        <x:v>1.080555</x:v>
      </x:c>
      <x:c r="P483" t="n">
        <x:v>0</x:v>
      </x:c>
      <x:c r="Q483" s="28" t="n">
        <x:v>0</x:v>
      </x:c>
      <x:c r="R483" s="28" t="n">
        <x:v>0</x:v>
      </x:c>
    </x:row>
    <x:row r="484">
      <x:c r="A484" t="str">
        <x:v>2026-07-28</x:v>
      </x:c>
      <x:c r="B484" t="str">
        <x:v>449281783851362</x:v>
      </x:c>
      <x:c r="C484" t="str">
        <x:v>Doruk Hastaneleri - SİNA ÖZEL Sağlık Hizmetleri A.ş</x:v>
      </x:c>
      <x:c r="D484" t="str">
        <x:v>120255739424180399</x:v>
      </x:c>
      <x:c r="E484" t="str">
        <x:v>Instagram gönderisi: ✅Gebelikte uyku pozisyonu...</x:v>
      </x:c>
      <x:c r="F484" t="str">
        <x:v>LINK_CLICKS</x:v>
      </x:c>
      <x:c r="G484" t="n">
        <x:v>0</x:v>
      </x:c>
      <x:c r="H484" s="28" t="n">
        <x:v>0</x:v>
      </x:c>
      <x:c r="I484" t="n">
        <x:v>0</x:v>
      </x:c>
      <x:c r="J484" t="n">
        <x:v>0</x:v>
      </x:c>
      <x:c r="K484" t="n">
        <x:v>0</x:v>
      </x:c>
      <x:c r="L484" s="27" t="n">
        <x:f>IFERROR(K484/I484,0)</x:f>
        <x:v>0</x:v>
      </x:c>
      <x:c r="M484" s="28" t="n">
        <x:f>IFERROR(H484/K484,0)</x:f>
        <x:v>0</x:v>
      </x:c>
      <x:c r="N484" s="28" t="n">
        <x:f>IFERROR(H484/I484*1000,0)</x:f>
        <x:v>0</x:v>
      </x:c>
      <x:c r="O484" t="n">
        <x:v>0</x:v>
      </x:c>
      <x:c r="P484" t="n">
        <x:v>0</x:v>
      </x:c>
      <x:c r="Q484" s="28" t="n">
        <x:v>0</x:v>
      </x:c>
      <x:c r="R484" s="28" t="n">
        <x:v>0</x:v>
      </x:c>
    </x:row>
    <x:row r="485">
      <x:c r="A485" t="str">
        <x:v>2026-07-28</x:v>
      </x:c>
      <x:c r="B485" t="str">
        <x:v>449281783851362</x:v>
      </x:c>
      <x:c r="C485" t="str">
        <x:v>Doruk Hastaneleri - SİNA ÖZEL Sağlık Hizmetleri A.ş</x:v>
      </x:c>
      <x:c r="D485" t="str">
        <x:v>120255739460510399</x:v>
      </x:c>
      <x:c r="E485" t="str">
        <x:v>Instagram gönderisi: 🦴 Omurga Kırıklarında Asıl...</x:v>
      </x:c>
      <x:c r="F485" t="str">
        <x:v>LINK_CLICKS</x:v>
      </x:c>
      <x:c r="G485" t="n">
        <x:v>26081</x:v>
      </x:c>
      <x:c r="H485" s="28" t="n">
        <x:v>1611.85</x:v>
      </x:c>
      <x:c r="I485" t="n">
        <x:v>27170</x:v>
      </x:c>
      <x:c r="J485" t="n">
        <x:v>338</x:v>
      </x:c>
      <x:c r="K485" t="n">
        <x:v>326</x:v>
      </x:c>
      <x:c r="L485" s="27" t="n">
        <x:f>IFERROR(K485/I485,0)</x:f>
        <x:v>0.011998527788001472</x:v>
      </x:c>
      <x:c r="M485" s="28" t="n">
        <x:f>IFERROR(H485/K485,0)</x:f>
        <x:v>4.9443251533742325</x:v>
      </x:c>
      <x:c r="N485" s="28" t="n">
        <x:f>IFERROR(H485/I485*1000,0)</x:f>
        <x:v>59.32462274567538</x:v>
      </x:c>
      <x:c r="O485" t="n">
        <x:v>1.041755</x:v>
      </x:c>
      <x:c r="P485" t="n">
        <x:v>0</x:v>
      </x:c>
      <x:c r="Q485" s="28" t="n">
        <x:v>0</x:v>
      </x:c>
      <x:c r="R485" s="28" t="n">
        <x:v>0</x:v>
      </x:c>
    </x:row>
    <x:row r="486">
      <x:c r="A486" t="str">
        <x:v>2026-07-28</x:v>
      </x:c>
      <x:c r="B486" t="str">
        <x:v>449281783851362</x:v>
      </x:c>
      <x:c r="C486" t="str">
        <x:v>Doruk Hastaneleri - SİNA ÖZEL Sağlık Hizmetleri A.ş</x:v>
      </x:c>
      <x:c r="D486" t="str">
        <x:v>120255739485660399</x:v>
      </x:c>
      <x:c r="E486" t="str">
        <x:v>Instagram gönderisi: 🦴 Bel Fıtığında Doğru Zaman...</x:v>
      </x:c>
      <x:c r="F486" t="str">
        <x:v>LINK_CLICKS</x:v>
      </x:c>
      <x:c r="G486" t="n">
        <x:v>25917</x:v>
      </x:c>
      <x:c r="H486" s="28" t="n">
        <x:v>1560.05</x:v>
      </x:c>
      <x:c r="I486" t="n">
        <x:v>29337</x:v>
      </x:c>
      <x:c r="J486" t="n">
        <x:v>469</x:v>
      </x:c>
      <x:c r="K486" t="n">
        <x:v>463</x:v>
      </x:c>
      <x:c r="L486" s="27" t="n">
        <x:f>IFERROR(K486/I486,0)</x:f>
        <x:v>0.015782118144322867</x:v>
      </x:c>
      <x:c r="M486" s="28" t="n">
        <x:f>IFERROR(H486/K486,0)</x:f>
        <x:v>3.369438444924406</x:v>
      </x:c>
      <x:c r="N486" s="28" t="n">
        <x:f>IFERROR(H486/I486*1000,0)</x:f>
        <x:v>53.1768756178205</x:v>
      </x:c>
      <x:c r="O486" t="n">
        <x:v>1.13196</x:v>
      </x:c>
      <x:c r="P486" t="n">
        <x:v>0</x:v>
      </x:c>
      <x:c r="Q486" s="28" t="n">
        <x:v>0</x:v>
      </x:c>
      <x:c r="R486" s="28" t="n">
        <x:v>0</x:v>
      </x:c>
    </x:row>
    <x:row r="487">
      <x:c r="A487" t="str">
        <x:v>2026-07-28</x:v>
      </x:c>
      <x:c r="B487" t="str">
        <x:v>449281783851362</x:v>
      </x:c>
      <x:c r="C487" t="str">
        <x:v>Doruk Hastaneleri - SİNA ÖZEL Sağlık Hizmetleri A.ş</x:v>
      </x:c>
      <x:c r="D487" t="str">
        <x:v>120255763855030399</x:v>
      </x:c>
      <x:c r="E487" t="str">
        <x:v>Doktor - Bilinirlik Kampanyası - Çekirge</x:v>
      </x:c>
      <x:c r="F487" t="str">
        <x:v>OUTCOME_AWARENESS</x:v>
      </x:c>
      <x:c r="G487" t="n">
        <x:v>170204</x:v>
      </x:c>
      <x:c r="H487" s="28" t="n">
        <x:v>2123.06</x:v>
      </x:c>
      <x:c r="I487" t="n">
        <x:v>213705</x:v>
      </x:c>
      <x:c r="J487" t="n">
        <x:v>184</x:v>
      </x:c>
      <x:c r="K487" t="n">
        <x:v>0</x:v>
      </x:c>
      <x:c r="L487" s="27" t="n">
        <x:f>IFERROR(K487/I487,0)</x:f>
        <x:v>0</x:v>
      </x:c>
      <x:c r="M487" s="28" t="n">
        <x:f>IFERROR(H487/K487,0)</x:f>
        <x:v>0</x:v>
      </x:c>
      <x:c r="N487" s="28" t="n">
        <x:f>IFERROR(H487/I487*1000,0)</x:f>
        <x:v>9.934535925691959</x:v>
      </x:c>
      <x:c r="O487" t="n">
        <x:v>1.255582</x:v>
      </x:c>
      <x:c r="P487" t="n">
        <x:v>0</x:v>
      </x:c>
      <x:c r="Q487" s="28" t="n">
        <x:v>0</x:v>
      </x:c>
      <x:c r="R487" s="28" t="n">
        <x:v>0</x:v>
      </x:c>
    </x:row>
    <x:row r="488">
      <x:c r="A488" t="str">
        <x:v>2026-07-29</x:v>
      </x:c>
      <x:c r="B488" t="str">
        <x:v>449281783851362</x:v>
      </x:c>
      <x:c r="C488" t="str">
        <x:v>Doruk Hastaneleri - SİNA ÖZEL Sağlık Hizmetleri A.ş</x:v>
      </x:c>
      <x:c r="D488" t="str">
        <x:v>120202624613730399</x:v>
      </x:c>
      <x:c r="E488" t="str">
        <x:v>CBO / Saç Ekimi - lead / soğuk</x:v>
      </x:c>
      <x:c r="F488" t="str">
        <x:v>OUTCOME_LEADS</x:v>
      </x:c>
      <x:c r="G488" t="n">
        <x:v>2406</x:v>
      </x:c>
      <x:c r="H488" s="28" t="n">
        <x:v>418.79</x:v>
      </x:c>
      <x:c r="I488" t="n">
        <x:v>3289</x:v>
      </x:c>
      <x:c r="J488" t="n">
        <x:v>24</x:v>
      </x:c>
      <x:c r="K488" t="n">
        <x:v>18</x:v>
      </x:c>
      <x:c r="L488" s="27" t="n">
        <x:f>IFERROR(K488/I488,0)</x:f>
        <x:v>0.005472788081483734</x:v>
      </x:c>
      <x:c r="M488" s="28" t="n">
        <x:f>IFERROR(H488/K488,0)</x:f>
        <x:v>23.266111111111112</x:v>
      </x:c>
      <x:c r="N488" s="28" t="n">
        <x:f>IFERROR(H488/I488*1000,0)</x:f>
        <x:v>127.33049559136516</x:v>
      </x:c>
      <x:c r="O488" t="n">
        <x:v>1.366999</x:v>
      </x:c>
      <x:c r="P488" t="n">
        <x:v>2</x:v>
      </x:c>
      <x:c r="Q488" s="28" t="n">
        <x:v>0</x:v>
      </x:c>
      <x:c r="R488" s="28" t="n">
        <x:v>0</x:v>
      </x:c>
    </x:row>
    <x:row r="489">
      <x:c r="A489" t="str">
        <x:v>2026-07-29</x:v>
      </x:c>
      <x:c r="B489" t="str">
        <x:v>449281783851362</x:v>
      </x:c>
      <x:c r="C489" t="str">
        <x:v>Doruk Hastaneleri - SİNA ÖZEL Sağlık Hizmetleri A.ş</x:v>
      </x:c>
      <x:c r="D489" t="str">
        <x:v>120211731920800399</x:v>
      </x:c>
      <x:c r="E489" t="str">
        <x:v>ABO / Göz Kapağı Estetiği / plastik cerrahi / lead</x:v>
      </x:c>
      <x:c r="F489" t="str">
        <x:v>OUTCOME_LEADS</x:v>
      </x:c>
      <x:c r="G489" t="n">
        <x:v>1090</x:v>
      </x:c>
      <x:c r="H489" s="28" t="n">
        <x:v>116.19</x:v>
      </x:c>
      <x:c r="I489" t="n">
        <x:v>1362</x:v>
      </x:c>
      <x:c r="J489" t="n">
        <x:v>4</x:v>
      </x:c>
      <x:c r="K489" t="n">
        <x:v>0</x:v>
      </x:c>
      <x:c r="L489" s="27" t="n">
        <x:f>IFERROR(K489/I489,0)</x:f>
        <x:v>0</x:v>
      </x:c>
      <x:c r="M489" s="28" t="n">
        <x:f>IFERROR(H489/K489,0)</x:f>
        <x:v>0</x:v>
      </x:c>
      <x:c r="N489" s="28" t="n">
        <x:f>IFERROR(H489/I489*1000,0)</x:f>
        <x:v>85.30837004405286</x:v>
      </x:c>
      <x:c r="O489" t="n">
        <x:v>1.249541</x:v>
      </x:c>
      <x:c r="P489" t="n">
        <x:v>0</x:v>
      </x:c>
      <x:c r="Q489" s="28" t="n">
        <x:v>0</x:v>
      </x:c>
      <x:c r="R489" s="28" t="n">
        <x:v>0</x:v>
      </x:c>
    </x:row>
    <x:row r="490">
      <x:c r="A490" t="str">
        <x:v>2026-07-29</x:v>
      </x:c>
      <x:c r="B490" t="str">
        <x:v>449281783851362</x:v>
      </x:c>
      <x:c r="C490" t="str">
        <x:v>Doruk Hastaneleri - SİNA ÖZEL Sağlık Hizmetleri A.ş</x:v>
      </x:c>
      <x:c r="D490" t="str">
        <x:v>120211732243050399</x:v>
      </x:c>
      <x:c r="E490" t="str">
        <x:v>ABO /Kepçe Kulak / plastik cerrahi / lead</x:v>
      </x:c>
      <x:c r="F490" t="str">
        <x:v>OUTCOME_LEADS</x:v>
      </x:c>
      <x:c r="G490" t="n">
        <x:v>2676</x:v>
      </x:c>
      <x:c r="H490" s="28" t="n">
        <x:v>112.09</x:v>
      </x:c>
      <x:c r="I490" t="n">
        <x:v>2902</x:v>
      </x:c>
      <x:c r="J490" t="n">
        <x:v>11</x:v>
      </x:c>
      <x:c r="K490" t="n">
        <x:v>7</x:v>
      </x:c>
      <x:c r="L490" s="27" t="n">
        <x:f>IFERROR(K490/I490,0)</x:f>
        <x:v>0.002412129565816678</x:v>
      </x:c>
      <x:c r="M490" s="28" t="n">
        <x:f>IFERROR(H490/K490,0)</x:f>
        <x:v>16.012857142857143</x:v>
      </x:c>
      <x:c r="N490" s="28" t="n">
        <x:f>IFERROR(H490/I490*1000,0)</x:f>
        <x:v>38.625086147484495</x:v>
      </x:c>
      <x:c r="O490" t="n">
        <x:v>1.084454</x:v>
      </x:c>
      <x:c r="P490" t="n">
        <x:v>0</x:v>
      </x:c>
      <x:c r="Q490" s="28" t="n">
        <x:v>0</x:v>
      </x:c>
      <x:c r="R490" s="28" t="n">
        <x:v>0</x:v>
      </x:c>
    </x:row>
    <x:row r="491">
      <x:c r="A491" t="str">
        <x:v>2026-07-29</x:v>
      </x:c>
      <x:c r="B491" t="str">
        <x:v>449281783851362</x:v>
      </x:c>
      <x:c r="C491" t="str">
        <x:v>Doruk Hastaneleri - SİNA ÖZEL Sağlık Hizmetleri A.ş</x:v>
      </x:c>
      <x:c r="D491" t="str">
        <x:v>120211732311210399</x:v>
      </x:c>
      <x:c r="E491" t="str">
        <x:v>ABO / Meme Estetiği / plastik cerrahi / lead</x:v>
      </x:c>
      <x:c r="F491" t="str">
        <x:v>OUTCOME_LEADS</x:v>
      </x:c>
      <x:c r="G491" t="n">
        <x:v>3263</x:v>
      </x:c>
      <x:c r="H491" s="28" t="n">
        <x:v>310.45</x:v>
      </x:c>
      <x:c r="I491" t="n">
        <x:v>3887</x:v>
      </x:c>
      <x:c r="J491" t="n">
        <x:v>22</x:v>
      </x:c>
      <x:c r="K491" t="n">
        <x:v>13</x:v>
      </x:c>
      <x:c r="L491" s="27" t="n">
        <x:f>IFERROR(K491/I491,0)</x:f>
        <x:v>0.0033444816053511705</x:v>
      </x:c>
      <x:c r="M491" s="28" t="n">
        <x:f>IFERROR(H491/K491,0)</x:f>
        <x:v>23.88076923076923</x:v>
      </x:c>
      <x:c r="N491" s="28" t="n">
        <x:f>IFERROR(H491/I491*1000,0)</x:f>
        <x:v>79.86879341394392</x:v>
      </x:c>
      <x:c r="O491" t="n">
        <x:v>1.191235</x:v>
      </x:c>
      <x:c r="P491" t="n">
        <x:v>0</x:v>
      </x:c>
      <x:c r="Q491" s="28" t="n">
        <x:v>0</x:v>
      </x:c>
      <x:c r="R491" s="28" t="n">
        <x:v>0</x:v>
      </x:c>
    </x:row>
    <x:row r="492">
      <x:c r="A492" t="str">
        <x:v>2026-07-29</x:v>
      </x:c>
      <x:c r="B492" t="str">
        <x:v>449281783851362</x:v>
      </x:c>
      <x:c r="C492" t="str">
        <x:v>Doruk Hastaneleri - SİNA ÖZEL Sağlık Hizmetleri A.ş</x:v>
      </x:c>
      <x:c r="D492" t="str">
        <x:v>120211732618490399</x:v>
      </x:c>
      <x:c r="E492" t="str">
        <x:v>ABO /Jinekomasti / plastik cerrahi / lead</x:v>
      </x:c>
      <x:c r="F492" t="str">
        <x:v>OUTCOME_LEADS</x:v>
      </x:c>
      <x:c r="G492" t="n">
        <x:v>1358</x:v>
      </x:c>
      <x:c r="H492" s="28" t="n">
        <x:v>133.77</x:v>
      </x:c>
      <x:c r="I492" t="n">
        <x:v>1551</x:v>
      </x:c>
      <x:c r="J492" t="n">
        <x:v>8</x:v>
      </x:c>
      <x:c r="K492" t="n">
        <x:v>4</x:v>
      </x:c>
      <x:c r="L492" s="27" t="n">
        <x:f>IFERROR(K492/I492,0)</x:f>
        <x:v>0.0025789813023855577</x:v>
      </x:c>
      <x:c r="M492" s="28" t="n">
        <x:f>IFERROR(H492/K492,0)</x:f>
        <x:v>33.4425</x:v>
      </x:c>
      <x:c r="N492" s="28" t="n">
        <x:f>IFERROR(H492/I492*1000,0)</x:f>
        <x:v>86.24758220502902</x:v>
      </x:c>
      <x:c r="O492" t="n">
        <x:v>1.142121</x:v>
      </x:c>
      <x:c r="P492" t="n">
        <x:v>1</x:v>
      </x:c>
      <x:c r="Q492" s="28" t="n">
        <x:v>0</x:v>
      </x:c>
      <x:c r="R492" s="28" t="n">
        <x:v>0</x:v>
      </x:c>
    </x:row>
    <x:row r="493">
      <x:c r="A493" t="str">
        <x:v>2026-07-29</x:v>
      </x:c>
      <x:c r="B493" t="str">
        <x:v>449281783851362</x:v>
      </x:c>
      <x:c r="C493" t="str">
        <x:v>Doruk Hastaneleri - SİNA ÖZEL Sağlık Hizmetleri A.ş</x:v>
      </x:c>
      <x:c r="D493" t="str">
        <x:v>120211732654260399</x:v>
      </x:c>
      <x:c r="E493" t="str">
        <x:v>ABO / Rinoplasti / plastik cerrahi / lead</x:v>
      </x:c>
      <x:c r="F493" t="str">
        <x:v>OUTCOME_LEADS</x:v>
      </x:c>
      <x:c r="G493" t="n">
        <x:v>2629</x:v>
      </x:c>
      <x:c r="H493" s="28" t="n">
        <x:v>305.04</x:v>
      </x:c>
      <x:c r="I493" t="n">
        <x:v>3245</x:v>
      </x:c>
      <x:c r="J493" t="n">
        <x:v>19</x:v>
      </x:c>
      <x:c r="K493" t="n">
        <x:v>10</x:v>
      </x:c>
      <x:c r="L493" s="27" t="n">
        <x:f>IFERROR(K493/I493,0)</x:f>
        <x:v>0.0030816640986132513</x:v>
      </x:c>
      <x:c r="M493" s="28" t="n">
        <x:f>IFERROR(H493/K493,0)</x:f>
        <x:v>30.504</x:v>
      </x:c>
      <x:c r="N493" s="28" t="n">
        <x:f>IFERROR(H493/I493*1000,0)</x:f>
        <x:v>94.00308166409863</x:v>
      </x:c>
      <x:c r="O493" t="n">
        <x:v>1.23431</x:v>
      </x:c>
      <x:c r="P493" t="n">
        <x:v>0</x:v>
      </x:c>
      <x:c r="Q493" s="28" t="n">
        <x:v>0</x:v>
      </x:c>
      <x:c r="R493" s="28" t="n">
        <x:v>0</x:v>
      </x:c>
    </x:row>
    <x:row r="494">
      <x:c r="A494" t="str">
        <x:v>2026-07-29</x:v>
      </x:c>
      <x:c r="B494" t="str">
        <x:v>449281783851362</x:v>
      </x:c>
      <x:c r="C494" t="str">
        <x:v>Doruk Hastaneleri - SİNA ÖZEL Sağlık Hizmetleri A.ş</x:v>
      </x:c>
      <x:c r="D494" t="str">
        <x:v>120211732712890399</x:v>
      </x:c>
      <x:c r="E494" t="str">
        <x:v>ABO / Vücut Şekillendirme / plastik cerrahi / lead</x:v>
      </x:c>
      <x:c r="F494" t="str">
        <x:v>OUTCOME_LEADS</x:v>
      </x:c>
      <x:c r="G494" t="n">
        <x:v>460</x:v>
      </x:c>
      <x:c r="H494" s="28" t="n">
        <x:v>143.74</x:v>
      </x:c>
      <x:c r="I494" t="n">
        <x:v>609</x:v>
      </x:c>
      <x:c r="J494" t="n">
        <x:v>7</x:v>
      </x:c>
      <x:c r="K494" t="n">
        <x:v>3</x:v>
      </x:c>
      <x:c r="L494" s="27" t="n">
        <x:f>IFERROR(K494/I494,0)</x:f>
        <x:v>0.0049261083743842365</x:v>
      </x:c>
      <x:c r="M494" s="28" t="n">
        <x:f>IFERROR(H494/K494,0)</x:f>
        <x:v>47.913333333333334</x:v>
      </x:c>
      <x:c r="N494" s="28" t="n">
        <x:f>IFERROR(H494/I494*1000,0)</x:f>
        <x:v>236.02627257799674</x:v>
      </x:c>
      <x:c r="O494" t="n">
        <x:v>1.323913</x:v>
      </x:c>
      <x:c r="P494" t="n">
        <x:v>0</x:v>
      </x:c>
      <x:c r="Q494" s="28" t="n">
        <x:v>0</x:v>
      </x:c>
      <x:c r="R494" s="28" t="n">
        <x:v>0</x:v>
      </x:c>
    </x:row>
    <x:row r="495">
      <x:c r="A495" t="str">
        <x:v>2026-07-29</x:v>
      </x:c>
      <x:c r="B495" t="str">
        <x:v>449281783851362</x:v>
      </x:c>
      <x:c r="C495" t="str">
        <x:v>Doruk Hastaneleri - SİNA ÖZEL Sağlık Hizmetleri A.ş</x:v>
      </x:c>
      <x:c r="D495" t="str">
        <x:v>120211732754080399</x:v>
      </x:c>
      <x:c r="E495" t="str">
        <x:v>ABO / Yüz Germe (Facelift) / plastik cerrahi / lead</x:v>
      </x:c>
      <x:c r="F495" t="str">
        <x:v>OUTCOME_LEADS</x:v>
      </x:c>
      <x:c r="G495" t="n">
        <x:v>285</x:v>
      </x:c>
      <x:c r="H495" s="28" t="n">
        <x:v>114.68</x:v>
      </x:c>
      <x:c r="I495" t="n">
        <x:v>361</x:v>
      </x:c>
      <x:c r="J495" t="n">
        <x:v>7</x:v>
      </x:c>
      <x:c r="K495" t="n">
        <x:v>5</x:v>
      </x:c>
      <x:c r="L495" s="27" t="n">
        <x:f>IFERROR(K495/I495,0)</x:f>
        <x:v>0.013850415512465374</x:v>
      </x:c>
      <x:c r="M495" s="28" t="n">
        <x:f>IFERROR(H495/K495,0)</x:f>
        <x:v>22.936</x:v>
      </x:c>
      <x:c r="N495" s="28" t="n">
        <x:f>IFERROR(H495/I495*1000,0)</x:f>
        <x:v>317.6731301939059</x:v>
      </x:c>
      <x:c r="O495" t="n">
        <x:v>1.266667</x:v>
      </x:c>
      <x:c r="P495" t="n">
        <x:v>0</x:v>
      </x:c>
      <x:c r="Q495" s="28" t="n">
        <x:v>0</x:v>
      </x:c>
      <x:c r="R495" s="28" t="n">
        <x:v>0</x:v>
      </x:c>
    </x:row>
    <x:row r="496">
      <x:c r="A496" t="str">
        <x:v>2026-07-29</x:v>
      </x:c>
      <x:c r="B496" t="str">
        <x:v>449281783851362</x:v>
      </x:c>
      <x:c r="C496" t="str">
        <x:v>Doruk Hastaneleri - SİNA ÖZEL Sağlık Hizmetleri A.ş</x:v>
      </x:c>
      <x:c r="D496" t="str">
        <x:v>120214167265870399</x:v>
      </x:c>
      <x:c r="E496" t="str">
        <x:v>Baş Dönmesi ve Denge Ünitesi / lead</x:v>
      </x:c>
      <x:c r="F496" t="str">
        <x:v>OUTCOME_LEADS</x:v>
      </x:c>
      <x:c r="G496" t="n">
        <x:v>2350</x:v>
      </x:c>
      <x:c r="H496" s="28" t="n">
        <x:v>168.89</x:v>
      </x:c>
      <x:c r="I496" t="n">
        <x:v>2661</x:v>
      </x:c>
      <x:c r="J496" t="n">
        <x:v>34</x:v>
      </x:c>
      <x:c r="K496" t="n">
        <x:v>17</x:v>
      </x:c>
      <x:c r="L496" s="27" t="n">
        <x:f>IFERROR(K496/I496,0)</x:f>
        <x:v>0.006388575723412251</x:v>
      </x:c>
      <x:c r="M496" s="28" t="n">
        <x:f>IFERROR(H496/K496,0)</x:f>
        <x:v>9.93470588235294</x:v>
      </x:c>
      <x:c r="N496" s="28" t="n">
        <x:f>IFERROR(H496/I496*1000,0)</x:f>
        <x:v>63.46862081924089</x:v>
      </x:c>
      <x:c r="O496" t="n">
        <x:v>1.13234</x:v>
      </x:c>
      <x:c r="P496" t="n">
        <x:v>3</x:v>
      </x:c>
      <x:c r="Q496" s="28" t="n">
        <x:v>0</x:v>
      </x:c>
      <x:c r="R496" s="28" t="n">
        <x:v>0</x:v>
      </x:c>
    </x:row>
    <x:row r="497">
      <x:c r="A497" t="str">
        <x:v>2026-07-29</x:v>
      </x:c>
      <x:c r="B497" t="str">
        <x:v>449281783851362</x:v>
      </x:c>
      <x:c r="C497" t="str">
        <x:v>Doruk Hastaneleri - SİNA ÖZEL Sağlık Hizmetleri A.ş</x:v>
      </x:c>
      <x:c r="D497" t="str">
        <x:v>120220089108220399</x:v>
      </x:c>
      <x:c r="E497" t="str">
        <x:v>Checkup - genel - lead</x:v>
      </x:c>
      <x:c r="F497" t="str">
        <x:v>OUTCOME_LEADS</x:v>
      </x:c>
      <x:c r="G497" t="n">
        <x:v>3305</x:v>
      </x:c>
      <x:c r="H497" s="28" t="n">
        <x:v>446.2</x:v>
      </x:c>
      <x:c r="I497" t="n">
        <x:v>3957</x:v>
      </x:c>
      <x:c r="J497" t="n">
        <x:v>32</x:v>
      </x:c>
      <x:c r="K497" t="n">
        <x:v>17</x:v>
      </x:c>
      <x:c r="L497" s="27" t="n">
        <x:f>IFERROR(K497/I497,0)</x:f>
        <x:v>0.00429618397776093</x:v>
      </x:c>
      <x:c r="M497" s="28" t="n">
        <x:f>IFERROR(H497/K497,0)</x:f>
        <x:v>26.24705882352941</x:v>
      </x:c>
      <x:c r="N497" s="28" t="n">
        <x:f>IFERROR(H497/I497*1000,0)</x:f>
        <x:v>112.7621935809957</x:v>
      </x:c>
      <x:c r="O497" t="n">
        <x:v>1.197277</x:v>
      </x:c>
      <x:c r="P497" t="n">
        <x:v>4</x:v>
      </x:c>
      <x:c r="Q497" s="28" t="n">
        <x:v>0</x:v>
      </x:c>
      <x:c r="R497" s="28" t="n">
        <x:v>0</x:v>
      </x:c>
    </x:row>
    <x:row r="498">
      <x:c r="A498" t="str">
        <x:v>2026-07-29</x:v>
      </x:c>
      <x:c r="B498" t="str">
        <x:v>170008509278498</x:v>
      </x:c>
      <x:c r="C498" t="str">
        <x:v>Doruk Hospital</x:v>
      </x:c>
      <x:c r="D498" t="str">
        <x:v>120232382033210080</x:v>
      </x:c>
      <x:c r="E498" t="str">
        <x:v>Fizik Tedavi - Intensive FTR - Türki Cumhuriyetler - Tümü - RU - Lechenie v Turtsii - lead</x:v>
      </x:c>
      <x:c r="F498" t="str">
        <x:v>OUTCOME_LEADS</x:v>
      </x:c>
      <x:c r="G498" t="n">
        <x:v>189545</x:v>
      </x:c>
      <x:c r="H498" s="28" t="n">
        <x:v>38440.49</x:v>
      </x:c>
      <x:c r="I498" t="n">
        <x:v>256082</x:v>
      </x:c>
      <x:c r="J498" t="n">
        <x:v>1826</x:v>
      </x:c>
      <x:c r="K498" t="n">
        <x:v>1348</x:v>
      </x:c>
      <x:c r="L498" s="27" t="n">
        <x:f>IFERROR(K498/I498,0)</x:f>
        <x:v>0.005263938894572832</x:v>
      </x:c>
      <x:c r="M498" s="28" t="n">
        <x:f>IFERROR(H498/K498,0)</x:f>
        <x:v>28.516683976261127</x:v>
      </x:c>
      <x:c r="N498" s="28" t="n">
        <x:f>IFERROR(H498/I498*1000,0)</x:f>
        <x:v>150.1100819268828</x:v>
      </x:c>
      <x:c r="O498" t="n">
        <x:v>1.351035</x:v>
      </x:c>
      <x:c r="P498" t="n">
        <x:v>19</x:v>
      </x:c>
      <x:c r="Q498" s="28" t="n">
        <x:v>0</x:v>
      </x:c>
      <x:c r="R498" s="28" t="n">
        <x:v>0</x:v>
      </x:c>
    </x:row>
    <x:row r="499">
      <x:c r="A499" t="str">
        <x:v>2026-07-29</x:v>
      </x:c>
      <x:c r="B499" t="str">
        <x:v>170008509278498</x:v>
      </x:c>
      <x:c r="C499" t="str">
        <x:v>Doruk Hospital</x:v>
      </x:c>
      <x:c r="D499" t="str">
        <x:v>120238651325780080</x:v>
      </x:c>
      <x:c r="E499" t="str">
        <x:v>Whatsapp - Fizik Tedavi - Intensive FTR - Arap Bölgesi - Tümü - AR - Doruk İlaj Turkia</x:v>
      </x:c>
      <x:c r="F499" t="str">
        <x:v>OUTCOME_LEADS</x:v>
      </x:c>
      <x:c r="G499" t="n">
        <x:v>85248</x:v>
      </x:c>
      <x:c r="H499" s="28" t="n">
        <x:v>39151.11</x:v>
      </x:c>
      <x:c r="I499" t="n">
        <x:v>116301</x:v>
      </x:c>
      <x:c r="J499" t="n">
        <x:v>1059</x:v>
      </x:c>
      <x:c r="K499" t="n">
        <x:v>470</x:v>
      </x:c>
      <x:c r="L499" s="27" t="n">
        <x:f>IFERROR(K499/I499,0)</x:f>
        <x:v>0.0040412378225466675</x:v>
      </x:c>
      <x:c r="M499" s="28" t="n">
        <x:f>IFERROR(H499/K499,0)</x:f>
        <x:v>83.3002340425532</x:v>
      </x:c>
      <x:c r="N499" s="28" t="n">
        <x:f>IFERROR(H499/I499*1000,0)</x:f>
        <x:v>336.63605643975546</x:v>
      </x:c>
      <x:c r="O499" t="n">
        <x:v>1.364267</x:v>
      </x:c>
      <x:c r="P499" t="n">
        <x:v>0</x:v>
      </x:c>
      <x:c r="Q499" s="28" t="n">
        <x:v>0</x:v>
      </x:c>
      <x:c r="R499" s="28" t="n">
        <x:v>0</x:v>
      </x:c>
    </x:row>
    <x:row r="500">
      <x:c r="A500" t="str">
        <x:v>2026-07-29</x:v>
      </x:c>
      <x:c r="B500" t="str">
        <x:v>449281783851362</x:v>
      </x:c>
      <x:c r="C500" t="str">
        <x:v>Doruk Hastaneleri - SİNA ÖZEL Sağlık Hizmetleri A.ş</x:v>
      </x:c>
      <x:c r="D500" t="str">
        <x:v>120242415465180399</x:v>
      </x:c>
      <x:c r="E500" t="str">
        <x:v>Gebe-Doğum Form Kampanyası</x:v>
      </x:c>
      <x:c r="F500" t="str">
        <x:v>OUTCOME_LEADS</x:v>
      </x:c>
      <x:c r="G500" t="n">
        <x:v>21625</x:v>
      </x:c>
      <x:c r="H500" s="28" t="n">
        <x:v>2125.32</x:v>
      </x:c>
      <x:c r="I500" t="n">
        <x:v>36534</x:v>
      </x:c>
      <x:c r="J500" t="n">
        <x:v>197</x:v>
      </x:c>
      <x:c r="K500" t="n">
        <x:v>119</x:v>
      </x:c>
      <x:c r="L500" s="27" t="n">
        <x:f>IFERROR(K500/I500,0)</x:f>
        <x:v>0.003257239831389938</x:v>
      </x:c>
      <x:c r="M500" s="28" t="n">
        <x:f>IFERROR(H500/K500,0)</x:f>
        <x:v>17.859831932773112</x:v>
      </x:c>
      <x:c r="N500" s="28" t="n">
        <x:f>IFERROR(H500/I500*1000,0)</x:f>
        <x:v>58.173755953358516</x:v>
      </x:c>
      <x:c r="O500" t="n">
        <x:v>1.689434</x:v>
      </x:c>
      <x:c r="P500" t="n">
        <x:v>11</x:v>
      </x:c>
      <x:c r="Q500" s="28" t="n">
        <x:v>0</x:v>
      </x:c>
      <x:c r="R500" s="28" t="n">
        <x:v>0</x:v>
      </x:c>
    </x:row>
    <x:row r="501">
      <x:c r="A501" t="str">
        <x:v>2026-07-29</x:v>
      </x:c>
      <x:c r="B501" t="str">
        <x:v>170008509278498</x:v>
      </x:c>
      <x:c r="C501" t="str">
        <x:v>Doruk Hospital</x:v>
      </x:c>
      <x:c r="D501" t="str">
        <x:v>120242709752170080</x:v>
      </x:c>
      <x:c r="E501" t="str">
        <x:v>Instagram gönderisi: Аппарат TrueBeam — одна из...</x:v>
      </x:c>
      <x:c r="F501" t="str">
        <x:v>LINK_CLICKS</x:v>
      </x:c>
      <x:c r="G501" t="n">
        <x:v>96192</x:v>
      </x:c>
      <x:c r="H501" s="28" t="n">
        <x:v>6260.28</x:v>
      </x:c>
      <x:c r="I501" t="n">
        <x:v>109566</x:v>
      </x:c>
      <x:c r="J501" t="n">
        <x:v>2245</x:v>
      </x:c>
      <x:c r="K501" t="n">
        <x:v>2045</x:v>
      </x:c>
      <x:c r="L501" s="27" t="n">
        <x:f>IFERROR(K501/I501,0)</x:f>
        <x:v>0.018664549221473814</x:v>
      </x:c>
      <x:c r="M501" s="28" t="n">
        <x:f>IFERROR(H501/K501,0)</x:f>
        <x:v>3.0612616136919315</x:v>
      </x:c>
      <x:c r="N501" s="28" t="n">
        <x:f>IFERROR(H501/I501*1000,0)</x:f>
        <x:v>57.13706806856141</x:v>
      </x:c>
      <x:c r="O501" t="n">
        <x:v>1.139034</x:v>
      </x:c>
      <x:c r="P501" t="n">
        <x:v>0</x:v>
      </x:c>
      <x:c r="Q501" s="28" t="n">
        <x:v>0</x:v>
      </x:c>
      <x:c r="R501" s="28" t="n">
        <x:v>0</x:v>
      </x:c>
    </x:row>
    <x:row r="502">
      <x:c r="A502" t="str">
        <x:v>2026-07-29</x:v>
      </x:c>
      <x:c r="B502" t="str">
        <x:v>449281783851362</x:v>
      </x:c>
      <x:c r="C502" t="str">
        <x:v>Doruk Hastaneleri - SİNA ÖZEL Sağlık Hizmetleri A.ş</x:v>
      </x:c>
      <x:c r="D502" t="str">
        <x:v>120244050701710399</x:v>
      </x:c>
      <x:c r="E502" t="str">
        <x:v>Uzman Hekim Başvuru</x:v>
      </x:c>
      <x:c r="F502" t="str">
        <x:v>OUTCOME_LEADS</x:v>
      </x:c>
      <x:c r="G502" t="n">
        <x:v>2585</x:v>
      </x:c>
      <x:c r="H502" s="28" t="n">
        <x:v>409.92</x:v>
      </x:c>
      <x:c r="I502" t="n">
        <x:v>3222</x:v>
      </x:c>
      <x:c r="J502" t="n">
        <x:v>47</x:v>
      </x:c>
      <x:c r="K502" t="n">
        <x:v>25</x:v>
      </x:c>
      <x:c r="L502" s="27" t="n">
        <x:f>IFERROR(K502/I502,0)</x:f>
        <x:v>0.007759155803848541</x:v>
      </x:c>
      <x:c r="M502" s="28" t="n">
        <x:f>IFERROR(H502/K502,0)</x:f>
        <x:v>16.3968</x:v>
      </x:c>
      <x:c r="N502" s="28" t="n">
        <x:f>IFERROR(H502/I502*1000,0)</x:f>
        <x:v>127.22532588454378</x:v>
      </x:c>
      <x:c r="O502" t="n">
        <x:v>1.246422</x:v>
      </x:c>
      <x:c r="P502" t="n">
        <x:v>4</x:v>
      </x:c>
      <x:c r="Q502" s="28" t="n">
        <x:v>0</x:v>
      </x:c>
      <x:c r="R502" s="28" t="n">
        <x:v>0</x:v>
      </x:c>
    </x:row>
    <x:row r="503">
      <x:c r="A503" t="str">
        <x:v>2026-07-29</x:v>
      </x:c>
      <x:c r="B503" t="str">
        <x:v>449281783851362</x:v>
      </x:c>
      <x:c r="C503" t="str">
        <x:v>Doruk Hastaneleri - SİNA ÖZEL Sağlık Hizmetleri A.ş</x:v>
      </x:c>
      <x:c r="D503" t="str">
        <x:v>120246476228800399</x:v>
      </x:c>
      <x:c r="E503" t="str">
        <x:v>FTR Yatılı - lead</x:v>
      </x:c>
      <x:c r="F503" t="str">
        <x:v>OUTCOME_LEADS</x:v>
      </x:c>
      <x:c r="G503" t="n">
        <x:v>23057</x:v>
      </x:c>
      <x:c r="H503" s="28" t="n">
        <x:v>1371.19</x:v>
      </x:c>
      <x:c r="I503" t="n">
        <x:v>25005</x:v>
      </x:c>
      <x:c r="J503" t="n">
        <x:v>173</x:v>
      </x:c>
      <x:c r="K503" t="n">
        <x:v>92</x:v>
      </x:c>
      <x:c r="L503" s="27" t="n">
        <x:f>IFERROR(K503/I503,0)</x:f>
        <x:v>0.003679264147170566</x:v>
      </x:c>
      <x:c r="M503" s="28" t="n">
        <x:f>IFERROR(H503/K503,0)</x:f>
        <x:v>14.904239130434783</x:v>
      </x:c>
      <x:c r="N503" s="28" t="n">
        <x:f>IFERROR(H503/I503*1000,0)</x:f>
        <x:v>54.83663267346531</x:v>
      </x:c>
      <x:c r="O503" t="n">
        <x:v>1.084486</x:v>
      </x:c>
      <x:c r="P503" t="n">
        <x:v>1</x:v>
      </x:c>
      <x:c r="Q503" s="28" t="n">
        <x:v>0</x:v>
      </x:c>
      <x:c r="R503" s="28" t="n">
        <x:v>0</x:v>
      </x:c>
    </x:row>
    <x:row r="504">
      <x:c r="A504" t="str">
        <x:v>2026-07-29</x:v>
      </x:c>
      <x:c r="B504" t="str">
        <x:v>449281783851362</x:v>
      </x:c>
      <x:c r="C504" t="str">
        <x:v>Doruk Hastaneleri - SİNA ÖZEL Sağlık Hizmetleri A.ş</x:v>
      </x:c>
      <x:c r="D504" t="str">
        <x:v>120246691590090399</x:v>
      </x:c>
      <x:c r="E504" t="str">
        <x:v>Hemşire İş Başvuru - lead</x:v>
      </x:c>
      <x:c r="F504" t="str">
        <x:v>OUTCOME_LEADS</x:v>
      </x:c>
      <x:c r="G504" t="n">
        <x:v>5652</x:v>
      </x:c>
      <x:c r="H504" s="28" t="n">
        <x:v>378.85</x:v>
      </x:c>
      <x:c r="I504" t="n">
        <x:v>7908</x:v>
      </x:c>
      <x:c r="J504" t="n">
        <x:v>53</x:v>
      </x:c>
      <x:c r="K504" t="n">
        <x:v>39</x:v>
      </x:c>
      <x:c r="L504" s="27" t="n">
        <x:f>IFERROR(K504/I504,0)</x:f>
        <x:v>0.004931714719271623</x:v>
      </x:c>
      <x:c r="M504" s="28" t="n">
        <x:f>IFERROR(H504/K504,0)</x:f>
        <x:v>9.714102564102564</x:v>
      </x:c>
      <x:c r="N504" s="28" t="n">
        <x:f>IFERROR(H504/I504*1000,0)</x:f>
        <x:v>47.90718259989884</x:v>
      </x:c>
      <x:c r="O504" t="n">
        <x:v>1.399151</x:v>
      </x:c>
      <x:c r="P504" t="n">
        <x:v>1</x:v>
      </x:c>
      <x:c r="Q504" s="28" t="n">
        <x:v>0</x:v>
      </x:c>
      <x:c r="R504" s="28" t="n">
        <x:v>0</x:v>
      </x:c>
    </x:row>
    <x:row r="505">
      <x:c r="A505" t="str">
        <x:v>2026-07-29</x:v>
      </x:c>
      <x:c r="B505" t="str">
        <x:v>449281783851362</x:v>
      </x:c>
      <x:c r="C505" t="str">
        <x:v>Doruk Hastaneleri - SİNA ÖZEL Sağlık Hizmetleri A.ş</x:v>
      </x:c>
      <x:c r="D505" t="str">
        <x:v>120246924981440399</x:v>
      </x:c>
      <x:c r="E505" t="str">
        <x:v>ÖSS-TSS - marka bilinirliği</x:v>
      </x:c>
      <x:c r="F505" t="str">
        <x:v>OUTCOME_AWARENESS</x:v>
      </x:c>
      <x:c r="G505" t="n">
        <x:v>74728</x:v>
      </x:c>
      <x:c r="H505" s="28" t="n">
        <x:v>994.17</x:v>
      </x:c>
      <x:c r="I505" t="n">
        <x:v>77365</x:v>
      </x:c>
      <x:c r="J505" t="n">
        <x:v>95</x:v>
      </x:c>
      <x:c r="K505" t="n">
        <x:v>28</x:v>
      </x:c>
      <x:c r="L505" s="27" t="n">
        <x:f>IFERROR(K505/I505,0)</x:f>
        <x:v>0.00036192076520390355</x:v>
      </x:c>
      <x:c r="M505" s="28" t="n">
        <x:f>IFERROR(H505/K505,0)</x:f>
        <x:v>35.506071428571424</x:v>
      </x:c>
      <x:c r="N505" s="28" t="n">
        <x:f>IFERROR(H505/I505*1000,0)</x:f>
        <x:v>12.85038454081303</x:v>
      </x:c>
      <x:c r="O505" t="n">
        <x:v>1.035288</x:v>
      </x:c>
      <x:c r="P505" t="n">
        <x:v>0</x:v>
      </x:c>
      <x:c r="Q505" s="28" t="n">
        <x:v>0</x:v>
      </x:c>
      <x:c r="R505" s="28" t="n">
        <x:v>0</x:v>
      </x:c>
    </x:row>
    <x:row r="506">
      <x:c r="A506" t="str">
        <x:v>2026-07-29</x:v>
      </x:c>
      <x:c r="B506" t="str">
        <x:v>449281783851362</x:v>
      </x:c>
      <x:c r="C506" t="str">
        <x:v>Doruk Hastaneleri - SİNA ÖZEL Sağlık Hizmetleri A.ş</x:v>
      </x:c>
      <x:c r="D506" t="str">
        <x:v>120247034876600399</x:v>
      </x:c>
      <x:c r="E506" t="str">
        <x:v>Gebe-Doğum Bilinirlik</x:v>
      </x:c>
      <x:c r="F506" t="str">
        <x:v>OUTCOME_AWARENESS</x:v>
      </x:c>
      <x:c r="G506" t="n">
        <x:v>48101</x:v>
      </x:c>
      <x:c r="H506" s="28" t="n">
        <x:v>486.07</x:v>
      </x:c>
      <x:c r="I506" t="n">
        <x:v>48955</x:v>
      </x:c>
      <x:c r="J506" t="n">
        <x:v>31</x:v>
      </x:c>
      <x:c r="K506" t="n">
        <x:v>0</x:v>
      </x:c>
      <x:c r="L506" s="27" t="n">
        <x:f>IFERROR(K506/I506,0)</x:f>
        <x:v>0</x:v>
      </x:c>
      <x:c r="M506" s="28" t="n">
        <x:f>IFERROR(H506/K506,0)</x:f>
        <x:v>0</x:v>
      </x:c>
      <x:c r="N506" s="28" t="n">
        <x:f>IFERROR(H506/I506*1000,0)</x:f>
        <x:v>9.928914309059339</x:v>
      </x:c>
      <x:c r="O506" t="n">
        <x:v>1.017754</x:v>
      </x:c>
      <x:c r="P506" t="n">
        <x:v>0</x:v>
      </x:c>
      <x:c r="Q506" s="28" t="n">
        <x:v>0</x:v>
      </x:c>
      <x:c r="R506" s="28" t="n">
        <x:v>0</x:v>
      </x:c>
    </x:row>
    <x:row r="507">
      <x:c r="A507" t="str">
        <x:v>2026-07-29</x:v>
      </x:c>
      <x:c r="B507" t="str">
        <x:v>170008509278498</x:v>
      </x:c>
      <x:c r="C507" t="str">
        <x:v>Doruk Hospital</x:v>
      </x:c>
      <x:c r="D507" t="str">
        <x:v>120247571768010080</x:v>
      </x:c>
      <x:c r="E507" t="str">
        <x:v>Meme Estetiği - Jinekomasti - Birleşik Krallık - Tümü - EN - Doruk Jinekomasti</x:v>
      </x:c>
      <x:c r="F507" t="str">
        <x:v>OUTCOME_LEADS</x:v>
      </x:c>
      <x:c r="G507" t="n">
        <x:v>3181</x:v>
      </x:c>
      <x:c r="H507" s="28" t="n">
        <x:v>2776.88</x:v>
      </x:c>
      <x:c r="I507" t="n">
        <x:v>5330</x:v>
      </x:c>
      <x:c r="J507" t="n">
        <x:v>143</x:v>
      </x:c>
      <x:c r="K507" t="n">
        <x:v>60</x:v>
      </x:c>
      <x:c r="L507" s="27" t="n">
        <x:f>IFERROR(K507/I507,0)</x:f>
        <x:v>0.01125703564727955</x:v>
      </x:c>
      <x:c r="M507" s="28" t="n">
        <x:f>IFERROR(H507/K507,0)</x:f>
        <x:v>46.281333333333336</x:v>
      </x:c>
      <x:c r="N507" s="28" t="n">
        <x:f>IFERROR(H507/I507*1000,0)</x:f>
        <x:v>520.9906191369606</x:v>
      </x:c>
      <x:c r="O507" t="n">
        <x:v>1.675574</x:v>
      </x:c>
      <x:c r="P507" t="n">
        <x:v>14</x:v>
      </x:c>
      <x:c r="Q507" s="28" t="n">
        <x:v>0</x:v>
      </x:c>
      <x:c r="R507" s="28" t="n">
        <x:v>0</x:v>
      </x:c>
    </x:row>
    <x:row r="508">
      <x:c r="A508" t="str">
        <x:v>2026-07-29</x:v>
      </x:c>
      <x:c r="B508" t="str">
        <x:v>449281783851362</x:v>
      </x:c>
      <x:c r="C508" t="str">
        <x:v>Doruk Hastaneleri - SİNA ÖZEL Sağlık Hizmetleri A.ş</x:v>
      </x:c>
      <x:c r="D508" t="str">
        <x:v>120248812698040399</x:v>
      </x:c>
      <x:c r="E508" t="str">
        <x:v>ABO / Medikal Estetik lead / 16.04.2026</x:v>
      </x:c>
      <x:c r="F508" t="str">
        <x:v>OUTCOME_LEADS</x:v>
      </x:c>
      <x:c r="G508" t="n">
        <x:v>9650</x:v>
      </x:c>
      <x:c r="H508" s="28" t="n">
        <x:v>1090.21</x:v>
      </x:c>
      <x:c r="I508" t="n">
        <x:v>11767</x:v>
      </x:c>
      <x:c r="J508" t="n">
        <x:v>130</x:v>
      </x:c>
      <x:c r="K508" t="n">
        <x:v>57</x:v>
      </x:c>
      <x:c r="L508" s="27" t="n">
        <x:f>IFERROR(K508/I508,0)</x:f>
        <x:v>0.004844055409195207</x:v>
      </x:c>
      <x:c r="M508" s="28" t="n">
        <x:f>IFERROR(H508/K508,0)</x:f>
        <x:v>19.126491228070176</x:v>
      </x:c>
      <x:c r="N508" s="28" t="n">
        <x:f>IFERROR(H508/I508*1000,0)</x:f>
        <x:v>92.64978329225801</x:v>
      </x:c>
      <x:c r="O508" t="n">
        <x:v>1.219378</x:v>
      </x:c>
      <x:c r="P508" t="n">
        <x:v>13</x:v>
      </x:c>
      <x:c r="Q508" s="28" t="n">
        <x:v>0</x:v>
      </x:c>
      <x:c r="R508" s="28" t="n">
        <x:v>0</x:v>
      </x:c>
    </x:row>
    <x:row r="509">
      <x:c r="A509" t="str">
        <x:v>2026-07-29</x:v>
      </x:c>
      <x:c r="B509" t="str">
        <x:v>449281783851362</x:v>
      </x:c>
      <x:c r="C509" t="str">
        <x:v>Doruk Hastaneleri - SİNA ÖZEL Sağlık Hizmetleri A.ş</x:v>
      </x:c>
      <x:c r="D509" t="str">
        <x:v>120249061996540399</x:v>
      </x:c>
      <x:c r="E509" t="str">
        <x:v>Doktor - Bilinirlik Kampanyası - Nilüfer</x:v>
      </x:c>
      <x:c r="F509" t="str">
        <x:v>OUTCOME_AWARENESS</x:v>
      </x:c>
      <x:c r="G509" t="n">
        <x:v>320406</x:v>
      </x:c>
      <x:c r="H509" s="28" t="n">
        <x:v>3212.85</x:v>
      </x:c>
      <x:c r="I509" t="n">
        <x:v>336195</x:v>
      </x:c>
      <x:c r="J509" t="n">
        <x:v>213</x:v>
      </x:c>
      <x:c r="K509" t="n">
        <x:v>0</x:v>
      </x:c>
      <x:c r="L509" s="27" t="n">
        <x:f>IFERROR(K509/I509,0)</x:f>
        <x:v>0</x:v>
      </x:c>
      <x:c r="M509" s="28" t="n">
        <x:f>IFERROR(H509/K509,0)</x:f>
        <x:v>0</x:v>
      </x:c>
      <x:c r="N509" s="28" t="n">
        <x:f>IFERROR(H509/I509*1000,0)</x:f>
        <x:v>9.556507384107437</x:v>
      </x:c>
      <x:c r="O509" t="n">
        <x:v>1.049278</x:v>
      </x:c>
      <x:c r="P509" t="n">
        <x:v>0</x:v>
      </x:c>
      <x:c r="Q509" s="28" t="n">
        <x:v>0</x:v>
      </x:c>
      <x:c r="R509" s="28" t="n">
        <x:v>0</x:v>
      </x:c>
    </x:row>
    <x:row r="510">
      <x:c r="A510" t="str">
        <x:v>2026-07-29</x:v>
      </x:c>
      <x:c r="B510" t="str">
        <x:v>449281783851362</x:v>
      </x:c>
      <x:c r="C510" t="str">
        <x:v>Doruk Hastaneleri - SİNA ÖZEL Sağlık Hizmetleri A.ş</x:v>
      </x:c>
      <x:c r="D510" t="str">
        <x:v>120249614228610399</x:v>
      </x:c>
      <x:c r="E510" t="str">
        <x:v>Instagram gönderisi: Bir sezon boyunca ortaya...</x:v>
      </x:c>
      <x:c r="F510" t="str">
        <x:v>LINK_CLICKS</x:v>
      </x:c>
      <x:c r="G510" t="n">
        <x:v>32901</x:v>
      </x:c>
      <x:c r="H510" s="28" t="n">
        <x:v>1904.27</x:v>
      </x:c>
      <x:c r="I510" t="n">
        <x:v>36117</x:v>
      </x:c>
      <x:c r="J510" t="n">
        <x:v>423</x:v>
      </x:c>
      <x:c r="K510" t="n">
        <x:v>425</x:v>
      </x:c>
      <x:c r="L510" s="27" t="n">
        <x:f>IFERROR(K510/I510,0)</x:f>
        <x:v>0.011767311792230806</x:v>
      </x:c>
      <x:c r="M510" s="28" t="n">
        <x:f>IFERROR(H510/K510,0)</x:f>
        <x:v>4.480635294117647</x:v>
      </x:c>
      <x:c r="N510" s="28" t="n">
        <x:f>IFERROR(H510/I510*1000,0)</x:f>
        <x:v>52.72503253315613</x:v>
      </x:c>
      <x:c r="O510" t="n">
        <x:v>1.097748</x:v>
      </x:c>
      <x:c r="P510" t="n">
        <x:v>0</x:v>
      </x:c>
      <x:c r="Q510" s="28" t="n">
        <x:v>0</x:v>
      </x:c>
      <x:c r="R510" s="28" t="n">
        <x:v>0</x:v>
      </x:c>
    </x:row>
    <x:row r="511">
      <x:c r="A511" t="str">
        <x:v>2026-07-29</x:v>
      </x:c>
      <x:c r="B511" t="str">
        <x:v>449281783851362</x:v>
      </x:c>
      <x:c r="C511" t="str">
        <x:v>Doruk Hastaneleri - SİNA ÖZEL Sağlık Hizmetleri A.ş</x:v>
      </x:c>
      <x:c r="D511" t="str">
        <x:v>120251414264130399</x:v>
      </x:c>
      <x:c r="E511" t="str">
        <x:v>Prostat Checkup - lead</x:v>
      </x:c>
      <x:c r="F511" t="str">
        <x:v>OUTCOME_LEADS</x:v>
      </x:c>
      <x:c r="G511" t="n">
        <x:v>4837</x:v>
      </x:c>
      <x:c r="H511" s="28" t="n">
        <x:v>285.38</x:v>
      </x:c>
      <x:c r="I511" t="n">
        <x:v>5377</x:v>
      </x:c>
      <x:c r="J511" t="n">
        <x:v>171</x:v>
      </x:c>
      <x:c r="K511" t="n">
        <x:v>50</x:v>
      </x:c>
      <x:c r="L511" s="27" t="n">
        <x:f>IFERROR(K511/I511,0)</x:f>
        <x:v>0.009298865538404314</x:v>
      </x:c>
      <x:c r="M511" s="28" t="n">
        <x:f>IFERROR(H511/K511,0)</x:f>
        <x:v>5.7076</x:v>
      </x:c>
      <x:c r="N511" s="28" t="n">
        <x:f>IFERROR(H511/I511*1000,0)</x:f>
        <x:v>53.07420494699647</x:v>
      </x:c>
      <x:c r="O511" t="n">
        <x:v>1.111639</x:v>
      </x:c>
      <x:c r="P511" t="n">
        <x:v>1</x:v>
      </x:c>
      <x:c r="Q511" s="28" t="n">
        <x:v>0</x:v>
      </x:c>
      <x:c r="R511" s="28" t="n">
        <x:v>0</x:v>
      </x:c>
    </x:row>
    <x:row r="512">
      <x:c r="A512" t="str">
        <x:v>2026-07-29</x:v>
      </x:c>
      <x:c r="B512" t="str">
        <x:v>449281783851362</x:v>
      </x:c>
      <x:c r="C512" t="str">
        <x:v>Doruk Hastaneleri - SİNA ÖZEL Sağlık Hizmetleri A.ş</x:v>
      </x:c>
      <x:c r="D512" t="str">
        <x:v>120252323141170399</x:v>
      </x:c>
      <x:c r="E512" t="str">
        <x:v>Instagram gönderisi: Medikal estetik alanındaki...</x:v>
      </x:c>
      <x:c r="F512" t="str">
        <x:v>LINK_CLICKS</x:v>
      </x:c>
      <x:c r="G512" t="n">
        <x:v>4318</x:v>
      </x:c>
      <x:c r="H512" s="28" t="n">
        <x:v>255.36</x:v>
      </x:c>
      <x:c r="I512" t="n">
        <x:v>4549</x:v>
      </x:c>
      <x:c r="J512" t="n">
        <x:v>61</x:v>
      </x:c>
      <x:c r="K512" t="n">
        <x:v>61</x:v>
      </x:c>
      <x:c r="L512" s="27" t="n">
        <x:f>IFERROR(K512/I512,0)</x:f>
        <x:v>0.013409540558364475</x:v>
      </x:c>
      <x:c r="M512" s="28" t="n">
        <x:f>IFERROR(H512/K512,0)</x:f>
        <x:v>4.186229508196721</x:v>
      </x:c>
      <x:c r="N512" s="28" t="n">
        <x:f>IFERROR(H512/I512*1000,0)</x:f>
        <x:v>56.13541437678611</x:v>
      </x:c>
      <x:c r="O512" t="n">
        <x:v>1.053497</x:v>
      </x:c>
      <x:c r="P512" t="n">
        <x:v>0</x:v>
      </x:c>
      <x:c r="Q512" s="28" t="n">
        <x:v>0</x:v>
      </x:c>
      <x:c r="R512" s="28" t="n">
        <x:v>0</x:v>
      </x:c>
    </x:row>
    <x:row r="513">
      <x:c r="A513" t="str">
        <x:v>2026-07-29</x:v>
      </x:c>
      <x:c r="B513" t="str">
        <x:v>449281783851362</x:v>
      </x:c>
      <x:c r="C513" t="str">
        <x:v>Doruk Hastaneleri - SİNA ÖZEL Sağlık Hizmetleri A.ş</x:v>
      </x:c>
      <x:c r="D513" t="str">
        <x:v>120255099624540399</x:v>
      </x:c>
      <x:c r="E513" t="str">
        <x:v>Instagram gönderisi: Doruk Sağlık Grubu olarak,...</x:v>
      </x:c>
      <x:c r="F513" t="str">
        <x:v>LINK_CLICKS</x:v>
      </x:c>
      <x:c r="G513" t="n">
        <x:v>28689</x:v>
      </x:c>
      <x:c r="H513" s="28" t="n">
        <x:v>1819.1</x:v>
      </x:c>
      <x:c r="I513" t="n">
        <x:v>29230</x:v>
      </x:c>
      <x:c r="J513" t="n">
        <x:v>454</x:v>
      </x:c>
      <x:c r="K513" t="n">
        <x:v>444</x:v>
      </x:c>
      <x:c r="L513" s="27" t="n">
        <x:f>IFERROR(K513/I513,0)</x:f>
        <x:v>0.015189873417721518</x:v>
      </x:c>
      <x:c r="M513" s="28" t="n">
        <x:f>IFERROR(H513/K513,0)</x:f>
        <x:v>4.097072072072072</x:v>
      </x:c>
      <x:c r="N513" s="28" t="n">
        <x:f>IFERROR(H513/I513*1000,0)</x:f>
        <x:v>62.23400615805679</x:v>
      </x:c>
      <x:c r="O513" t="n">
        <x:v>1.018857</x:v>
      </x:c>
      <x:c r="P513" t="n">
        <x:v>0</x:v>
      </x:c>
      <x:c r="Q513" s="28" t="n">
        <x:v>0</x:v>
      </x:c>
      <x:c r="R513" s="28" t="n">
        <x:v>0</x:v>
      </x:c>
    </x:row>
    <x:row r="514">
      <x:c r="A514" t="str">
        <x:v>2026-07-29</x:v>
      </x:c>
      <x:c r="B514" t="str">
        <x:v>449281783851362</x:v>
      </x:c>
      <x:c r="C514" t="str">
        <x:v>Doruk Hastaneleri - SİNA ÖZEL Sağlık Hizmetleri A.ş</x:v>
      </x:c>
      <x:c r="D514" t="str">
        <x:v>120255158812950399</x:v>
      </x:c>
      <x:c r="E514" t="str">
        <x:v>Doktor - Bilinirlik Kampanyası - Yıldırım</x:v>
      </x:c>
      <x:c r="F514" t="str">
        <x:v>OUTCOME_AWARENESS</x:v>
      </x:c>
      <x:c r="G514" t="n">
        <x:v>161920</x:v>
      </x:c>
      <x:c r="H514" s="28" t="n">
        <x:v>1552.34</x:v>
      </x:c>
      <x:c r="I514" t="n">
        <x:v>163764</x:v>
      </x:c>
      <x:c r="J514" t="n">
        <x:v>96</x:v>
      </x:c>
      <x:c r="K514" t="n">
        <x:v>0</x:v>
      </x:c>
      <x:c r="L514" s="27" t="n">
        <x:f>IFERROR(K514/I514,0)</x:f>
        <x:v>0</x:v>
      </x:c>
      <x:c r="M514" s="28" t="n">
        <x:f>IFERROR(H514/K514,0)</x:f>
        <x:v>0</x:v>
      </x:c>
      <x:c r="N514" s="28" t="n">
        <x:f>IFERROR(H514/I514*1000,0)</x:f>
        <x:v>9.479128501990669</x:v>
      </x:c>
      <x:c r="O514" t="n">
        <x:v>1.011388</x:v>
      </x:c>
      <x:c r="P514" t="n">
        <x:v>0</x:v>
      </x:c>
      <x:c r="Q514" s="28" t="n">
        <x:v>0</x:v>
      </x:c>
      <x:c r="R514" s="28" t="n">
        <x:v>0</x:v>
      </x:c>
    </x:row>
    <x:row r="515">
      <x:c r="A515" t="str">
        <x:v>2026-07-29</x:v>
      </x:c>
      <x:c r="B515" t="str">
        <x:v>449281783851362</x:v>
      </x:c>
      <x:c r="C515" t="str">
        <x:v>Doruk Hastaneleri - SİNA ÖZEL Sağlık Hizmetleri A.ş</x:v>
      </x:c>
      <x:c r="D515" t="str">
        <x:v>120255738261970399</x:v>
      </x:c>
      <x:c r="E515" t="str">
        <x:v>Instagram gönderisi: Aşılama tedavisi, gebelik...</x:v>
      </x:c>
      <x:c r="F515" t="str">
        <x:v>LINK_CLICKS</x:v>
      </x:c>
      <x:c r="G515" t="n">
        <x:v>48</x:v>
      </x:c>
      <x:c r="H515" s="28" t="n">
        <x:v>4.14</x:v>
      </x:c>
      <x:c r="I515" t="n">
        <x:v>48</x:v>
      </x:c>
      <x:c r="J515" t="n">
        <x:v>0</x:v>
      </x:c>
      <x:c r="K515" t="n">
        <x:v>0</x:v>
      </x:c>
      <x:c r="L515" s="27" t="n">
        <x:f>IFERROR(K515/I515,0)</x:f>
        <x:v>0</x:v>
      </x:c>
      <x:c r="M515" s="28" t="n">
        <x:f>IFERROR(H515/K515,0)</x:f>
        <x:v>0</x:v>
      </x:c>
      <x:c r="N515" s="28" t="n">
        <x:f>IFERROR(H515/I515*1000,0)</x:f>
        <x:v>86.25</x:v>
      </x:c>
      <x:c r="O515" t="n">
        <x:v>1</x:v>
      </x:c>
      <x:c r="P515" t="n">
        <x:v>0</x:v>
      </x:c>
      <x:c r="Q515" s="28" t="n">
        <x:v>0</x:v>
      </x:c>
      <x:c r="R515" s="28" t="n">
        <x:v>0</x:v>
      </x:c>
    </x:row>
    <x:row r="516">
      <x:c r="A516" t="str">
        <x:v>2026-07-29</x:v>
      </x:c>
      <x:c r="B516" t="str">
        <x:v>449281783851362</x:v>
      </x:c>
      <x:c r="C516" t="str">
        <x:v>Doruk Hastaneleri - SİNA ÖZEL Sağlık Hizmetleri A.ş</x:v>
      </x:c>
      <x:c r="D516" t="str">
        <x:v>120255738303970399</x:v>
      </x:c>
      <x:c r="E516" t="str">
        <x:v>Instagram gönderisi: 🏅 BURSA'DA BİR İLK
Özel...</x:v>
      </x:c>
      <x:c r="F516" t="str">
        <x:v>LINK_CLICKS</x:v>
      </x:c>
      <x:c r="G516" t="n">
        <x:v>8646</x:v>
      </x:c>
      <x:c r="H516" s="28" t="n">
        <x:v>520.64</x:v>
      </x:c>
      <x:c r="I516" t="n">
        <x:v>9022</x:v>
      </x:c>
      <x:c r="J516" t="n">
        <x:v>165</x:v>
      </x:c>
      <x:c r="K516" t="n">
        <x:v>166</x:v>
      </x:c>
      <x:c r="L516" s="27" t="n">
        <x:f>IFERROR(K516/I516,0)</x:f>
        <x:v>0.01839946796719131</x:v>
      </x:c>
      <x:c r="M516" s="28" t="n">
        <x:f>IFERROR(H516/K516,0)</x:f>
        <x:v>3.1363855421686746</x:v>
      </x:c>
      <x:c r="N516" s="28" t="n">
        <x:f>IFERROR(H516/I516*1000,0)</x:f>
        <x:v>57.70782531589448</x:v>
      </x:c>
      <x:c r="O516" t="n">
        <x:v>1.043488</x:v>
      </x:c>
      <x:c r="P516" t="n">
        <x:v>0</x:v>
      </x:c>
      <x:c r="Q516" s="28" t="n">
        <x:v>0</x:v>
      </x:c>
      <x:c r="R516" s="28" t="n">
        <x:v>0</x:v>
      </x:c>
    </x:row>
    <x:row r="517">
      <x:c r="A517" t="str">
        <x:v>2026-07-29</x:v>
      </x:c>
      <x:c r="B517" t="str">
        <x:v>449281783851362</x:v>
      </x:c>
      <x:c r="C517" t="str">
        <x:v>Doruk Hastaneleri - SİNA ÖZEL Sağlık Hizmetleri A.ş</x:v>
      </x:c>
      <x:c r="D517" t="str">
        <x:v>120255738326270399</x:v>
      </x:c>
      <x:c r="E517" t="str">
        <x:v>Instagram gönderisi: Gebelikte bel ağrısı sık...</x:v>
      </x:c>
      <x:c r="F517" t="str">
        <x:v>LINK_CLICKS</x:v>
      </x:c>
      <x:c r="G517" t="n">
        <x:v>77</x:v>
      </x:c>
      <x:c r="H517" s="28" t="n">
        <x:v>3.78</x:v>
      </x:c>
      <x:c r="I517" t="n">
        <x:v>77</x:v>
      </x:c>
      <x:c r="J517" t="n">
        <x:v>0</x:v>
      </x:c>
      <x:c r="K517" t="n">
        <x:v>0</x:v>
      </x:c>
      <x:c r="L517" s="27" t="n">
        <x:f>IFERROR(K517/I517,0)</x:f>
        <x:v>0</x:v>
      </x:c>
      <x:c r="M517" s="28" t="n">
        <x:f>IFERROR(H517/K517,0)</x:f>
        <x:v>0</x:v>
      </x:c>
      <x:c r="N517" s="28" t="n">
        <x:f>IFERROR(H517/I517*1000,0)</x:f>
        <x:v>49.090909090909086</x:v>
      </x:c>
      <x:c r="O517" t="n">
        <x:v>1</x:v>
      </x:c>
      <x:c r="P517" t="n">
        <x:v>0</x:v>
      </x:c>
      <x:c r="Q517" s="28" t="n">
        <x:v>0</x:v>
      </x:c>
      <x:c r="R517" s="28" t="n">
        <x:v>0</x:v>
      </x:c>
    </x:row>
    <x:row r="518">
      <x:c r="A518" t="str">
        <x:v>2026-07-29</x:v>
      </x:c>
      <x:c r="B518" t="str">
        <x:v>449281783851362</x:v>
      </x:c>
      <x:c r="C518" t="str">
        <x:v>Doruk Hastaneleri - SİNA ÖZEL Sağlık Hizmetleri A.ş</x:v>
      </x:c>
      <x:c r="D518" t="str">
        <x:v>120255738351260399</x:v>
      </x:c>
      <x:c r="E518" t="str">
        <x:v>Instagram gönderisi: İlişki sonrasında idrar...</x:v>
      </x:c>
      <x:c r="F518" t="str">
        <x:v>LINK_CLICKS</x:v>
      </x:c>
      <x:c r="G518" t="n">
        <x:v>51</x:v>
      </x:c>
      <x:c r="H518" s="28" t="n">
        <x:v>6.51</x:v>
      </x:c>
      <x:c r="I518" t="n">
        <x:v>51</x:v>
      </x:c>
      <x:c r="J518" t="n">
        <x:v>1</x:v>
      </x:c>
      <x:c r="K518" t="n">
        <x:v>1</x:v>
      </x:c>
      <x:c r="L518" s="27" t="n">
        <x:f>IFERROR(K518/I518,0)</x:f>
        <x:v>0.0196078431372549</x:v>
      </x:c>
      <x:c r="M518" s="28" t="n">
        <x:f>IFERROR(H518/K518,0)</x:f>
        <x:v>6.51</x:v>
      </x:c>
      <x:c r="N518" s="28" t="n">
        <x:f>IFERROR(H518/I518*1000,0)</x:f>
        <x:v>127.64705882352942</x:v>
      </x:c>
      <x:c r="O518" t="n">
        <x:v>1</x:v>
      </x:c>
      <x:c r="P518" t="n">
        <x:v>0</x:v>
      </x:c>
      <x:c r="Q518" s="28" t="n">
        <x:v>0</x:v>
      </x:c>
      <x:c r="R518" s="28" t="n">
        <x:v>0</x:v>
      </x:c>
    </x:row>
    <x:row r="519">
      <x:c r="A519" t="str">
        <x:v>2026-07-29</x:v>
      </x:c>
      <x:c r="B519" t="str">
        <x:v>449281783851362</x:v>
      </x:c>
      <x:c r="C519" t="str">
        <x:v>Doruk Hastaneleri - SİNA ÖZEL Sağlık Hizmetleri A.ş</x:v>
      </x:c>
      <x:c r="D519" t="str">
        <x:v>120255738376560399</x:v>
      </x:c>
      <x:c r="E519" t="str">
        <x:v>Instagram gönderisi: Ablasyon tedavisi, vücutta...</x:v>
      </x:c>
      <x:c r="F519" t="str">
        <x:v>LINK_CLICKS</x:v>
      </x:c>
      <x:c r="G519" t="n">
        <x:v>74</x:v>
      </x:c>
      <x:c r="H519" s="28" t="n">
        <x:v>22.51</x:v>
      </x:c>
      <x:c r="I519" t="n">
        <x:v>74</x:v>
      </x:c>
      <x:c r="J519" t="n">
        <x:v>4</x:v>
      </x:c>
      <x:c r="K519" t="n">
        <x:v>5</x:v>
      </x:c>
      <x:c r="L519" s="27" t="n">
        <x:f>IFERROR(K519/I519,0)</x:f>
        <x:v>0.06756756756756757</x:v>
      </x:c>
      <x:c r="M519" s="28" t="n">
        <x:f>IFERROR(H519/K519,0)</x:f>
        <x:v>4.502000000000001</x:v>
      </x:c>
      <x:c r="N519" s="28" t="n">
        <x:f>IFERROR(H519/I519*1000,0)</x:f>
        <x:v>304.18918918918916</x:v>
      </x:c>
      <x:c r="O519" t="n">
        <x:v>1</x:v>
      </x:c>
      <x:c r="P519" t="n">
        <x:v>0</x:v>
      </x:c>
      <x:c r="Q519" s="28" t="n">
        <x:v>0</x:v>
      </x:c>
      <x:c r="R519" s="28" t="n">
        <x:v>0</x:v>
      </x:c>
    </x:row>
    <x:row r="520">
      <x:c r="A520" t="str">
        <x:v>2026-07-29</x:v>
      </x:c>
      <x:c r="B520" t="str">
        <x:v>449281783851362</x:v>
      </x:c>
      <x:c r="C520" t="str">
        <x:v>Doruk Hastaneleri - SİNA ÖZEL Sağlık Hizmetleri A.ş</x:v>
      </x:c>
      <x:c r="D520" t="str">
        <x:v>120255739080510399</x:v>
      </x:c>
      <x:c r="E520" t="str">
        <x:v>Gönderi: "👃 Rinoplasti Ameliyatı Nedir? Yumuşak Doku Neden..."</x:v>
      </x:c>
      <x:c r="F520" t="str">
        <x:v>OUTCOME_ENGAGEMENT</x:v>
      </x:c>
      <x:c r="G520" t="n">
        <x:v>6832</x:v>
      </x:c>
      <x:c r="H520" s="28" t="n">
        <x:v>454.42</x:v>
      </x:c>
      <x:c r="I520" t="n">
        <x:v>7810</x:v>
      </x:c>
      <x:c r="J520" t="n">
        <x:v>356</x:v>
      </x:c>
      <x:c r="K520" t="n">
        <x:v>147</x:v>
      </x:c>
      <x:c r="L520" s="27" t="n">
        <x:f>IFERROR(K520/I520,0)</x:f>
        <x:v>0.01882202304737516</x:v>
      </x:c>
      <x:c r="M520" s="28" t="n">
        <x:f>IFERROR(H520/K520,0)</x:f>
        <x:v>3.091292517006803</x:v>
      </x:c>
      <x:c r="N520" s="28" t="n">
        <x:f>IFERROR(H520/I520*1000,0)</x:f>
        <x:v>58.18437900128041</x:v>
      </x:c>
      <x:c r="O520" t="n">
        <x:v>1.14315</x:v>
      </x:c>
      <x:c r="P520" t="n">
        <x:v>0</x:v>
      </x:c>
      <x:c r="Q520" s="28" t="n">
        <x:v>0</x:v>
      </x:c>
      <x:c r="R520" s="28" t="n">
        <x:v>0</x:v>
      </x:c>
    </x:row>
    <x:row r="521">
      <x:c r="A521" t="str">
        <x:v>2026-07-29</x:v>
      </x:c>
      <x:c r="B521" t="str">
        <x:v>449281783851362</x:v>
      </x:c>
      <x:c r="C521" t="str">
        <x:v>Doruk Hastaneleri - SİNA ÖZEL Sağlık Hizmetleri A.ş</x:v>
      </x:c>
      <x:c r="D521" t="str">
        <x:v>120255739163090399</x:v>
      </x:c>
      <x:c r="E521" t="str">
        <x:v>Instagram gönderisi: 👃 Rinoplasti Ameliyatı...</x:v>
      </x:c>
      <x:c r="F521" t="str">
        <x:v>LINK_CLICKS</x:v>
      </x:c>
      <x:c r="G521" t="n">
        <x:v>7695</x:v>
      </x:c>
      <x:c r="H521" s="28" t="n">
        <x:v>463.99</x:v>
      </x:c>
      <x:c r="I521" t="n">
        <x:v>8442</x:v>
      </x:c>
      <x:c r="J521" t="n">
        <x:v>261</x:v>
      </x:c>
      <x:c r="K521" t="n">
        <x:v>275</x:v>
      </x:c>
      <x:c r="L521" s="27" t="n">
        <x:f>IFERROR(K521/I521,0)</x:f>
        <x:v>0.03257521914238332</x:v>
      </x:c>
      <x:c r="M521" s="28" t="n">
        <x:f>IFERROR(H521/K521,0)</x:f>
        <x:v>1.6872363636363636</x:v>
      </x:c>
      <x:c r="N521" s="28" t="n">
        <x:f>IFERROR(H521/I521*1000,0)</x:f>
        <x:v>54.9620942904525</x:v>
      </x:c>
      <x:c r="O521" t="n">
        <x:v>1.097076</x:v>
      </x:c>
      <x:c r="P521" t="n">
        <x:v>0</x:v>
      </x:c>
      <x:c r="Q521" s="28" t="n">
        <x:v>0</x:v>
      </x:c>
      <x:c r="R521" s="28" t="n">
        <x:v>0</x:v>
      </x:c>
    </x:row>
    <x:row r="522">
      <x:c r="A522" t="str">
        <x:v>2026-07-29</x:v>
      </x:c>
      <x:c r="B522" t="str">
        <x:v>449281783851362</x:v>
      </x:c>
      <x:c r="C522" t="str">
        <x:v>Doruk Hastaneleri - SİNA ÖZEL Sağlık Hizmetleri A.ş</x:v>
      </x:c>
      <x:c r="D522" t="str">
        <x:v>120255739194330399</x:v>
      </x:c>
      <x:c r="E522" t="str">
        <x:v>Instagram gönderisi: 🖐️ Parmak Ucu Defekti Nasıl...</x:v>
      </x:c>
      <x:c r="F522" t="str">
        <x:v>LINK_CLICKS</x:v>
      </x:c>
      <x:c r="G522" t="n">
        <x:v>6092</x:v>
      </x:c>
      <x:c r="H522" s="28" t="n">
        <x:v>500.07</x:v>
      </x:c>
      <x:c r="I522" t="n">
        <x:v>6375</x:v>
      </x:c>
      <x:c r="J522" t="n">
        <x:v>180</x:v>
      </x:c>
      <x:c r="K522" t="n">
        <x:v>167</x:v>
      </x:c>
      <x:c r="L522" s="27" t="n">
        <x:f>IFERROR(K522/I522,0)</x:f>
        <x:v>0.02619607843137255</x:v>
      </x:c>
      <x:c r="M522" s="28" t="n">
        <x:f>IFERROR(H522/K522,0)</x:f>
        <x:v>2.994431137724551</x:v>
      </x:c>
      <x:c r="N522" s="28" t="n">
        <x:f>IFERROR(H522/I522*1000,0)</x:f>
        <x:v>78.44235294117647</x:v>
      </x:c>
      <x:c r="O522" t="n">
        <x:v>1.046454</x:v>
      </x:c>
      <x:c r="P522" t="n">
        <x:v>0</x:v>
      </x:c>
      <x:c r="Q522" s="28" t="n">
        <x:v>0</x:v>
      </x:c>
      <x:c r="R522" s="28" t="n">
        <x:v>0</x:v>
      </x:c>
    </x:row>
    <x:row r="523">
      <x:c r="A523" t="str">
        <x:v>2026-07-29</x:v>
      </x:c>
      <x:c r="B523" t="str">
        <x:v>449281783851362</x:v>
      </x:c>
      <x:c r="C523" t="str">
        <x:v>Doruk Hastaneleri - SİNA ÖZEL Sağlık Hizmetleri A.ş</x:v>
      </x:c>
      <x:c r="D523" t="str">
        <x:v>120255739290470399</x:v>
      </x:c>
      <x:c r="E523" t="str">
        <x:v>Instagram gönderisi: 🎗️ Kemoterapi Alan Her...</x:v>
      </x:c>
      <x:c r="F523" t="str">
        <x:v>LINK_CLICKS</x:v>
      </x:c>
      <x:c r="G523" t="n">
        <x:v>43</x:v>
      </x:c>
      <x:c r="H523" s="28" t="n">
        <x:v>2.61</x:v>
      </x:c>
      <x:c r="I523" t="n">
        <x:v>43</x:v>
      </x:c>
      <x:c r="J523" t="n">
        <x:v>1</x:v>
      </x:c>
      <x:c r="K523" t="n">
        <x:v>1</x:v>
      </x:c>
      <x:c r="L523" s="27" t="n">
        <x:f>IFERROR(K523/I523,0)</x:f>
        <x:v>0.023255813953488372</x:v>
      </x:c>
      <x:c r="M523" s="28" t="n">
        <x:f>IFERROR(H523/K523,0)</x:f>
        <x:v>2.61</x:v>
      </x:c>
      <x:c r="N523" s="28" t="n">
        <x:f>IFERROR(H523/I523*1000,0)</x:f>
        <x:v>60.69767441860465</x:v>
      </x:c>
      <x:c r="O523" t="n">
        <x:v>1</x:v>
      </x:c>
      <x:c r="P523" t="n">
        <x:v>0</x:v>
      </x:c>
      <x:c r="Q523" s="28" t="n">
        <x:v>0</x:v>
      </x:c>
      <x:c r="R523" s="28" t="n">
        <x:v>0</x:v>
      </x:c>
    </x:row>
    <x:row r="524">
      <x:c r="A524" t="str">
        <x:v>2026-07-29</x:v>
      </x:c>
      <x:c r="B524" t="str">
        <x:v>449281783851362</x:v>
      </x:c>
      <x:c r="C524" t="str">
        <x:v>Doruk Hastaneleri - SİNA ÖZEL Sağlık Hizmetleri A.ş</x:v>
      </x:c>
      <x:c r="D524" t="str">
        <x:v>120255739336980399</x:v>
      </x:c>
      <x:c r="E524" t="str">
        <x:v>Instagram gönderisi: 🎗️ Kanser Tanısı Fizik...</x:v>
      </x:c>
      <x:c r="F524" t="str">
        <x:v>LINK_CLICKS</x:v>
      </x:c>
      <x:c r="G524" t="n">
        <x:v>23</x:v>
      </x:c>
      <x:c r="H524" s="28" t="n">
        <x:v>2.41</x:v>
      </x:c>
      <x:c r="I524" t="n">
        <x:v>23</x:v>
      </x:c>
      <x:c r="J524" t="n">
        <x:v>0</x:v>
      </x:c>
      <x:c r="K524" t="n">
        <x:v>0</x:v>
      </x:c>
      <x:c r="L524" s="27" t="n">
        <x:f>IFERROR(K524/I524,0)</x:f>
        <x:v>0</x:v>
      </x:c>
      <x:c r="M524" s="28" t="n">
        <x:f>IFERROR(H524/K524,0)</x:f>
        <x:v>0</x:v>
      </x:c>
      <x:c r="N524" s="28" t="n">
        <x:f>IFERROR(H524/I524*1000,0)</x:f>
        <x:v>104.78260869565217</x:v>
      </x:c>
      <x:c r="O524" t="n">
        <x:v>1</x:v>
      </x:c>
      <x:c r="P524" t="n">
        <x:v>0</x:v>
      </x:c>
      <x:c r="Q524" s="28" t="n">
        <x:v>0</x:v>
      </x:c>
      <x:c r="R524" s="28" t="n">
        <x:v>0</x:v>
      </x:c>
    </x:row>
    <x:row r="525">
      <x:c r="A525" t="str">
        <x:v>2026-07-29</x:v>
      </x:c>
      <x:c r="B525" t="str">
        <x:v>449281783851362</x:v>
      </x:c>
      <x:c r="C525" t="str">
        <x:v>Doruk Hastaneleri - SİNA ÖZEL Sağlık Hizmetleri A.ş</x:v>
      </x:c>
      <x:c r="D525" t="str">
        <x:v>120255739460510399</x:v>
      </x:c>
      <x:c r="E525" t="str">
        <x:v>Instagram gönderisi: 🦴 Omurga Kırıklarında Asıl...</x:v>
      </x:c>
      <x:c r="F525" t="str">
        <x:v>LINK_CLICKS</x:v>
      </x:c>
      <x:c r="G525" t="n">
        <x:v>124</x:v>
      </x:c>
      <x:c r="H525" s="28" t="n">
        <x:v>15.55</x:v>
      </x:c>
      <x:c r="I525" t="n">
        <x:v>125</x:v>
      </x:c>
      <x:c r="J525" t="n">
        <x:v>0</x:v>
      </x:c>
      <x:c r="K525" t="n">
        <x:v>0</x:v>
      </x:c>
      <x:c r="L525" s="27" t="n">
        <x:f>IFERROR(K525/I525,0)</x:f>
        <x:v>0</x:v>
      </x:c>
      <x:c r="M525" s="28" t="n">
        <x:f>IFERROR(H525/K525,0)</x:f>
        <x:v>0</x:v>
      </x:c>
      <x:c r="N525" s="28" t="n">
        <x:f>IFERROR(H525/I525*1000,0)</x:f>
        <x:v>124.4</x:v>
      </x:c>
      <x:c r="O525" t="n">
        <x:v>1.008065</x:v>
      </x:c>
      <x:c r="P525" t="n">
        <x:v>0</x:v>
      </x:c>
      <x:c r="Q525" s="28" t="n">
        <x:v>0</x:v>
      </x:c>
      <x:c r="R525" s="28" t="n">
        <x:v>0</x:v>
      </x:c>
    </x:row>
    <x:row r="526">
      <x:c r="A526" t="str">
        <x:v>2026-07-29</x:v>
      </x:c>
      <x:c r="B526" t="str">
        <x:v>449281783851362</x:v>
      </x:c>
      <x:c r="C526" t="str">
        <x:v>Doruk Hastaneleri - SİNA ÖZEL Sağlık Hizmetleri A.ş</x:v>
      </x:c>
      <x:c r="D526" t="str">
        <x:v>120255739485660399</x:v>
      </x:c>
      <x:c r="E526" t="str">
        <x:v>Instagram gönderisi: 🦴 Bel Fıtığında Doğru Zaman...</x:v>
      </x:c>
      <x:c r="F526" t="str">
        <x:v>LINK_CLICKS</x:v>
      </x:c>
      <x:c r="G526" t="n">
        <x:v>57</x:v>
      </x:c>
      <x:c r="H526" s="28" t="n">
        <x:v>2.27</x:v>
      </x:c>
      <x:c r="I526" t="n">
        <x:v>58</x:v>
      </x:c>
      <x:c r="J526" t="n">
        <x:v>0</x:v>
      </x:c>
      <x:c r="K526" t="n">
        <x:v>0</x:v>
      </x:c>
      <x:c r="L526" s="27" t="n">
        <x:f>IFERROR(K526/I526,0)</x:f>
        <x:v>0</x:v>
      </x:c>
      <x:c r="M526" s="28" t="n">
        <x:f>IFERROR(H526/K526,0)</x:f>
        <x:v>0</x:v>
      </x:c>
      <x:c r="N526" s="28" t="n">
        <x:f>IFERROR(H526/I526*1000,0)</x:f>
        <x:v>39.137931034482754</x:v>
      </x:c>
      <x:c r="O526" t="n">
        <x:v>1.017544</x:v>
      </x:c>
      <x:c r="P526" t="n">
        <x:v>0</x:v>
      </x:c>
      <x:c r="Q526" s="28" t="n">
        <x:v>0</x:v>
      </x:c>
      <x:c r="R526" s="28" t="n">
        <x:v>0</x:v>
      </x:c>
    </x:row>
    <x:row r="527">
      <x:c r="A527" t="str">
        <x:v>2026-07-29</x:v>
      </x:c>
      <x:c r="B527" t="str">
        <x:v>449281783851362</x:v>
      </x:c>
      <x:c r="C527" t="str">
        <x:v>Doruk Hastaneleri - SİNA ÖZEL Sağlık Hizmetleri A.ş</x:v>
      </x:c>
      <x:c r="D527" t="str">
        <x:v>120255763855030399</x:v>
      </x:c>
      <x:c r="E527" t="str">
        <x:v>Doktor - Bilinirlik Kampanyası - Çekirge</x:v>
      </x:c>
      <x:c r="F527" t="str">
        <x:v>OUTCOME_AWARENESS</x:v>
      </x:c>
      <x:c r="G527" t="n">
        <x:v>107036</x:v>
      </x:c>
      <x:c r="H527" s="28" t="n">
        <x:v>1184.04</x:v>
      </x:c>
      <x:c r="I527" t="n">
        <x:v>120647</x:v>
      </x:c>
      <x:c r="J527" t="n">
        <x:v>101</x:v>
      </x:c>
      <x:c r="K527" t="n">
        <x:v>0</x:v>
      </x:c>
      <x:c r="L527" s="27" t="n">
        <x:f>IFERROR(K527/I527,0)</x:f>
        <x:v>0</x:v>
      </x:c>
      <x:c r="M527" s="28" t="n">
        <x:f>IFERROR(H527/K527,0)</x:f>
        <x:v>0</x:v>
      </x:c>
      <x:c r="N527" s="28" t="n">
        <x:f>IFERROR(H527/I527*1000,0)</x:f>
        <x:v>9.814085721153448</x:v>
      </x:c>
      <x:c r="O527" t="n">
        <x:v>1.127163</x:v>
      </x:c>
      <x:c r="P527" t="n">
        <x:v>0</x:v>
      </x:c>
      <x:c r="Q527" s="28" t="n">
        <x:v>0</x:v>
      </x:c>
      <x:c r="R527" s="28" t="n">
        <x:v>0</x:v>
      </x:c>
    </x:row>
    <x:row r="528">
      <x:c r="A528" t="str">
        <x:v>2026-07-30</x:v>
      </x:c>
      <x:c r="B528" t="str">
        <x:v>449281783851362</x:v>
      </x:c>
      <x:c r="C528" t="str">
        <x:v>Doruk Hastaneleri - SİNA ÖZEL Sağlık Hizmetleri A.ş</x:v>
      </x:c>
      <x:c r="D528" t="str">
        <x:v>120202624613730399</x:v>
      </x:c>
      <x:c r="E528" t="str">
        <x:v>CBO / Saç Ekimi - lead / soğuk</x:v>
      </x:c>
      <x:c r="F528" t="str">
        <x:v>OUTCOME_LEADS</x:v>
      </x:c>
      <x:c r="G528" t="n">
        <x:v>4688</x:v>
      </x:c>
      <x:c r="H528" s="28" t="n">
        <x:v>1198.13</x:v>
      </x:c>
      <x:c r="I528" t="n">
        <x:v>8043</x:v>
      </x:c>
      <x:c r="J528" t="n">
        <x:v>70</x:v>
      </x:c>
      <x:c r="K528" t="n">
        <x:v>34</x:v>
      </x:c>
      <x:c r="L528" s="27" t="n">
        <x:f>IFERROR(K528/I528,0)</x:f>
        <x:v>0.00422727837871441</x:v>
      </x:c>
      <x:c r="M528" s="28" t="n">
        <x:f>IFERROR(H528/K528,0)</x:f>
        <x:v>35.239117647058826</x:v>
      </x:c>
      <x:c r="N528" s="28" t="n">
        <x:f>IFERROR(H528/I528*1000,0)</x:f>
        <x:v>148.9655601143852</x:v>
      </x:c>
      <x:c r="O528" t="n">
        <x:v>1.715657</x:v>
      </x:c>
      <x:c r="P528" t="n">
        <x:v>5</x:v>
      </x:c>
      <x:c r="Q528" s="28" t="n">
        <x:v>0</x:v>
      </x:c>
      <x:c r="R528" s="28" t="n">
        <x:v>0</x:v>
      </x:c>
    </x:row>
    <x:row r="529">
      <x:c r="A529" t="str">
        <x:v>2026-07-30</x:v>
      </x:c>
      <x:c r="B529" t="str">
        <x:v>449281783851362</x:v>
      </x:c>
      <x:c r="C529" t="str">
        <x:v>Doruk Hastaneleri - SİNA ÖZEL Sağlık Hizmetleri A.ş</x:v>
      </x:c>
      <x:c r="D529" t="str">
        <x:v>120211731920800399</x:v>
      </x:c>
      <x:c r="E529" t="str">
        <x:v>ABO / Göz Kapağı Estetiği / plastik cerrahi / lead</x:v>
      </x:c>
      <x:c r="F529" t="str">
        <x:v>OUTCOME_LEADS</x:v>
      </x:c>
      <x:c r="G529" t="n">
        <x:v>2392</x:v>
      </x:c>
      <x:c r="H529" s="28" t="n">
        <x:v>358.99</x:v>
      </x:c>
      <x:c r="I529" t="n">
        <x:v>3137</x:v>
      </x:c>
      <x:c r="J529" t="n">
        <x:v>26</x:v>
      </x:c>
      <x:c r="K529" t="n">
        <x:v>17</x:v>
      </x:c>
      <x:c r="L529" s="27" t="n">
        <x:f>IFERROR(K529/I529,0)</x:f>
        <x:v>0.005419190309212623</x:v>
      </x:c>
      <x:c r="M529" s="28" t="n">
        <x:f>IFERROR(H529/K529,0)</x:f>
        <x:v>21.117058823529412</x:v>
      </x:c>
      <x:c r="N529" s="28" t="n">
        <x:f>IFERROR(H529/I529*1000,0)</x:f>
        <x:v>114.43736053554352</x:v>
      </x:c>
      <x:c r="O529" t="n">
        <x:v>1.311455</x:v>
      </x:c>
      <x:c r="P529" t="n">
        <x:v>2</x:v>
      </x:c>
      <x:c r="Q529" s="28" t="n">
        <x:v>0</x:v>
      </x:c>
      <x:c r="R529" s="28" t="n">
        <x:v>0</x:v>
      </x:c>
    </x:row>
    <x:row r="530">
      <x:c r="A530" t="str">
        <x:v>2026-07-30</x:v>
      </x:c>
      <x:c r="B530" t="str">
        <x:v>449281783851362</x:v>
      </x:c>
      <x:c r="C530" t="str">
        <x:v>Doruk Hastaneleri - SİNA ÖZEL Sağlık Hizmetleri A.ş</x:v>
      </x:c>
      <x:c r="D530" t="str">
        <x:v>120211732243050399</x:v>
      </x:c>
      <x:c r="E530" t="str">
        <x:v>ABO /Kepçe Kulak / plastik cerrahi / lead</x:v>
      </x:c>
      <x:c r="F530" t="str">
        <x:v>OUTCOME_LEADS</x:v>
      </x:c>
      <x:c r="G530" t="n">
        <x:v>6472</x:v>
      </x:c>
      <x:c r="H530" s="28" t="n">
        <x:v>339.38</x:v>
      </x:c>
      <x:c r="I530" t="n">
        <x:v>7773</x:v>
      </x:c>
      <x:c r="J530" t="n">
        <x:v>44</x:v>
      </x:c>
      <x:c r="K530" t="n">
        <x:v>23</x:v>
      </x:c>
      <x:c r="L530" s="27" t="n">
        <x:f>IFERROR(K530/I530,0)</x:f>
        <x:v>0.00295896050430979</x:v>
      </x:c>
      <x:c r="M530" s="28" t="n">
        <x:f>IFERROR(H530/K530,0)</x:f>
        <x:v>14.755652173913044</x:v>
      </x:c>
      <x:c r="N530" s="28" t="n">
        <x:f>IFERROR(H530/I530*1000,0)</x:f>
        <x:v>43.66139199794159</x:v>
      </x:c>
      <x:c r="O530" t="n">
        <x:v>1.20102</x:v>
      </x:c>
      <x:c r="P530" t="n">
        <x:v>1</x:v>
      </x:c>
      <x:c r="Q530" s="28" t="n">
        <x:v>0</x:v>
      </x:c>
      <x:c r="R530" s="28" t="n">
        <x:v>0</x:v>
      </x:c>
    </x:row>
    <x:row r="531">
      <x:c r="A531" t="str">
        <x:v>2026-07-30</x:v>
      </x:c>
      <x:c r="B531" t="str">
        <x:v>449281783851362</x:v>
      </x:c>
      <x:c r="C531" t="str">
        <x:v>Doruk Hastaneleri - SİNA ÖZEL Sağlık Hizmetleri A.ş</x:v>
      </x:c>
      <x:c r="D531" t="str">
        <x:v>120211732311210399</x:v>
      </x:c>
      <x:c r="E531" t="str">
        <x:v>ABO / Meme Estetiği / plastik cerrahi / lead</x:v>
      </x:c>
      <x:c r="F531" t="str">
        <x:v>OUTCOME_LEADS</x:v>
      </x:c>
      <x:c r="G531" t="n">
        <x:v>6533</x:v>
      </x:c>
      <x:c r="H531" s="28" t="n">
        <x:v>1130.65</x:v>
      </x:c>
      <x:c r="I531" t="n">
        <x:v>8823</x:v>
      </x:c>
      <x:c r="J531" t="n">
        <x:v>51</x:v>
      </x:c>
      <x:c r="K531" t="n">
        <x:v>28</x:v>
      </x:c>
      <x:c r="L531" s="27" t="n">
        <x:f>IFERROR(K531/I531,0)</x:f>
        <x:v>0.003173523744758019</x:v>
      </x:c>
      <x:c r="M531" s="28" t="n">
        <x:f>IFERROR(H531/K531,0)</x:f>
        <x:v>40.38035714285714</x:v>
      </x:c>
      <x:c r="N531" s="28" t="n">
        <x:f>IFERROR(H531/I531*1000,0)</x:f>
        <x:v>128.14802221466624</x:v>
      </x:c>
      <x:c r="O531" t="n">
        <x:v>1.350528</x:v>
      </x:c>
      <x:c r="P531" t="n">
        <x:v>1</x:v>
      </x:c>
      <x:c r="Q531" s="28" t="n">
        <x:v>0</x:v>
      </x:c>
      <x:c r="R531" s="28" t="n">
        <x:v>0</x:v>
      </x:c>
    </x:row>
    <x:row r="532">
      <x:c r="A532" t="str">
        <x:v>2026-07-30</x:v>
      </x:c>
      <x:c r="B532" t="str">
        <x:v>449281783851362</x:v>
      </x:c>
      <x:c r="C532" t="str">
        <x:v>Doruk Hastaneleri - SİNA ÖZEL Sağlık Hizmetleri A.ş</x:v>
      </x:c>
      <x:c r="D532" t="str">
        <x:v>120211732618490399</x:v>
      </x:c>
      <x:c r="E532" t="str">
        <x:v>ABO /Jinekomasti / plastik cerrahi / lead</x:v>
      </x:c>
      <x:c r="F532" t="str">
        <x:v>OUTCOME_LEADS</x:v>
      </x:c>
      <x:c r="G532" t="n">
        <x:v>2837</x:v>
      </x:c>
      <x:c r="H532" s="28" t="n">
        <x:v>336.43</x:v>
      </x:c>
      <x:c r="I532" t="n">
        <x:v>3907</x:v>
      </x:c>
      <x:c r="J532" t="n">
        <x:v>23</x:v>
      </x:c>
      <x:c r="K532" t="n">
        <x:v>15</x:v>
      </x:c>
      <x:c r="L532" s="27" t="n">
        <x:f>IFERROR(K532/I532,0)</x:f>
        <x:v>0.003839262861530586</x:v>
      </x:c>
      <x:c r="M532" s="28" t="n">
        <x:f>IFERROR(H532/K532,0)</x:f>
        <x:v>22.42866666666667</x:v>
      </x:c>
      <x:c r="N532" s="28" t="n">
        <x:f>IFERROR(H532/I532*1000,0)</x:f>
        <x:v>86.10954696698234</x:v>
      </x:c>
      <x:c r="O532" t="n">
        <x:v>1.377159</x:v>
      </x:c>
      <x:c r="P532" t="n">
        <x:v>1</x:v>
      </x:c>
      <x:c r="Q532" s="28" t="n">
        <x:v>0</x:v>
      </x:c>
      <x:c r="R532" s="28" t="n">
        <x:v>0</x:v>
      </x:c>
    </x:row>
    <x:row r="533">
      <x:c r="A533" t="str">
        <x:v>2026-07-30</x:v>
      </x:c>
      <x:c r="B533" t="str">
        <x:v>449281783851362</x:v>
      </x:c>
      <x:c r="C533" t="str">
        <x:v>Doruk Hastaneleri - SİNA ÖZEL Sağlık Hizmetleri A.ş</x:v>
      </x:c>
      <x:c r="D533" t="str">
        <x:v>120211732654260399</x:v>
      </x:c>
      <x:c r="E533" t="str">
        <x:v>ABO / Rinoplasti / plastik cerrahi / lead</x:v>
      </x:c>
      <x:c r="F533" t="str">
        <x:v>OUTCOME_LEADS</x:v>
      </x:c>
      <x:c r="G533" t="n">
        <x:v>3910</x:v>
      </x:c>
      <x:c r="H533" s="28" t="n">
        <x:v>915.84</x:v>
      </x:c>
      <x:c r="I533" t="n">
        <x:v>5631</x:v>
      </x:c>
      <x:c r="J533" t="n">
        <x:v>31</x:v>
      </x:c>
      <x:c r="K533" t="n">
        <x:v>17</x:v>
      </x:c>
      <x:c r="L533" s="27" t="n">
        <x:f>IFERROR(K533/I533,0)</x:f>
        <x:v>0.003019001953471852</x:v>
      </x:c>
      <x:c r="M533" s="28" t="n">
        <x:f>IFERROR(H533/K533,0)</x:f>
        <x:v>53.87294117647059</x:v>
      </x:c>
      <x:c r="N533" s="28" t="n">
        <x:f>IFERROR(H533/I533*1000,0)</x:f>
        <x:v>162.6425146510389</x:v>
      </x:c>
      <x:c r="O533" t="n">
        <x:v>1.440153</x:v>
      </x:c>
      <x:c r="P533" t="n">
        <x:v>0</x:v>
      </x:c>
      <x:c r="Q533" s="28" t="n">
        <x:v>0</x:v>
      </x:c>
      <x:c r="R533" s="28" t="n">
        <x:v>0</x:v>
      </x:c>
    </x:row>
    <x:row r="534">
      <x:c r="A534" t="str">
        <x:v>2026-07-30</x:v>
      </x:c>
      <x:c r="B534" t="str">
        <x:v>449281783851362</x:v>
      </x:c>
      <x:c r="C534" t="str">
        <x:v>Doruk Hastaneleri - SİNA ÖZEL Sağlık Hizmetleri A.ş</x:v>
      </x:c>
      <x:c r="D534" t="str">
        <x:v>120211732712890399</x:v>
      </x:c>
      <x:c r="E534" t="str">
        <x:v>ABO / Vücut Şekillendirme / plastik cerrahi / lead</x:v>
      </x:c>
      <x:c r="F534" t="str">
        <x:v>OUTCOME_LEADS</x:v>
      </x:c>
      <x:c r="G534" t="n">
        <x:v>649</x:v>
      </x:c>
      <x:c r="H534" s="28" t="n">
        <x:v>323.52</x:v>
      </x:c>
      <x:c r="I534" t="n">
        <x:v>954</x:v>
      </x:c>
      <x:c r="J534" t="n">
        <x:v>9</x:v>
      </x:c>
      <x:c r="K534" t="n">
        <x:v>7</x:v>
      </x:c>
      <x:c r="L534" s="27" t="n">
        <x:f>IFERROR(K534/I534,0)</x:f>
        <x:v>0.007337526205450734</x:v>
      </x:c>
      <x:c r="M534" s="28" t="n">
        <x:f>IFERROR(H534/K534,0)</x:f>
        <x:v>46.21714285714285</x:v>
      </x:c>
      <x:c r="N534" s="28" t="n">
        <x:f>IFERROR(H534/I534*1000,0)</x:f>
        <x:v>339.11949685534586</x:v>
      </x:c>
      <x:c r="O534" t="n">
        <x:v>1.469954</x:v>
      </x:c>
      <x:c r="P534" t="n">
        <x:v>0</x:v>
      </x:c>
      <x:c r="Q534" s="28" t="n">
        <x:v>0</x:v>
      </x:c>
      <x:c r="R534" s="28" t="n">
        <x:v>0</x:v>
      </x:c>
    </x:row>
    <x:row r="535">
      <x:c r="A535" t="str">
        <x:v>2026-07-30</x:v>
      </x:c>
      <x:c r="B535" t="str">
        <x:v>449281783851362</x:v>
      </x:c>
      <x:c r="C535" t="str">
        <x:v>Doruk Hastaneleri - SİNA ÖZEL Sağlık Hizmetleri A.ş</x:v>
      </x:c>
      <x:c r="D535" t="str">
        <x:v>120211732754080399</x:v>
      </x:c>
      <x:c r="E535" t="str">
        <x:v>ABO / Yüz Germe (Facelift) / plastik cerrahi / lead</x:v>
      </x:c>
      <x:c r="F535" t="str">
        <x:v>OUTCOME_LEADS</x:v>
      </x:c>
      <x:c r="G535" t="n">
        <x:v>651</x:v>
      </x:c>
      <x:c r="H535" s="28" t="n">
        <x:v>361.52</x:v>
      </x:c>
      <x:c r="I535" t="n">
        <x:v>927</x:v>
      </x:c>
      <x:c r="J535" t="n">
        <x:v>18</x:v>
      </x:c>
      <x:c r="K535" t="n">
        <x:v>10</x:v>
      </x:c>
      <x:c r="L535" s="27" t="n">
        <x:f>IFERROR(K535/I535,0)</x:f>
        <x:v>0.010787486515641856</x:v>
      </x:c>
      <x:c r="M535" s="28" t="n">
        <x:f>IFERROR(H535/K535,0)</x:f>
        <x:v>36.152</x:v>
      </x:c>
      <x:c r="N535" s="28" t="n">
        <x:f>IFERROR(H535/I535*1000,0)</x:f>
        <x:v>389.98921251348435</x:v>
      </x:c>
      <x:c r="O535" t="n">
        <x:v>1.423963</x:v>
      </x:c>
      <x:c r="P535" t="n">
        <x:v>3</x:v>
      </x:c>
      <x:c r="Q535" s="28" t="n">
        <x:v>0</x:v>
      </x:c>
      <x:c r="R535" s="28" t="n">
        <x:v>0</x:v>
      </x:c>
    </x:row>
    <x:row r="536">
      <x:c r="A536" t="str">
        <x:v>2026-07-30</x:v>
      </x:c>
      <x:c r="B536" t="str">
        <x:v>449281783851362</x:v>
      </x:c>
      <x:c r="C536" t="str">
        <x:v>Doruk Hastaneleri - SİNA ÖZEL Sağlık Hizmetleri A.ş</x:v>
      </x:c>
      <x:c r="D536" t="str">
        <x:v>120214167265870399</x:v>
      </x:c>
      <x:c r="E536" t="str">
        <x:v>Baş Dönmesi ve Denge Ünitesi / lead</x:v>
      </x:c>
      <x:c r="F536" t="str">
        <x:v>OUTCOME_LEADS</x:v>
      </x:c>
      <x:c r="G536" t="n">
        <x:v>6890</x:v>
      </x:c>
      <x:c r="H536" s="28" t="n">
        <x:v>543.13</x:v>
      </x:c>
      <x:c r="I536" t="n">
        <x:v>8693</x:v>
      </x:c>
      <x:c r="J536" t="n">
        <x:v>105</x:v>
      </x:c>
      <x:c r="K536" t="n">
        <x:v>46</x:v>
      </x:c>
      <x:c r="L536" s="27" t="n">
        <x:f>IFERROR(K536/I536,0)</x:f>
        <x:v>0.005291613942252387</x:v>
      </x:c>
      <x:c r="M536" s="28" t="n">
        <x:f>IFERROR(H536/K536,0)</x:f>
        <x:v>11.807173913043478</x:v>
      </x:c>
      <x:c r="N536" s="28" t="n">
        <x:f>IFERROR(H536/I536*1000,0)</x:f>
        <x:v>62.47900609685954</x:v>
      </x:c>
      <x:c r="O536" t="n">
        <x:v>1.261684</x:v>
      </x:c>
      <x:c r="P536" t="n">
        <x:v>5</x:v>
      </x:c>
      <x:c r="Q536" s="28" t="n">
        <x:v>0</x:v>
      </x:c>
      <x:c r="R536" s="28" t="n">
        <x:v>0</x:v>
      </x:c>
    </x:row>
    <x:row r="537">
      <x:c r="A537" t="str">
        <x:v>2026-07-30</x:v>
      </x:c>
      <x:c r="B537" t="str">
        <x:v>449281783851362</x:v>
      </x:c>
      <x:c r="C537" t="str">
        <x:v>Doruk Hastaneleri - SİNA ÖZEL Sağlık Hizmetleri A.ş</x:v>
      </x:c>
      <x:c r="D537" t="str">
        <x:v>120220089108220399</x:v>
      </x:c>
      <x:c r="E537" t="str">
        <x:v>Checkup - genel - lead</x:v>
      </x:c>
      <x:c r="F537" t="str">
        <x:v>OUTCOME_LEADS</x:v>
      </x:c>
      <x:c r="G537" t="n">
        <x:v>7903</x:v>
      </x:c>
      <x:c r="H537" s="28" t="n">
        <x:v>1505.54</x:v>
      </x:c>
      <x:c r="I537" t="n">
        <x:v>11155</x:v>
      </x:c>
      <x:c r="J537" t="n">
        <x:v>108</x:v>
      </x:c>
      <x:c r="K537" t="n">
        <x:v>72</x:v>
      </x:c>
      <x:c r="L537" s="27" t="n">
        <x:f>IFERROR(K537/I537,0)</x:f>
        <x:v>0.006454504706409681</x:v>
      </x:c>
      <x:c r="M537" s="28" t="n">
        <x:f>IFERROR(H537/K537,0)</x:f>
        <x:v>20.91027777777778</x:v>
      </x:c>
      <x:c r="N537" s="28" t="n">
        <x:f>IFERROR(H537/I537*1000,0)</x:f>
        <x:v>134.96548632900044</x:v>
      </x:c>
      <x:c r="O537" t="n">
        <x:v>1.411489</x:v>
      </x:c>
      <x:c r="P537" t="n">
        <x:v>5</x:v>
      </x:c>
      <x:c r="Q537" s="28" t="n">
        <x:v>0</x:v>
      </x:c>
      <x:c r="R537" s="28" t="n">
        <x:v>0</x:v>
      </x:c>
    </x:row>
    <x:row r="538">
      <x:c r="A538" t="str">
        <x:v>2026-07-30</x:v>
      </x:c>
      <x:c r="B538" t="str">
        <x:v>170008509278498</x:v>
      </x:c>
      <x:c r="C538" t="str">
        <x:v>Doruk Hospital</x:v>
      </x:c>
      <x:c r="D538" t="str">
        <x:v>120232382033210080</x:v>
      </x:c>
      <x:c r="E538" t="str">
        <x:v>Fizik Tedavi - Intensive FTR - Türki Cumhuriyetler - Tümü - RU - Lechenie v Turtsii - lead</x:v>
      </x:c>
      <x:c r="F538" t="str">
        <x:v>OUTCOME_LEADS</x:v>
      </x:c>
      <x:c r="G538" t="n">
        <x:v>102794</x:v>
      </x:c>
      <x:c r="H538" s="28" t="n">
        <x:v>24002.2</x:v>
      </x:c>
      <x:c r="I538" t="n">
        <x:v>131464</x:v>
      </x:c>
      <x:c r="J538" t="n">
        <x:v>1192</x:v>
      </x:c>
      <x:c r="K538" t="n">
        <x:v>929</x:v>
      </x:c>
      <x:c r="L538" s="27" t="n">
        <x:f>IFERROR(K538/I538,0)</x:f>
        <x:v>0.007066573358485973</x:v>
      </x:c>
      <x:c r="M538" s="28" t="n">
        <x:f>IFERROR(H538/K538,0)</x:f>
        <x:v>25.83659849300323</x:v>
      </x:c>
      <x:c r="N538" s="28" t="n">
        <x:f>IFERROR(H538/I538*1000,0)</x:f>
        <x:v>182.57621858455548</x:v>
      </x:c>
      <x:c r="O538" t="n">
        <x:v>1.278907</x:v>
      </x:c>
      <x:c r="P538" t="n">
        <x:v>18</x:v>
      </x:c>
      <x:c r="Q538" s="28" t="n">
        <x:v>0</x:v>
      </x:c>
      <x:c r="R538" s="28" t="n">
        <x:v>0</x:v>
      </x:c>
    </x:row>
    <x:row r="539">
      <x:c r="A539" t="str">
        <x:v>2026-07-30</x:v>
      </x:c>
      <x:c r="B539" t="str">
        <x:v>170008509278498</x:v>
      </x:c>
      <x:c r="C539" t="str">
        <x:v>Doruk Hospital</x:v>
      </x:c>
      <x:c r="D539" t="str">
        <x:v>120238651325780080</x:v>
      </x:c>
      <x:c r="E539" t="str">
        <x:v>Whatsapp - Fizik Tedavi - Intensive FTR - Arap Bölgesi - Tümü - AR - Doruk İlaj Turkia</x:v>
      </x:c>
      <x:c r="F539" t="str">
        <x:v>OUTCOME_LEADS</x:v>
      </x:c>
      <x:c r="G539" t="n">
        <x:v>36676</x:v>
      </x:c>
      <x:c r="H539" s="28" t="n">
        <x:v>15830.33</x:v>
      </x:c>
      <x:c r="I539" t="n">
        <x:v>43188</x:v>
      </x:c>
      <x:c r="J539" t="n">
        <x:v>467</x:v>
      </x:c>
      <x:c r="K539" t="n">
        <x:v>214</x:v>
      </x:c>
      <x:c r="L539" s="27" t="n">
        <x:f>IFERROR(K539/I539,0)</x:f>
        <x:v>0.004955080114846717</x:v>
      </x:c>
      <x:c r="M539" s="28" t="n">
        <x:f>IFERROR(H539/K539,0)</x:f>
        <x:v>73.97350467289719</x:v>
      </x:c>
      <x:c r="N539" s="28" t="n">
        <x:f>IFERROR(H539/I539*1000,0)</x:f>
        <x:v>366.54464203019353</x:v>
      </x:c>
      <x:c r="O539" t="n">
        <x:v>1.177555</x:v>
      </x:c>
      <x:c r="P539" t="n">
        <x:v>0</x:v>
      </x:c>
      <x:c r="Q539" s="28" t="n">
        <x:v>0</x:v>
      </x:c>
      <x:c r="R539" s="28" t="n">
        <x:v>0</x:v>
      </x:c>
    </x:row>
    <x:row r="540">
      <x:c r="A540" t="str">
        <x:v>2026-07-30</x:v>
      </x:c>
      <x:c r="B540" t="str">
        <x:v>449281783851362</x:v>
      </x:c>
      <x:c r="C540" t="str">
        <x:v>Doruk Hastaneleri - SİNA ÖZEL Sağlık Hizmetleri A.ş</x:v>
      </x:c>
      <x:c r="D540" t="str">
        <x:v>120242415465180399</x:v>
      </x:c>
      <x:c r="E540" t="str">
        <x:v>Gebe-Doğum Form Kampanyası</x:v>
      </x:c>
      <x:c r="F540" t="str">
        <x:v>OUTCOME_LEADS</x:v>
      </x:c>
      <x:c r="G540" t="n">
        <x:v>80298</x:v>
      </x:c>
      <x:c r="H540" s="28" t="n">
        <x:v>11359.53</x:v>
      </x:c>
      <x:c r="I540" t="n">
        <x:v>161147</x:v>
      </x:c>
      <x:c r="J540" t="n">
        <x:v>866</x:v>
      </x:c>
      <x:c r="K540" t="n">
        <x:v>584</x:v>
      </x:c>
      <x:c r="L540" s="27" t="n">
        <x:f>IFERROR(K540/I540,0)</x:f>
        <x:v>0.0036240203044425275</x:v>
      </x:c>
      <x:c r="M540" s="28" t="n">
        <x:f>IFERROR(H540/K540,0)</x:f>
        <x:v>19.45125</x:v>
      </x:c>
      <x:c r="N540" s="28" t="n">
        <x:f>IFERROR(H540/I540*1000,0)</x:f>
        <x:v>70.49172494678773</x:v>
      </x:c>
      <x:c r="O540" t="n">
        <x:v>2.006862</x:v>
      </x:c>
      <x:c r="P540" t="n">
        <x:v>32</x:v>
      </x:c>
      <x:c r="Q540" s="28" t="n">
        <x:v>0</x:v>
      </x:c>
      <x:c r="R540" s="28" t="n">
        <x:v>0</x:v>
      </x:c>
    </x:row>
    <x:row r="541">
      <x:c r="A541" t="str">
        <x:v>2026-07-30</x:v>
      </x:c>
      <x:c r="B541" t="str">
        <x:v>170008509278498</x:v>
      </x:c>
      <x:c r="C541" t="str">
        <x:v>Doruk Hospital</x:v>
      </x:c>
      <x:c r="D541" t="str">
        <x:v>120242709752170080</x:v>
      </x:c>
      <x:c r="E541" t="str">
        <x:v>Instagram gönderisi: Аппарат TrueBeam — одна из...</x:v>
      </x:c>
      <x:c r="F541" t="str">
        <x:v>LINK_CLICKS</x:v>
      </x:c>
      <x:c r="G541" t="n">
        <x:v>75776</x:v>
      </x:c>
      <x:c r="H541" s="28" t="n">
        <x:v>3601.16</x:v>
      </x:c>
      <x:c r="I541" t="n">
        <x:v>81863</x:v>
      </x:c>
      <x:c r="J541" t="n">
        <x:v>1436</x:v>
      </x:c>
      <x:c r="K541" t="n">
        <x:v>1331</x:v>
      </x:c>
      <x:c r="L541" s="27" t="n">
        <x:f>IFERROR(K541/I541,0)</x:f>
        <x:v>0.016258871529262305</x:v>
      </x:c>
      <x:c r="M541" s="28" t="n">
        <x:f>IFERROR(H541/K541,0)</x:f>
        <x:v>2.7056048084147255</x:v>
      </x:c>
      <x:c r="N541" s="28" t="n">
        <x:f>IFERROR(H541/I541*1000,0)</x:f>
        <x:v>43.990080988969375</x:v>
      </x:c>
      <x:c r="O541" t="n">
        <x:v>1.080329</x:v>
      </x:c>
      <x:c r="P541" t="n">
        <x:v>0</x:v>
      </x:c>
      <x:c r="Q541" s="28" t="n">
        <x:v>0</x:v>
      </x:c>
      <x:c r="R541" s="28" t="n">
        <x:v>0</x:v>
      </x:c>
    </x:row>
    <x:row r="542">
      <x:c r="A542" t="str">
        <x:v>2026-07-30</x:v>
      </x:c>
      <x:c r="B542" t="str">
        <x:v>449281783851362</x:v>
      </x:c>
      <x:c r="C542" t="str">
        <x:v>Doruk Hastaneleri - SİNA ÖZEL Sağlık Hizmetleri A.ş</x:v>
      </x:c>
      <x:c r="D542" t="str">
        <x:v>120244050701710399</x:v>
      </x:c>
      <x:c r="E542" t="str">
        <x:v>Uzman Hekim Başvuru</x:v>
      </x:c>
      <x:c r="F542" t="str">
        <x:v>OUTCOME_LEADS</x:v>
      </x:c>
      <x:c r="G542" t="n">
        <x:v>10321</x:v>
      </x:c>
      <x:c r="H542" s="28" t="n">
        <x:v>1626.82</x:v>
      </x:c>
      <x:c r="I542" t="n">
        <x:v>14689</x:v>
      </x:c>
      <x:c r="J542" t="n">
        <x:v>174</x:v>
      </x:c>
      <x:c r="K542" t="n">
        <x:v>81</x:v>
      </x:c>
      <x:c r="L542" s="27" t="n">
        <x:f>IFERROR(K542/I542,0)</x:f>
        <x:v>0.005514330451358159</x:v>
      </x:c>
      <x:c r="M542" s="28" t="n">
        <x:f>IFERROR(H542/K542,0)</x:f>
        <x:v>20.0841975308642</x:v>
      </x:c>
      <x:c r="N542" s="28" t="n">
        <x:f>IFERROR(H542/I542*1000,0)</x:f>
        <x:v>110.7509020355368</x:v>
      </x:c>
      <x:c r="O542" t="n">
        <x:v>1.423215</x:v>
      </x:c>
      <x:c r="P542" t="n">
        <x:v>10</x:v>
      </x:c>
      <x:c r="Q542" s="28" t="n">
        <x:v>0</x:v>
      </x:c>
      <x:c r="R542" s="28" t="n">
        <x:v>0</x:v>
      </x:c>
    </x:row>
    <x:row r="543">
      <x:c r="A543" t="str">
        <x:v>2026-07-30</x:v>
      </x:c>
      <x:c r="B543" t="str">
        <x:v>449281783851362</x:v>
      </x:c>
      <x:c r="C543" t="str">
        <x:v>Doruk Hastaneleri - SİNA ÖZEL Sağlık Hizmetleri A.ş</x:v>
      </x:c>
      <x:c r="D543" t="str">
        <x:v>120246476228800399</x:v>
      </x:c>
      <x:c r="E543" t="str">
        <x:v>FTR Yatılı - lead</x:v>
      </x:c>
      <x:c r="F543" t="str">
        <x:v>OUTCOME_LEADS</x:v>
      </x:c>
      <x:c r="G543" t="n">
        <x:v>90760</x:v>
      </x:c>
      <x:c r="H543" s="28" t="n">
        <x:v>6389.08</x:v>
      </x:c>
      <x:c r="I543" t="n">
        <x:v>103036</x:v>
      </x:c>
      <x:c r="J543" t="n">
        <x:v>677</x:v>
      </x:c>
      <x:c r="K543" t="n">
        <x:v>307</x:v>
      </x:c>
      <x:c r="L543" s="27" t="n">
        <x:f>IFERROR(K543/I543,0)</x:f>
        <x:v>0.0029795411312550954</x:v>
      </x:c>
      <x:c r="M543" s="28" t="n">
        <x:f>IFERROR(H543/K543,0)</x:f>
        <x:v>20.811335504885992</x:v>
      </x:c>
      <x:c r="N543" s="28" t="n">
        <x:f>IFERROR(H543/I543*1000,0)</x:f>
        <x:v>62.00823013315734</x:v>
      </x:c>
      <x:c r="O543" t="n">
        <x:v>1.135258</x:v>
      </x:c>
      <x:c r="P543" t="n">
        <x:v>8</x:v>
      </x:c>
      <x:c r="Q543" s="28" t="n">
        <x:v>0</x:v>
      </x:c>
      <x:c r="R543" s="28" t="n">
        <x:v>0</x:v>
      </x:c>
    </x:row>
    <x:row r="544">
      <x:c r="A544" t="str">
        <x:v>2026-07-30</x:v>
      </x:c>
      <x:c r="B544" t="str">
        <x:v>449281783851362</x:v>
      </x:c>
      <x:c r="C544" t="str">
        <x:v>Doruk Hastaneleri - SİNA ÖZEL Sağlık Hizmetleri A.ş</x:v>
      </x:c>
      <x:c r="D544" t="str">
        <x:v>120246691590090399</x:v>
      </x:c>
      <x:c r="E544" t="str">
        <x:v>Hemşire İş Başvuru - lead</x:v>
      </x:c>
      <x:c r="F544" t="str">
        <x:v>OUTCOME_LEADS</x:v>
      </x:c>
      <x:c r="G544" t="n">
        <x:v>14614</x:v>
      </x:c>
      <x:c r="H544" s="28" t="n">
        <x:v>1540.83</x:v>
      </x:c>
      <x:c r="I544" t="n">
        <x:v>25027</x:v>
      </x:c>
      <x:c r="J544" t="n">
        <x:v>180</x:v>
      </x:c>
      <x:c r="K544" t="n">
        <x:v>120</x:v>
      </x:c>
      <x:c r="L544" s="27" t="n">
        <x:f>IFERROR(K544/I544,0)</x:f>
        <x:v>0.0047948215926799055</x:v>
      </x:c>
      <x:c r="M544" s="28" t="n">
        <x:f>IFERROR(H544/K544,0)</x:f>
        <x:v>12.84025</x:v>
      </x:c>
      <x:c r="N544" s="28" t="n">
        <x:f>IFERROR(H544/I544*1000,0)</x:f>
        <x:v>61.566707955408155</x:v>
      </x:c>
      <x:c r="O544" t="n">
        <x:v>1.712536</x:v>
      </x:c>
      <x:c r="P544" t="n">
        <x:v>1</x:v>
      </x:c>
      <x:c r="Q544" s="28" t="n">
        <x:v>0</x:v>
      </x:c>
      <x:c r="R544" s="28" t="n">
        <x:v>0</x:v>
      </x:c>
    </x:row>
    <x:row r="545">
      <x:c r="A545" t="str">
        <x:v>2026-07-30</x:v>
      </x:c>
      <x:c r="B545" t="str">
        <x:v>449281783851362</x:v>
      </x:c>
      <x:c r="C545" t="str">
        <x:v>Doruk Hastaneleri - SİNA ÖZEL Sağlık Hizmetleri A.ş</x:v>
      </x:c>
      <x:c r="D545" t="str">
        <x:v>120246924981440399</x:v>
      </x:c>
      <x:c r="E545" t="str">
        <x:v>ÖSS-TSS - marka bilinirliği</x:v>
      </x:c>
      <x:c r="F545" t="str">
        <x:v>OUTCOME_AWARENESS</x:v>
      </x:c>
      <x:c r="G545" t="n">
        <x:v>207441</x:v>
      </x:c>
      <x:c r="H545" s="28" t="n">
        <x:v>2974.8</x:v>
      </x:c>
      <x:c r="I545" t="n">
        <x:v>212475</x:v>
      </x:c>
      <x:c r="J545" t="n">
        <x:v>259</x:v>
      </x:c>
      <x:c r="K545" t="n">
        <x:v>53</x:v>
      </x:c>
      <x:c r="L545" s="27" t="n">
        <x:f>IFERROR(K545/I545,0)</x:f>
        <x:v>0.0002494411107189081</x:v>
      </x:c>
      <x:c r="M545" s="28" t="n">
        <x:f>IFERROR(H545/K545,0)</x:f>
        <x:v>56.12830188679246</x:v>
      </x:c>
      <x:c r="N545" s="28" t="n">
        <x:f>IFERROR(H545/I545*1000,0)</x:f>
        <x:v>14.000705965407695</x:v>
      </x:c>
      <x:c r="O545" t="n">
        <x:v>1.024267</x:v>
      </x:c>
      <x:c r="P545" t="n">
        <x:v>0</x:v>
      </x:c>
      <x:c r="Q545" s="28" t="n">
        <x:v>0</x:v>
      </x:c>
      <x:c r="R545" s="28" t="n">
        <x:v>0</x:v>
      </x:c>
    </x:row>
    <x:row r="546">
      <x:c r="A546" t="str">
        <x:v>2026-07-30</x:v>
      </x:c>
      <x:c r="B546" t="str">
        <x:v>449281783851362</x:v>
      </x:c>
      <x:c r="C546" t="str">
        <x:v>Doruk Hastaneleri - SİNA ÖZEL Sağlık Hizmetleri A.ş</x:v>
      </x:c>
      <x:c r="D546" t="str">
        <x:v>120247034876600399</x:v>
      </x:c>
      <x:c r="E546" t="str">
        <x:v>Gebe-Doğum Bilinirlik</x:v>
      </x:c>
      <x:c r="F546" t="str">
        <x:v>OUTCOME_AWARENESS</x:v>
      </x:c>
      <x:c r="G546" t="n">
        <x:v>158059</x:v>
      </x:c>
      <x:c r="H546" s="28" t="n">
        <x:v>1586.64</x:v>
      </x:c>
      <x:c r="I546" t="n">
        <x:v>160093</x:v>
      </x:c>
      <x:c r="J546" t="n">
        <x:v>125</x:v>
      </x:c>
      <x:c r="K546" t="n">
        <x:v>0</x:v>
      </x:c>
      <x:c r="L546" s="27" t="n">
        <x:f>IFERROR(K546/I546,0)</x:f>
        <x:v>0</x:v>
      </x:c>
      <x:c r="M546" s="28" t="n">
        <x:f>IFERROR(H546/K546,0)</x:f>
        <x:v>0</x:v>
      </x:c>
      <x:c r="N546" s="28" t="n">
        <x:f>IFERROR(H546/I546*1000,0)</x:f>
        <x:v>9.910739382733787</x:v>
      </x:c>
      <x:c r="O546" t="n">
        <x:v>1.012869</x:v>
      </x:c>
      <x:c r="P546" t="n">
        <x:v>0</x:v>
      </x:c>
      <x:c r="Q546" s="28" t="n">
        <x:v>0</x:v>
      </x:c>
      <x:c r="R546" s="28" t="n">
        <x:v>0</x:v>
      </x:c>
    </x:row>
    <x:row r="547">
      <x:c r="A547" t="str">
        <x:v>2026-07-30</x:v>
      </x:c>
      <x:c r="B547" t="str">
        <x:v>170008509278498</x:v>
      </x:c>
      <x:c r="C547" t="str">
        <x:v>Doruk Hospital</x:v>
      </x:c>
      <x:c r="D547" t="str">
        <x:v>120247571768010080</x:v>
      </x:c>
      <x:c r="E547" t="str">
        <x:v>Meme Estetiği - Jinekomasti - Birleşik Krallık - Tümü - EN - Doruk Jinekomasti</x:v>
      </x:c>
      <x:c r="F547" t="str">
        <x:v>OUTCOME_LEADS</x:v>
      </x:c>
      <x:c r="G547" t="n">
        <x:v>2544</x:v>
      </x:c>
      <x:c r="H547" s="28" t="n">
        <x:v>1493.78</x:v>
      </x:c>
      <x:c r="I547" t="n">
        <x:v>3962</x:v>
      </x:c>
      <x:c r="J547" t="n">
        <x:v>105</x:v>
      </x:c>
      <x:c r="K547" t="n">
        <x:v>45</x:v>
      </x:c>
      <x:c r="L547" s="27" t="n">
        <x:f>IFERROR(K547/I547,0)</x:f>
        <x:v>0.011357900050479555</x:v>
      </x:c>
      <x:c r="M547" s="28" t="n">
        <x:f>IFERROR(H547/K547,0)</x:f>
        <x:v>33.19511111111111</x:v>
      </x:c>
      <x:c r="N547" s="28" t="n">
        <x:f>IFERROR(H547/I547*1000,0)</x:f>
        <x:v>377.02675416456333</x:v>
      </x:c>
      <x:c r="O547" t="n">
        <x:v>1.55739</x:v>
      </x:c>
      <x:c r="P547" t="n">
        <x:v>6</x:v>
      </x:c>
      <x:c r="Q547" s="28" t="n">
        <x:v>0</x:v>
      </x:c>
      <x:c r="R547" s="28" t="n">
        <x:v>0</x:v>
      </x:c>
    </x:row>
    <x:row r="548">
      <x:c r="A548" t="str">
        <x:v>2026-07-30</x:v>
      </x:c>
      <x:c r="B548" t="str">
        <x:v>170008509278498</x:v>
      </x:c>
      <x:c r="C548" t="str">
        <x:v>Doruk Hospital</x:v>
      </x:c>
      <x:c r="D548" t="str">
        <x:v>120247623884690080</x:v>
      </x:c>
      <x:c r="E548" t="str">
        <x:v>Meme Estetiği - Jinekomasti - Arap Bölgesi - Tümü - AR - Doruk Jinekomasti</x:v>
      </x:c>
      <x:c r="F548" t="str">
        <x:v>OUTCOME_LEADS</x:v>
      </x:c>
      <x:c r="G548" t="n">
        <x:v>6107</x:v>
      </x:c>
      <x:c r="H548" s="28" t="n">
        <x:v>1565.1</x:v>
      </x:c>
      <x:c r="I548" t="n">
        <x:v>10105</x:v>
      </x:c>
      <x:c r="J548" t="n">
        <x:v>206</x:v>
      </x:c>
      <x:c r="K548" t="n">
        <x:v>68</x:v>
      </x:c>
      <x:c r="L548" s="27" t="n">
        <x:f>IFERROR(K548/I548,0)</x:f>
        <x:v>0.006729341909945572</x:v>
      </x:c>
      <x:c r="M548" s="28" t="n">
        <x:f>IFERROR(H548/K548,0)</x:f>
        <x:v>23.016176470588235</x:v>
      </x:c>
      <x:c r="N548" s="28" t="n">
        <x:f>IFERROR(H548/I548*1000,0)</x:f>
        <x:v>154.88372093023256</x:v>
      </x:c>
      <x:c r="O548" t="n">
        <x:v>1.654659</x:v>
      </x:c>
      <x:c r="P548" t="n">
        <x:v>12</x:v>
      </x:c>
      <x:c r="Q548" s="28" t="n">
        <x:v>0</x:v>
      </x:c>
      <x:c r="R548" s="28" t="n">
        <x:v>0</x:v>
      </x:c>
    </x:row>
    <x:row r="549">
      <x:c r="A549" t="str">
        <x:v>2026-07-30</x:v>
      </x:c>
      <x:c r="B549" t="str">
        <x:v>449281783851362</x:v>
      </x:c>
      <x:c r="C549" t="str">
        <x:v>Doruk Hastaneleri - SİNA ÖZEL Sağlık Hizmetleri A.ş</x:v>
      </x:c>
      <x:c r="D549" t="str">
        <x:v>120248812698040399</x:v>
      </x:c>
      <x:c r="E549" t="str">
        <x:v>ABO / Medikal Estetik lead / 16.04.2026</x:v>
      </x:c>
      <x:c r="F549" t="str">
        <x:v>OUTCOME_LEADS</x:v>
      </x:c>
      <x:c r="G549" t="n">
        <x:v>24039</x:v>
      </x:c>
      <x:c r="H549" s="28" t="n">
        <x:v>3599.76</x:v>
      </x:c>
      <x:c r="I549" t="n">
        <x:v>31917</x:v>
      </x:c>
      <x:c r="J549" t="n">
        <x:v>378</x:v>
      </x:c>
      <x:c r="K549" t="n">
        <x:v>156</x:v>
      </x:c>
      <x:c r="L549" s="27" t="n">
        <x:f>IFERROR(K549/I549,0)</x:f>
        <x:v>0.004887677413290723</x:v>
      </x:c>
      <x:c r="M549" s="28" t="n">
        <x:f>IFERROR(H549/K549,0)</x:f>
        <x:v>23.075384615384618</x:v>
      </x:c>
      <x:c r="N549" s="28" t="n">
        <x:f>IFERROR(H549/I549*1000,0)</x:f>
        <x:v>112.78503618761162</x:v>
      </x:c>
      <x:c r="O549" t="n">
        <x:v>1.327717</x:v>
      </x:c>
      <x:c r="P549" t="n">
        <x:v>39</x:v>
      </x:c>
      <x:c r="Q549" s="28" t="n">
        <x:v>0</x:v>
      </x:c>
      <x:c r="R549" s="28" t="n">
        <x:v>0</x:v>
      </x:c>
    </x:row>
    <x:row r="550">
      <x:c r="A550" t="str">
        <x:v>2026-07-30</x:v>
      </x:c>
      <x:c r="B550" t="str">
        <x:v>449281783851362</x:v>
      </x:c>
      <x:c r="C550" t="str">
        <x:v>Doruk Hastaneleri - SİNA ÖZEL Sağlık Hizmetleri A.ş</x:v>
      </x:c>
      <x:c r="D550" t="str">
        <x:v>120249061996540399</x:v>
      </x:c>
      <x:c r="E550" t="str">
        <x:v>Doktor - Bilinirlik Kampanyası - Nilüfer</x:v>
      </x:c>
      <x:c r="F550" t="str">
        <x:v>OUTCOME_AWARENESS</x:v>
      </x:c>
      <x:c r="G550" t="n">
        <x:v>713271</x:v>
      </x:c>
      <x:c r="H550" s="28" t="n">
        <x:v>8244.07</x:v>
      </x:c>
      <x:c r="I550" t="n">
        <x:v>856916</x:v>
      </x:c>
      <x:c r="J550" t="n">
        <x:v>517</x:v>
      </x:c>
      <x:c r="K550" t="n">
        <x:v>0</x:v>
      </x:c>
      <x:c r="L550" s="27" t="n">
        <x:f>IFERROR(K550/I550,0)</x:f>
        <x:v>0</x:v>
      </x:c>
      <x:c r="M550" s="28" t="n">
        <x:f>IFERROR(H550/K550,0)</x:f>
        <x:v>0</x:v>
      </x:c>
      <x:c r="N550" s="28" t="n">
        <x:f>IFERROR(H550/I550*1000,0)</x:f>
        <x:v>9.620627926191132</x:v>
      </x:c>
      <x:c r="O550" t="n">
        <x:v>1.201389</x:v>
      </x:c>
      <x:c r="P550" t="n">
        <x:v>0</x:v>
      </x:c>
      <x:c r="Q550" s="28" t="n">
        <x:v>0</x:v>
      </x:c>
      <x:c r="R550" s="28" t="n">
        <x:v>0</x:v>
      </x:c>
    </x:row>
    <x:row r="551">
      <x:c r="A551" t="str">
        <x:v>2026-07-30</x:v>
      </x:c>
      <x:c r="B551" t="str">
        <x:v>449281783851362</x:v>
      </x:c>
      <x:c r="C551" t="str">
        <x:v>Doruk Hastaneleri - SİNA ÖZEL Sağlık Hizmetleri A.ş</x:v>
      </x:c>
      <x:c r="D551" t="str">
        <x:v>120249614228610399</x:v>
      </x:c>
      <x:c r="E551" t="str">
        <x:v>Instagram gönderisi: Bir sezon boyunca ortaya...</x:v>
      </x:c>
      <x:c r="F551" t="str">
        <x:v>LINK_CLICKS</x:v>
      </x:c>
      <x:c r="G551" t="n">
        <x:v>85876</x:v>
      </x:c>
      <x:c r="H551" s="28" t="n">
        <x:v>6437.43</x:v>
      </x:c>
      <x:c r="I551" t="n">
        <x:v>102684</x:v>
      </x:c>
      <x:c r="J551" t="n">
        <x:v>1553</x:v>
      </x:c>
      <x:c r="K551" t="n">
        <x:v>1565</x:v>
      </x:c>
      <x:c r="L551" s="27" t="n">
        <x:f>IFERROR(K551/I551,0)</x:f>
        <x:v>0.015240933348915119</x:v>
      </x:c>
      <x:c r="M551" s="28" t="n">
        <x:f>IFERROR(H551/K551,0)</x:f>
        <x:v>4.113373801916933</x:v>
      </x:c>
      <x:c r="N551" s="28" t="n">
        <x:f>IFERROR(H551/I551*1000,0)</x:f>
        <x:v>62.69165595418956</x:v>
      </x:c>
      <x:c r="O551" t="n">
        <x:v>1.195724</x:v>
      </x:c>
      <x:c r="P551" t="n">
        <x:v>0</x:v>
      </x:c>
      <x:c r="Q551" s="28" t="n">
        <x:v>0</x:v>
      </x:c>
      <x:c r="R551" s="28" t="n">
        <x:v>0</x:v>
      </x:c>
    </x:row>
    <x:row r="552">
      <x:c r="A552" t="str">
        <x:v>2026-07-30</x:v>
      </x:c>
      <x:c r="B552" t="str">
        <x:v>449281783851362</x:v>
      </x:c>
      <x:c r="C552" t="str">
        <x:v>Doruk Hastaneleri - SİNA ÖZEL Sağlık Hizmetleri A.ş</x:v>
      </x:c>
      <x:c r="D552" t="str">
        <x:v>120251414264130399</x:v>
      </x:c>
      <x:c r="E552" t="str">
        <x:v>Prostat Checkup - lead</x:v>
      </x:c>
      <x:c r="F552" t="str">
        <x:v>OUTCOME_LEADS</x:v>
      </x:c>
      <x:c r="G552" t="n">
        <x:v>8001</x:v>
      </x:c>
      <x:c r="H552" s="28" t="n">
        <x:v>683.98</x:v>
      </x:c>
      <x:c r="I552" t="n">
        <x:v>10728</x:v>
      </x:c>
      <x:c r="J552" t="n">
        <x:v>317</x:v>
      </x:c>
      <x:c r="K552" t="n">
        <x:v>73</x:v>
      </x:c>
      <x:c r="L552" s="27" t="n">
        <x:f>IFERROR(K552/I552,0)</x:f>
        <x:v>0.0068046234153616705</x:v>
      </x:c>
      <x:c r="M552" s="28" t="n">
        <x:f>IFERROR(H552/K552,0)</x:f>
        <x:v>9.36958904109589</x:v>
      </x:c>
      <x:c r="N552" s="28" t="n">
        <x:f>IFERROR(H552/I552*1000,0)</x:f>
        <x:v>63.7565249813572</x:v>
      </x:c>
      <x:c r="O552" t="n">
        <x:v>1.340832</x:v>
      </x:c>
      <x:c r="P552" t="n">
        <x:v>3</x:v>
      </x:c>
      <x:c r="Q552" s="28" t="n">
        <x:v>0</x:v>
      </x:c>
      <x:c r="R552" s="28" t="n">
        <x:v>0</x:v>
      </x:c>
    </x:row>
    <x:row r="553">
      <x:c r="A553" t="str">
        <x:v>2026-07-30</x:v>
      </x:c>
      <x:c r="B553" t="str">
        <x:v>449281783851362</x:v>
      </x:c>
      <x:c r="C553" t="str">
        <x:v>Doruk Hastaneleri - SİNA ÖZEL Sağlık Hizmetleri A.ş</x:v>
      </x:c>
      <x:c r="D553" t="str">
        <x:v>120252323141170399</x:v>
      </x:c>
      <x:c r="E553" t="str">
        <x:v>Instagram gönderisi: Medikal estetik alanındaki...</x:v>
      </x:c>
      <x:c r="F553" t="str">
        <x:v>LINK_CLICKS</x:v>
      </x:c>
      <x:c r="G553" t="n">
        <x:v>9732</x:v>
      </x:c>
      <x:c r="H553" s="28" t="n">
        <x:v>796.3</x:v>
      </x:c>
      <x:c r="I553" t="n">
        <x:v>10630</x:v>
      </x:c>
      <x:c r="J553" t="n">
        <x:v>199</x:v>
      </x:c>
      <x:c r="K553" t="n">
        <x:v>190</x:v>
      </x:c>
      <x:c r="L553" s="27" t="n">
        <x:f>IFERROR(K553/I553,0)</x:f>
        <x:v>0.017873941674506115</x:v>
      </x:c>
      <x:c r="M553" s="28" t="n">
        <x:f>IFERROR(H553/K553,0)</x:f>
        <x:v>4.191052631578947</x:v>
      </x:c>
      <x:c r="N553" s="28" t="n">
        <x:f>IFERROR(H553/I553*1000,0)</x:f>
        <x:v>74.91063029162747</x:v>
      </x:c>
      <x:c r="O553" t="n">
        <x:v>1.092273</x:v>
      </x:c>
      <x:c r="P553" t="n">
        <x:v>0</x:v>
      </x:c>
      <x:c r="Q553" s="28" t="n">
        <x:v>0</x:v>
      </x:c>
      <x:c r="R553" s="28" t="n">
        <x:v>0</x:v>
      </x:c>
    </x:row>
    <x:row r="554">
      <x:c r="A554" t="str">
        <x:v>2026-07-30</x:v>
      </x:c>
      <x:c r="B554" t="str">
        <x:v>449281783851362</x:v>
      </x:c>
      <x:c r="C554" t="str">
        <x:v>Doruk Hastaneleri - SİNA ÖZEL Sağlık Hizmetleri A.ş</x:v>
      </x:c>
      <x:c r="D554" t="str">
        <x:v>120255099624540399</x:v>
      </x:c>
      <x:c r="E554" t="str">
        <x:v>Instagram gönderisi: Doruk Sağlık Grubu olarak,...</x:v>
      </x:c>
      <x:c r="F554" t="str">
        <x:v>LINK_CLICKS</x:v>
      </x:c>
      <x:c r="G554" t="n">
        <x:v>68269</x:v>
      </x:c>
      <x:c r="H554" s="28" t="n">
        <x:v>5193.53</x:v>
      </x:c>
      <x:c r="I554" t="n">
        <x:v>75905</x:v>
      </x:c>
      <x:c r="J554" t="n">
        <x:v>1318</x:v>
      </x:c>
      <x:c r="K554" t="n">
        <x:v>1297</x:v>
      </x:c>
      <x:c r="L554" s="27" t="n">
        <x:f>IFERROR(K554/I554,0)</x:f>
        <x:v>0.017087148409195705</x:v>
      </x:c>
      <x:c r="M554" s="28" t="n">
        <x:f>IFERROR(H554/K554,0)</x:f>
        <x:v>4.004263685427911</x:v>
      </x:c>
      <x:c r="N554" s="28" t="n">
        <x:f>IFERROR(H554/I554*1000,0)</x:f>
        <x:v>68.42144786245966</x:v>
      </x:c>
      <x:c r="O554" t="n">
        <x:v>1.111852</x:v>
      </x:c>
      <x:c r="P554" t="n">
        <x:v>0</x:v>
      </x:c>
      <x:c r="Q554" s="28" t="n">
        <x:v>0</x:v>
      </x:c>
      <x:c r="R554" s="28" t="n">
        <x:v>0</x:v>
      </x:c>
    </x:row>
    <x:row r="555">
      <x:c r="A555" t="str">
        <x:v>2026-07-30</x:v>
      </x:c>
      <x:c r="B555" t="str">
        <x:v>449281783851362</x:v>
      </x:c>
      <x:c r="C555" t="str">
        <x:v>Doruk Hastaneleri - SİNA ÖZEL Sağlık Hizmetleri A.ş</x:v>
      </x:c>
      <x:c r="D555" t="str">
        <x:v>120255158812950399</x:v>
      </x:c>
      <x:c r="E555" t="str">
        <x:v>Doktor - Bilinirlik Kampanyası - Yıldırım</x:v>
      </x:c>
      <x:c r="F555" t="str">
        <x:v>OUTCOME_AWARENESS</x:v>
      </x:c>
      <x:c r="G555" t="n">
        <x:v>389861</x:v>
      </x:c>
      <x:c r="H555" s="28" t="n">
        <x:v>4044.43</x:v>
      </x:c>
      <x:c r="I555" t="n">
        <x:v>420485</x:v>
      </x:c>
      <x:c r="J555" t="n">
        <x:v>204</x:v>
      </x:c>
      <x:c r="K555" t="n">
        <x:v>0</x:v>
      </x:c>
      <x:c r="L555" s="27" t="n">
        <x:f>IFERROR(K555/I555,0)</x:f>
        <x:v>0</x:v>
      </x:c>
      <x:c r="M555" s="28" t="n">
        <x:f>IFERROR(H555/K555,0)</x:f>
        <x:v>0</x:v>
      </x:c>
      <x:c r="N555" s="28" t="n">
        <x:f>IFERROR(H555/I555*1000,0)</x:f>
        <x:v>9.618488174370071</x:v>
      </x:c>
      <x:c r="O555" t="n">
        <x:v>1.078551</x:v>
      </x:c>
      <x:c r="P555" t="n">
        <x:v>0</x:v>
      </x:c>
      <x:c r="Q555" s="28" t="n">
        <x:v>0</x:v>
      </x:c>
      <x:c r="R555" s="28" t="n">
        <x:v>0</x:v>
      </x:c>
    </x:row>
    <x:row r="556">
      <x:c r="A556" t="str">
        <x:v>2026-07-30</x:v>
      </x:c>
      <x:c r="B556" t="str">
        <x:v>449281783851362</x:v>
      </x:c>
      <x:c r="C556" t="str">
        <x:v>Doruk Hastaneleri - SİNA ÖZEL Sağlık Hizmetleri A.ş</x:v>
      </x:c>
      <x:c r="D556" t="str">
        <x:v>120255738303970399</x:v>
      </x:c>
      <x:c r="E556" t="str">
        <x:v>Instagram gönderisi: 🏅 BURSA'DA BİR İLK
Özel...</x:v>
      </x:c>
      <x:c r="F556" t="str">
        <x:v>LINK_CLICKS</x:v>
      </x:c>
      <x:c r="G556" t="n">
        <x:v>16003</x:v>
      </x:c>
      <x:c r="H556" s="28" t="n">
        <x:v>1535.72</x:v>
      </x:c>
      <x:c r="I556" t="n">
        <x:v>17568</x:v>
      </x:c>
      <x:c r="J556" t="n">
        <x:v>495</x:v>
      </x:c>
      <x:c r="K556" t="n">
        <x:v>504</x:v>
      </x:c>
      <x:c r="L556" s="27" t="n">
        <x:f>IFERROR(K556/I556,0)</x:f>
        <x:v>0.028688524590163935</x:v>
      </x:c>
      <x:c r="M556" s="28" t="n">
        <x:f>IFERROR(H556/K556,0)</x:f>
        <x:v>3.0470634920634923</x:v>
      </x:c>
      <x:c r="N556" s="28" t="n">
        <x:f>IFERROR(H556/I556*1000,0)</x:f>
        <x:v>87.41575591985429</x:v>
      </x:c>
      <x:c r="O556" t="n">
        <x:v>1.097794</x:v>
      </x:c>
      <x:c r="P556" t="n">
        <x:v>0</x:v>
      </x:c>
      <x:c r="Q556" s="28" t="n">
        <x:v>0</x:v>
      </x:c>
      <x:c r="R556" s="28" t="n">
        <x:v>0</x:v>
      </x:c>
    </x:row>
    <x:row r="557">
      <x:c r="A557" t="str">
        <x:v>2026-07-30</x:v>
      </x:c>
      <x:c r="B557" t="str">
        <x:v>449281783851362</x:v>
      </x:c>
      <x:c r="C557" t="str">
        <x:v>Doruk Hastaneleri - SİNA ÖZEL Sağlık Hizmetleri A.ş</x:v>
      </x:c>
      <x:c r="D557" t="str">
        <x:v>120255739080510399</x:v>
      </x:c>
      <x:c r="E557" t="str">
        <x:v>Gönderi: "👃 Rinoplasti Ameliyatı Nedir? Yumuşak Doku Neden..."</x:v>
      </x:c>
      <x:c r="F557" t="str">
        <x:v>OUTCOME_ENGAGEMENT</x:v>
      </x:c>
      <x:c r="G557" t="n">
        <x:v>16850</x:v>
      </x:c>
      <x:c r="H557" s="28" t="n">
        <x:v>1468.45</x:v>
      </x:c>
      <x:c r="I557" t="n">
        <x:v>21738</x:v>
      </x:c>
      <x:c r="J557" t="n">
        <x:v>987</x:v>
      </x:c>
      <x:c r="K557" t="n">
        <x:v>480</x:v>
      </x:c>
      <x:c r="L557" s="27" t="n">
        <x:f>IFERROR(K557/I557,0)</x:f>
        <x:v>0.022081148219707424</x:v>
      </x:c>
      <x:c r="M557" s="28" t="n">
        <x:f>IFERROR(H557/K557,0)</x:f>
        <x:v>3.0592708333333336</x:v>
      </x:c>
      <x:c r="N557" s="28" t="n">
        <x:f>IFERROR(H557/I557*1000,0)</x:f>
        <x:v>67.55221271506119</x:v>
      </x:c>
      <x:c r="O557" t="n">
        <x:v>1.290089</x:v>
      </x:c>
      <x:c r="P557" t="n">
        <x:v>0</x:v>
      </x:c>
      <x:c r="Q557" s="28" t="n">
        <x:v>0</x:v>
      </x:c>
      <x:c r="R557" s="28" t="n">
        <x:v>0</x:v>
      </x:c>
    </x:row>
    <x:row r="558">
      <x:c r="A558" t="str">
        <x:v>2026-07-30</x:v>
      </x:c>
      <x:c r="B558" t="str">
        <x:v>449281783851362</x:v>
      </x:c>
      <x:c r="C558" t="str">
        <x:v>Doruk Hastaneleri - SİNA ÖZEL Sağlık Hizmetleri A.ş</x:v>
      </x:c>
      <x:c r="D558" t="str">
        <x:v>120255739163090399</x:v>
      </x:c>
      <x:c r="E558" t="str">
        <x:v>Instagram gönderisi: 👃 Rinoplasti Ameliyatı...</x:v>
      </x:c>
      <x:c r="F558" t="str">
        <x:v>LINK_CLICKS</x:v>
      </x:c>
      <x:c r="G558" t="n">
        <x:v>21363</x:v>
      </x:c>
      <x:c r="H558" s="28" t="n">
        <x:v>1510.12</x:v>
      </x:c>
      <x:c r="I558" t="n">
        <x:v>24597</x:v>
      </x:c>
      <x:c r="J558" t="n">
        <x:v>856</x:v>
      </x:c>
      <x:c r="K558" t="n">
        <x:v>886</x:v>
      </x:c>
      <x:c r="L558" s="27" t="n">
        <x:f>IFERROR(K558/I558,0)</x:f>
        <x:v>0.036020652925153475</x:v>
      </x:c>
      <x:c r="M558" s="28" t="n">
        <x:f>IFERROR(H558/K558,0)</x:f>
        <x:v>1.7044243792325056</x:v>
      </x:c>
      <x:c r="N558" s="28" t="n">
        <x:f>IFERROR(H558/I558*1000,0)</x:f>
        <x:v>61.394479001504244</x:v>
      </x:c>
      <x:c r="O558" t="n">
        <x:v>1.151383</x:v>
      </x:c>
      <x:c r="P558" t="n">
        <x:v>0</x:v>
      </x:c>
      <x:c r="Q558" s="28" t="n">
        <x:v>0</x:v>
      </x:c>
      <x:c r="R558" s="28" t="n">
        <x:v>0</x:v>
      </x:c>
    </x:row>
    <x:row r="559">
      <x:c r="A559" t="str">
        <x:v>2026-07-30</x:v>
      </x:c>
      <x:c r="B559" t="str">
        <x:v>449281783851362</x:v>
      </x:c>
      <x:c r="C559" t="str">
        <x:v>Doruk Hastaneleri - SİNA ÖZEL Sağlık Hizmetleri A.ş</x:v>
      </x:c>
      <x:c r="D559" t="str">
        <x:v>120255739194330399</x:v>
      </x:c>
      <x:c r="E559" t="str">
        <x:v>Instagram gönderisi: 🖐️ Parmak Ucu Defekti Nasıl...</x:v>
      </x:c>
      <x:c r="F559" t="str">
        <x:v>LINK_CLICKS</x:v>
      </x:c>
      <x:c r="G559" t="n">
        <x:v>17690</x:v>
      </x:c>
      <x:c r="H559" s="28" t="n">
        <x:v>1536.32</x:v>
      </x:c>
      <x:c r="I559" t="n">
        <x:v>18610</x:v>
      </x:c>
      <x:c r="J559" t="n">
        <x:v>469</x:v>
      </x:c>
      <x:c r="K559" t="n">
        <x:v>415</x:v>
      </x:c>
      <x:c r="L559" s="27" t="n">
        <x:f>IFERROR(K559/I559,0)</x:f>
        <x:v>0.02229983879634605</x:v>
      </x:c>
      <x:c r="M559" s="28" t="n">
        <x:f>IFERROR(H559/K559,0)</x:f>
        <x:v>3.7019759036144575</x:v>
      </x:c>
      <x:c r="N559" s="28" t="n">
        <x:f>IFERROR(H559/I559*1000,0)</x:f>
        <x:v>82.5534658785599</x:v>
      </x:c>
      <x:c r="O559" t="n">
        <x:v>1.052007</x:v>
      </x:c>
      <x:c r="P559" t="n">
        <x:v>0</x:v>
      </x:c>
      <x:c r="Q559" s="28" t="n">
        <x:v>0</x:v>
      </x:c>
      <x:c r="R559" s="28" t="n">
        <x:v>0</x:v>
      </x:c>
    </x:row>
    <x:row r="560">
      <x:c r="A560" t="str">
        <x:v>2026-07-30</x:v>
      </x:c>
      <x:c r="B560" t="str">
        <x:v>449281783851362</x:v>
      </x:c>
      <x:c r="C560" t="str">
        <x:v>Doruk Hastaneleri - SİNA ÖZEL Sağlık Hizmetleri A.ş</x:v>
      </x:c>
      <x:c r="D560" t="str">
        <x:v>120255739368940399</x:v>
      </x:c>
      <x:c r="E560" t="str">
        <x:v>Instagram gönderisi: •Gebelikte Tarama Testleri |...</x:v>
      </x:c>
      <x:c r="F560" t="str">
        <x:v>LINK_CLICKS</x:v>
      </x:c>
      <x:c r="G560" t="n">
        <x:v>0</x:v>
      </x:c>
      <x:c r="H560" s="28" t="n">
        <x:v>0</x:v>
      </x:c>
      <x:c r="I560" t="n">
        <x:v>0</x:v>
      </x:c>
      <x:c r="J560" t="n">
        <x:v>0</x:v>
      </x:c>
      <x:c r="K560" t="n">
        <x:v>0</x:v>
      </x:c>
      <x:c r="L560" s="27" t="n">
        <x:f>IFERROR(K560/I560,0)</x:f>
        <x:v>0</x:v>
      </x:c>
      <x:c r="M560" s="28" t="n">
        <x:f>IFERROR(H560/K560,0)</x:f>
        <x:v>0</x:v>
      </x:c>
      <x:c r="N560" s="28" t="n">
        <x:f>IFERROR(H560/I560*1000,0)</x:f>
        <x:v>0</x:v>
      </x:c>
      <x:c r="O560" t="n">
        <x:v>0</x:v>
      </x:c>
      <x:c r="P560" t="n">
        <x:v>0</x:v>
      </x:c>
      <x:c r="Q560" s="28" t="n">
        <x:v>0</x:v>
      </x:c>
      <x:c r="R560" s="28" t="n">
        <x:v>0</x:v>
      </x:c>
    </x:row>
    <x:row r="561">
      <x:c r="A561" t="str">
        <x:v>2026-07-30</x:v>
      </x:c>
      <x:c r="B561" t="str">
        <x:v>449281783851362</x:v>
      </x:c>
      <x:c r="C561" t="str">
        <x:v>Doruk Hastaneleri - SİNA ÖZEL Sağlık Hizmetleri A.ş</x:v>
      </x:c>
      <x:c r="D561" t="str">
        <x:v>120255763855030399</x:v>
      </x:c>
      <x:c r="E561" t="str">
        <x:v>Doktor - Bilinirlik Kampanyası - Çekirge</x:v>
      </x:c>
      <x:c r="F561" t="str">
        <x:v>OUTCOME_AWARENESS</x:v>
      </x:c>
      <x:c r="G561" t="n">
        <x:v>224543</x:v>
      </x:c>
      <x:c r="H561" s="28" t="n">
        <x:v>3295.69</x:v>
      </x:c>
      <x:c r="I561" t="n">
        <x:v>329383</x:v>
      </x:c>
      <x:c r="J561" t="n">
        <x:v>258</x:v>
      </x:c>
      <x:c r="K561" t="n">
        <x:v>0</x:v>
      </x:c>
      <x:c r="L561" s="27" t="n">
        <x:f>IFERROR(K561/I561,0)</x:f>
        <x:v>0</x:v>
      </x:c>
      <x:c r="M561" s="28" t="n">
        <x:f>IFERROR(H561/K561,0)</x:f>
        <x:v>0</x:v>
      </x:c>
      <x:c r="N561" s="28" t="n">
        <x:f>IFERROR(H561/I561*1000,0)</x:f>
        <x:v>10.005646921668696</x:v>
      </x:c>
      <x:c r="O561" t="n">
        <x:v>1.466904</x:v>
      </x:c>
      <x:c r="P561" t="n">
        <x:v>0</x:v>
      </x:c>
      <x:c r="Q561" s="28" t="n">
        <x:v>0</x:v>
      </x:c>
      <x:c r="R561" s="28" t="n">
        <x:v>0</x:v>
      </x:c>
    </x:row>
    <x:row r="562">
      <x:c r="A562" t="str">
        <x:v>2026-07-31</x:v>
      </x:c>
      <x:c r="B562" t="str">
        <x:v>449281783851362</x:v>
      </x:c>
      <x:c r="C562" t="str">
        <x:v>Doruk Hastaneleri - SİNA ÖZEL Sağlık Hizmetleri A.ş</x:v>
      </x:c>
      <x:c r="D562" t="str">
        <x:v>120202624613730399</x:v>
      </x:c>
      <x:c r="E562" t="str">
        <x:v>CBO / Saç Ekimi - lead / soğuk</x:v>
      </x:c>
      <x:c r="F562" t="str">
        <x:v>OUTCOME_LEADS</x:v>
      </x:c>
      <x:c r="G562" t="n">
        <x:v>286</x:v>
      </x:c>
      <x:c r="H562" s="28" t="n">
        <x:v>63.71</x:v>
      </x:c>
      <x:c r="I562" t="n">
        <x:v>314</x:v>
      </x:c>
      <x:c r="J562" t="n">
        <x:v>1</x:v>
      </x:c>
      <x:c r="K562" t="n">
        <x:v>0</x:v>
      </x:c>
      <x:c r="L562" s="27" t="n">
        <x:f>IFERROR(K562/I562,0)</x:f>
        <x:v>0</x:v>
      </x:c>
      <x:c r="M562" s="28" t="n">
        <x:f>IFERROR(H562/K562,0)</x:f>
        <x:v>0</x:v>
      </x:c>
      <x:c r="N562" s="28" t="n">
        <x:f>IFERROR(H562/I562*1000,0)</x:f>
        <x:v>202.89808917197453</x:v>
      </x:c>
      <x:c r="O562" t="n">
        <x:v>1.097902</x:v>
      </x:c>
      <x:c r="P562" t="n">
        <x:v>0</x:v>
      </x:c>
      <x:c r="Q562" s="28" t="n">
        <x:v>0</x:v>
      </x:c>
      <x:c r="R562" s="28" t="n">
        <x:v>0</x:v>
      </x:c>
    </x:row>
    <x:row r="563">
      <x:c r="A563" t="str">
        <x:v>2026-07-31</x:v>
      </x:c>
      <x:c r="B563" t="str">
        <x:v>449281783851362</x:v>
      </x:c>
      <x:c r="C563" t="str">
        <x:v>Doruk Hastaneleri - SİNA ÖZEL Sağlık Hizmetleri A.ş</x:v>
      </x:c>
      <x:c r="D563" t="str">
        <x:v>120211731920800399</x:v>
      </x:c>
      <x:c r="E563" t="str">
        <x:v>ABO / Göz Kapağı Estetiği / plastik cerrahi / lead</x:v>
      </x:c>
      <x:c r="F563" t="str">
        <x:v>OUTCOME_LEADS</x:v>
      </x:c>
      <x:c r="G563" t="n">
        <x:v>126</x:v>
      </x:c>
      <x:c r="H563" s="28" t="n">
        <x:v>11.98</x:v>
      </x:c>
      <x:c r="I563" t="n">
        <x:v>129</x:v>
      </x:c>
      <x:c r="J563" t="n">
        <x:v>1</x:v>
      </x:c>
      <x:c r="K563" t="n">
        <x:v>0</x:v>
      </x:c>
      <x:c r="L563" s="27" t="n">
        <x:f>IFERROR(K563/I563,0)</x:f>
        <x:v>0</x:v>
      </x:c>
      <x:c r="M563" s="28" t="n">
        <x:f>IFERROR(H563/K563,0)</x:f>
        <x:v>0</x:v>
      </x:c>
      <x:c r="N563" s="28" t="n">
        <x:f>IFERROR(H563/I563*1000,0)</x:f>
        <x:v>92.86821705426357</x:v>
      </x:c>
      <x:c r="O563" t="n">
        <x:v>1.02381</x:v>
      </x:c>
      <x:c r="P563" t="n">
        <x:v>0</x:v>
      </x:c>
      <x:c r="Q563" s="28" t="n">
        <x:v>0</x:v>
      </x:c>
      <x:c r="R563" s="28" t="n">
        <x:v>0</x:v>
      </x:c>
    </x:row>
    <x:row r="564">
      <x:c r="A564" t="str">
        <x:v>2026-07-31</x:v>
      </x:c>
      <x:c r="B564" t="str">
        <x:v>449281783851362</x:v>
      </x:c>
      <x:c r="C564" t="str">
        <x:v>Doruk Hastaneleri - SİNA ÖZEL Sağlık Hizmetleri A.ş</x:v>
      </x:c>
      <x:c r="D564" t="str">
        <x:v>120211732243050399</x:v>
      </x:c>
      <x:c r="E564" t="str">
        <x:v>ABO /Kepçe Kulak / plastik cerrahi / lead</x:v>
      </x:c>
      <x:c r="F564" t="str">
        <x:v>OUTCOME_LEADS</x:v>
      </x:c>
      <x:c r="G564" t="n">
        <x:v>298</x:v>
      </x:c>
      <x:c r="H564" s="28" t="n">
        <x:v>13.22</x:v>
      </x:c>
      <x:c r="I564" t="n">
        <x:v>304</x:v>
      </x:c>
      <x:c r="J564" t="n">
        <x:v>2</x:v>
      </x:c>
      <x:c r="K564" t="n">
        <x:v>1</x:v>
      </x:c>
      <x:c r="L564" s="27" t="n">
        <x:f>IFERROR(K564/I564,0)</x:f>
        <x:v>0.003289473684210526</x:v>
      </x:c>
      <x:c r="M564" s="28" t="n">
        <x:f>IFERROR(H564/K564,0)</x:f>
        <x:v>13.22</x:v>
      </x:c>
      <x:c r="N564" s="28" t="n">
        <x:f>IFERROR(H564/I564*1000,0)</x:f>
        <x:v>43.48684210526316</x:v>
      </x:c>
      <x:c r="O564" t="n">
        <x:v>1.020134</x:v>
      </x:c>
      <x:c r="P564" t="n">
        <x:v>1</x:v>
      </x:c>
      <x:c r="Q564" s="28" t="n">
        <x:v>0</x:v>
      </x:c>
      <x:c r="R564" s="28" t="n">
        <x:v>0</x:v>
      </x:c>
    </x:row>
    <x:row r="565">
      <x:c r="A565" t="str">
        <x:v>2026-07-31</x:v>
      </x:c>
      <x:c r="B565" t="str">
        <x:v>449281783851362</x:v>
      </x:c>
      <x:c r="C565" t="str">
        <x:v>Doruk Hastaneleri - SİNA ÖZEL Sağlık Hizmetleri A.ş</x:v>
      </x:c>
      <x:c r="D565" t="str">
        <x:v>120211732311210399</x:v>
      </x:c>
      <x:c r="E565" t="str">
        <x:v>ABO / Meme Estetiği / plastik cerrahi / lead</x:v>
      </x:c>
      <x:c r="F565" t="str">
        <x:v>OUTCOME_LEADS</x:v>
      </x:c>
      <x:c r="G565" t="n">
        <x:v>356</x:v>
      </x:c>
      <x:c r="H565" s="28" t="n">
        <x:v>47.41</x:v>
      </x:c>
      <x:c r="I565" t="n">
        <x:v>385</x:v>
      </x:c>
      <x:c r="J565" t="n">
        <x:v>3</x:v>
      </x:c>
      <x:c r="K565" t="n">
        <x:v>4</x:v>
      </x:c>
      <x:c r="L565" s="27" t="n">
        <x:f>IFERROR(K565/I565,0)</x:f>
        <x:v>0.01038961038961039</x:v>
      </x:c>
      <x:c r="M565" s="28" t="n">
        <x:f>IFERROR(H565/K565,0)</x:f>
        <x:v>11.8525</x:v>
      </x:c>
      <x:c r="N565" s="28" t="n">
        <x:f>IFERROR(H565/I565*1000,0)</x:f>
        <x:v>123.14285714285714</x:v>
      </x:c>
      <x:c r="O565" t="n">
        <x:v>1.081461</x:v>
      </x:c>
      <x:c r="P565" t="n">
        <x:v>0</x:v>
      </x:c>
      <x:c r="Q565" s="28" t="n">
        <x:v>0</x:v>
      </x:c>
      <x:c r="R565" s="28" t="n">
        <x:v>0</x:v>
      </x:c>
    </x:row>
    <x:row r="566">
      <x:c r="A566" t="str">
        <x:v>2026-07-31</x:v>
      </x:c>
      <x:c r="B566" t="str">
        <x:v>449281783851362</x:v>
      </x:c>
      <x:c r="C566" t="str">
        <x:v>Doruk Hastaneleri - SİNA ÖZEL Sağlık Hizmetleri A.ş</x:v>
      </x:c>
      <x:c r="D566" t="str">
        <x:v>120211732618490399</x:v>
      </x:c>
      <x:c r="E566" t="str">
        <x:v>ABO /Jinekomasti / plastik cerrahi / lead</x:v>
      </x:c>
      <x:c r="F566" t="str">
        <x:v>OUTCOME_LEADS</x:v>
      </x:c>
      <x:c r="G566" t="n">
        <x:v>110</x:v>
      </x:c>
      <x:c r="H566" s="28" t="n">
        <x:v>10.6</x:v>
      </x:c>
      <x:c r="I566" t="n">
        <x:v>118</x:v>
      </x:c>
      <x:c r="J566" t="n">
        <x:v>1</x:v>
      </x:c>
      <x:c r="K566" t="n">
        <x:v>0</x:v>
      </x:c>
      <x:c r="L566" s="27" t="n">
        <x:f>IFERROR(K566/I566,0)</x:f>
        <x:v>0</x:v>
      </x:c>
      <x:c r="M566" s="28" t="n">
        <x:f>IFERROR(H566/K566,0)</x:f>
        <x:v>0</x:v>
      </x:c>
      <x:c r="N566" s="28" t="n">
        <x:f>IFERROR(H566/I566*1000,0)</x:f>
        <x:v>89.83050847457628</x:v>
      </x:c>
      <x:c r="O566" t="n">
        <x:v>1.072727</x:v>
      </x:c>
      <x:c r="P566" t="n">
        <x:v>0</x:v>
      </x:c>
      <x:c r="Q566" s="28" t="n">
        <x:v>0</x:v>
      </x:c>
      <x:c r="R566" s="28" t="n">
        <x:v>0</x:v>
      </x:c>
    </x:row>
    <x:row r="567">
      <x:c r="A567" t="str">
        <x:v>2026-07-31</x:v>
      </x:c>
      <x:c r="B567" t="str">
        <x:v>449281783851362</x:v>
      </x:c>
      <x:c r="C567" t="str">
        <x:v>Doruk Hastaneleri - SİNA ÖZEL Sağlık Hizmetleri A.ş</x:v>
      </x:c>
      <x:c r="D567" t="str">
        <x:v>120211732654260399</x:v>
      </x:c>
      <x:c r="E567" t="str">
        <x:v>ABO / Rinoplasti / plastik cerrahi / lead</x:v>
      </x:c>
      <x:c r="F567" t="str">
        <x:v>OUTCOME_LEADS</x:v>
      </x:c>
      <x:c r="G567" t="n">
        <x:v>228</x:v>
      </x:c>
      <x:c r="H567" s="28" t="n">
        <x:v>38.31</x:v>
      </x:c>
      <x:c r="I567" t="n">
        <x:v>256</x:v>
      </x:c>
      <x:c r="J567" t="n">
        <x:v>3</x:v>
      </x:c>
      <x:c r="K567" t="n">
        <x:v>2</x:v>
      </x:c>
      <x:c r="L567" s="27" t="n">
        <x:f>IFERROR(K567/I567,0)</x:f>
        <x:v>0.0078125</x:v>
      </x:c>
      <x:c r="M567" s="28" t="n">
        <x:f>IFERROR(H567/K567,0)</x:f>
        <x:v>19.155</x:v>
      </x:c>
      <x:c r="N567" s="28" t="n">
        <x:f>IFERROR(H567/I567*1000,0)</x:f>
        <x:v>149.6484375</x:v>
      </x:c>
      <x:c r="O567" t="n">
        <x:v>1.122807</x:v>
      </x:c>
      <x:c r="P567" t="n">
        <x:v>0</x:v>
      </x:c>
      <x:c r="Q567" s="28" t="n">
        <x:v>0</x:v>
      </x:c>
      <x:c r="R567" s="28" t="n">
        <x:v>0</x:v>
      </x:c>
    </x:row>
    <x:row r="568">
      <x:c r="A568" t="str">
        <x:v>2026-07-31</x:v>
      </x:c>
      <x:c r="B568" t="str">
        <x:v>449281783851362</x:v>
      </x:c>
      <x:c r="C568" t="str">
        <x:v>Doruk Hastaneleri - SİNA ÖZEL Sağlık Hizmetleri A.ş</x:v>
      </x:c>
      <x:c r="D568" t="str">
        <x:v>120211732712890399</x:v>
      </x:c>
      <x:c r="E568" t="str">
        <x:v>ABO / Vücut Şekillendirme / plastik cerrahi / lead</x:v>
      </x:c>
      <x:c r="F568" t="str">
        <x:v>OUTCOME_LEADS</x:v>
      </x:c>
      <x:c r="G568" t="n">
        <x:v>64</x:v>
      </x:c>
      <x:c r="H568" s="28" t="n">
        <x:v>24.09</x:v>
      </x:c>
      <x:c r="I568" t="n">
        <x:v>68</x:v>
      </x:c>
      <x:c r="J568" t="n">
        <x:v>3</x:v>
      </x:c>
      <x:c r="K568" t="n">
        <x:v>2</x:v>
      </x:c>
      <x:c r="L568" s="27" t="n">
        <x:f>IFERROR(K568/I568,0)</x:f>
        <x:v>0.029411764705882353</x:v>
      </x:c>
      <x:c r="M568" s="28" t="n">
        <x:f>IFERROR(H568/K568,0)</x:f>
        <x:v>12.045</x:v>
      </x:c>
      <x:c r="N568" s="28" t="n">
        <x:f>IFERROR(H568/I568*1000,0)</x:f>
        <x:v>354.2647058823529</x:v>
      </x:c>
      <x:c r="O568" t="n">
        <x:v>1.0625</x:v>
      </x:c>
      <x:c r="P568" t="n">
        <x:v>0</x:v>
      </x:c>
      <x:c r="Q568" s="28" t="n">
        <x:v>0</x:v>
      </x:c>
      <x:c r="R568" s="28" t="n">
        <x:v>0</x:v>
      </x:c>
    </x:row>
    <x:row r="569">
      <x:c r="A569" t="str">
        <x:v>2026-07-31</x:v>
      </x:c>
      <x:c r="B569" t="str">
        <x:v>449281783851362</x:v>
      </x:c>
      <x:c r="C569" t="str">
        <x:v>Doruk Hastaneleri - SİNA ÖZEL Sağlık Hizmetleri A.ş</x:v>
      </x:c>
      <x:c r="D569" t="str">
        <x:v>120211732754080399</x:v>
      </x:c>
      <x:c r="E569" t="str">
        <x:v>ABO / Yüz Germe (Facelift) / plastik cerrahi / lead</x:v>
      </x:c>
      <x:c r="F569" t="str">
        <x:v>OUTCOME_LEADS</x:v>
      </x:c>
      <x:c r="G569" t="n">
        <x:v>48</x:v>
      </x:c>
      <x:c r="H569" s="28" t="n">
        <x:v>17.94</x:v>
      </x:c>
      <x:c r="I569" t="n">
        <x:v>53</x:v>
      </x:c>
      <x:c r="J569" t="n">
        <x:v>3</x:v>
      </x:c>
      <x:c r="K569" t="n">
        <x:v>2</x:v>
      </x:c>
      <x:c r="L569" s="27" t="n">
        <x:f>IFERROR(K569/I569,0)</x:f>
        <x:v>0.03773584905660377</x:v>
      </x:c>
      <x:c r="M569" s="28" t="n">
        <x:f>IFERROR(H569/K569,0)</x:f>
        <x:v>8.97</x:v>
      </x:c>
      <x:c r="N569" s="28" t="n">
        <x:f>IFERROR(H569/I569*1000,0)</x:f>
        <x:v>338.49056603773585</x:v>
      </x:c>
      <x:c r="O569" t="n">
        <x:v>1.104167</x:v>
      </x:c>
      <x:c r="P569" t="n">
        <x:v>0</x:v>
      </x:c>
      <x:c r="Q569" s="28" t="n">
        <x:v>0</x:v>
      </x:c>
      <x:c r="R569" s="28" t="n">
        <x:v>0</x:v>
      </x:c>
    </x:row>
    <x:row r="570">
      <x:c r="A570" t="str">
        <x:v>2026-07-31</x:v>
      </x:c>
      <x:c r="B570" t="str">
        <x:v>449281783851362</x:v>
      </x:c>
      <x:c r="C570" t="str">
        <x:v>Doruk Hastaneleri - SİNA ÖZEL Sağlık Hizmetleri A.ş</x:v>
      </x:c>
      <x:c r="D570" t="str">
        <x:v>120214167265870399</x:v>
      </x:c>
      <x:c r="E570" t="str">
        <x:v>Baş Dönmesi ve Denge Ünitesi / lead</x:v>
      </x:c>
      <x:c r="F570" t="str">
        <x:v>OUTCOME_LEADS</x:v>
      </x:c>
      <x:c r="G570" t="n">
        <x:v>319</x:v>
      </x:c>
      <x:c r="H570" s="28" t="n">
        <x:v>18.97</x:v>
      </x:c>
      <x:c r="I570" t="n">
        <x:v>329</x:v>
      </x:c>
      <x:c r="J570" t="n">
        <x:v>4</x:v>
      </x:c>
      <x:c r="K570" t="n">
        <x:v>1</x:v>
      </x:c>
      <x:c r="L570" s="27" t="n">
        <x:f>IFERROR(K570/I570,0)</x:f>
        <x:v>0.00303951367781155</x:v>
      </x:c>
      <x:c r="M570" s="28" t="n">
        <x:f>IFERROR(H570/K570,0)</x:f>
        <x:v>18.97</x:v>
      </x:c>
      <x:c r="N570" s="28" t="n">
        <x:f>IFERROR(H570/I570*1000,0)</x:f>
        <x:v>57.659574468085104</x:v>
      </x:c>
      <x:c r="O570" t="n">
        <x:v>1.031348</x:v>
      </x:c>
      <x:c r="P570" t="n">
        <x:v>0</x:v>
      </x:c>
      <x:c r="Q570" s="28" t="n">
        <x:v>0</x:v>
      </x:c>
      <x:c r="R570" s="28" t="n">
        <x:v>0</x:v>
      </x:c>
    </x:row>
    <x:row r="571">
      <x:c r="A571" t="str">
        <x:v>2026-07-31</x:v>
      </x:c>
      <x:c r="B571" t="str">
        <x:v>449281783851362</x:v>
      </x:c>
      <x:c r="C571" t="str">
        <x:v>Doruk Hastaneleri - SİNA ÖZEL Sağlık Hizmetleri A.ş</x:v>
      </x:c>
      <x:c r="D571" t="str">
        <x:v>120220089108220399</x:v>
      </x:c>
      <x:c r="E571" t="str">
        <x:v>Checkup - genel - lead</x:v>
      </x:c>
      <x:c r="F571" t="str">
        <x:v>OUTCOME_LEADS</x:v>
      </x:c>
      <x:c r="G571" t="n">
        <x:v>468</x:v>
      </x:c>
      <x:c r="H571" s="28" t="n">
        <x:v>81.19</x:v>
      </x:c>
      <x:c r="I571" t="n">
        <x:v>503</x:v>
      </x:c>
      <x:c r="J571" t="n">
        <x:v>0</x:v>
      </x:c>
      <x:c r="K571" t="n">
        <x:v>0</x:v>
      </x:c>
      <x:c r="L571" s="27" t="n">
        <x:f>IFERROR(K571/I571,0)</x:f>
        <x:v>0</x:v>
      </x:c>
      <x:c r="M571" s="28" t="n">
        <x:f>IFERROR(H571/K571,0)</x:f>
        <x:v>0</x:v>
      </x:c>
      <x:c r="N571" s="28" t="n">
        <x:f>IFERROR(H571/I571*1000,0)</x:f>
        <x:v>161.41153081510933</x:v>
      </x:c>
      <x:c r="O571" t="n">
        <x:v>1.074786</x:v>
      </x:c>
      <x:c r="P571" t="n">
        <x:v>0</x:v>
      </x:c>
      <x:c r="Q571" s="28" t="n">
        <x:v>0</x:v>
      </x:c>
      <x:c r="R571" s="28" t="n">
        <x:v>0</x:v>
      </x:c>
    </x:row>
    <x:row r="572">
      <x:c r="A572" t="str">
        <x:v>2026-07-31</x:v>
      </x:c>
      <x:c r="B572" t="str">
        <x:v>170008509278498</x:v>
      </x:c>
      <x:c r="C572" t="str">
        <x:v>Doruk Hospital</x:v>
      </x:c>
      <x:c r="D572" t="str">
        <x:v>120232382033210080</x:v>
      </x:c>
      <x:c r="E572" t="str">
        <x:v>Fizik Tedavi - Intensive FTR - Türki Cumhuriyetler - Tümü - RU - Lechenie v Turtsii - lead</x:v>
      </x:c>
      <x:c r="F572" t="str">
        <x:v>OUTCOME_LEADS</x:v>
      </x:c>
      <x:c r="G572" t="n">
        <x:v>184007</x:v>
      </x:c>
      <x:c r="H572" s="28" t="n">
        <x:v>27621.23</x:v>
      </x:c>
      <x:c r="I572" t="n">
        <x:v>234053</x:v>
      </x:c>
      <x:c r="J572" t="n">
        <x:v>1539</x:v>
      </x:c>
      <x:c r="K572" t="n">
        <x:v>1187</x:v>
      </x:c>
      <x:c r="L572" s="27" t="n">
        <x:f>IFERROR(K572/I572,0)</x:f>
        <x:v>0.005071500899368946</x:v>
      </x:c>
      <x:c r="M572" s="28" t="n">
        <x:f>IFERROR(H572/K572,0)</x:f>
        <x:v>23.26978096040438</x:v>
      </x:c>
      <x:c r="N572" s="28" t="n">
        <x:f>IFERROR(H572/I572*1000,0)</x:f>
        <x:v>118.0127150688092</x:v>
      </x:c>
      <x:c r="O572" t="n">
        <x:v>1.271979</x:v>
      </x:c>
      <x:c r="P572" t="n">
        <x:v>18</x:v>
      </x:c>
      <x:c r="Q572" s="28" t="n">
        <x:v>0</x:v>
      </x:c>
      <x:c r="R572" s="28" t="n">
        <x:v>0</x:v>
      </x:c>
    </x:row>
    <x:row r="573">
      <x:c r="A573" t="str">
        <x:v>2026-07-31</x:v>
      </x:c>
      <x:c r="B573" t="str">
        <x:v>170008509278498</x:v>
      </x:c>
      <x:c r="C573" t="str">
        <x:v>Doruk Hospital</x:v>
      </x:c>
      <x:c r="D573" t="str">
        <x:v>120238651325780080</x:v>
      </x:c>
      <x:c r="E573" t="str">
        <x:v>Whatsapp - Fizik Tedavi - Intensive FTR - Arap Bölgesi - Tümü - AR - Doruk İlaj Turkia</x:v>
      </x:c>
      <x:c r="F573" t="str">
        <x:v>OUTCOME_LEADS</x:v>
      </x:c>
      <x:c r="G573" t="n">
        <x:v>61044</x:v>
      </x:c>
      <x:c r="H573" s="28" t="n">
        <x:v>33397.67</x:v>
      </x:c>
      <x:c r="I573" t="n">
        <x:v>80232</x:v>
      </x:c>
      <x:c r="J573" t="n">
        <x:v>758</x:v>
      </x:c>
      <x:c r="K573" t="n">
        <x:v>366</x:v>
      </x:c>
      <x:c r="L573" s="27" t="n">
        <x:f>IFERROR(K573/I573,0)</x:f>
        <x:v>0.00456177086449297</x:v>
      </x:c>
      <x:c r="M573" s="28" t="n">
        <x:f>IFERROR(H573/K573,0)</x:f>
        <x:v>91.25046448087431</x:v>
      </x:c>
      <x:c r="N573" s="28" t="n">
        <x:f>IFERROR(H573/I573*1000,0)</x:f>
        <x:v>416.2637102403031</x:v>
      </x:c>
      <x:c r="O573" t="n">
        <x:v>1.314331</x:v>
      </x:c>
      <x:c r="P573" t="n">
        <x:v>0</x:v>
      </x:c>
      <x:c r="Q573" s="28" t="n">
        <x:v>0</x:v>
      </x:c>
      <x:c r="R573" s="28" t="n">
        <x:v>0</x:v>
      </x:c>
    </x:row>
    <x:row r="574">
      <x:c r="A574" t="str">
        <x:v>2026-07-31</x:v>
      </x:c>
      <x:c r="B574" t="str">
        <x:v>449281783851362</x:v>
      </x:c>
      <x:c r="C574" t="str">
        <x:v>Doruk Hastaneleri - SİNA ÖZEL Sağlık Hizmetleri A.ş</x:v>
      </x:c>
      <x:c r="D574" t="str">
        <x:v>120242415465180399</x:v>
      </x:c>
      <x:c r="E574" t="str">
        <x:v>Gebe-Doğum Form Kampanyası</x:v>
      </x:c>
      <x:c r="F574" t="str">
        <x:v>OUTCOME_LEADS</x:v>
      </x:c>
      <x:c r="G574" t="n">
        <x:v>4528</x:v>
      </x:c>
      <x:c r="H574" s="28" t="n">
        <x:v>335.58</x:v>
      </x:c>
      <x:c r="I574" t="n">
        <x:v>5091</x:v>
      </x:c>
      <x:c r="J574" t="n">
        <x:v>27</x:v>
      </x:c>
      <x:c r="K574" t="n">
        <x:v>17</x:v>
      </x:c>
      <x:c r="L574" s="27" t="n">
        <x:f>IFERROR(K574/I574,0)</x:f>
        <x:v>0.003339226085248478</x:v>
      </x:c>
      <x:c r="M574" s="28" t="n">
        <x:f>IFERROR(H574/K574,0)</x:f>
        <x:v>19.74</x:v>
      </x:c>
      <x:c r="N574" s="28" t="n">
        <x:f>IFERROR(H574/I574*1000,0)</x:f>
        <x:v>65.91632292280494</x:v>
      </x:c>
      <x:c r="O574" t="n">
        <x:v>1.124337</x:v>
      </x:c>
      <x:c r="P574" t="n">
        <x:v>2</x:v>
      </x:c>
      <x:c r="Q574" s="28" t="n">
        <x:v>0</x:v>
      </x:c>
      <x:c r="R574" s="28" t="n">
        <x:v>0</x:v>
      </x:c>
    </x:row>
    <x:row r="575">
      <x:c r="A575" t="str">
        <x:v>2026-07-31</x:v>
      </x:c>
      <x:c r="B575" t="str">
        <x:v>170008509278498</x:v>
      </x:c>
      <x:c r="C575" t="str">
        <x:v>Doruk Hospital</x:v>
      </x:c>
      <x:c r="D575" t="str">
        <x:v>120242709752170080</x:v>
      </x:c>
      <x:c r="E575" t="str">
        <x:v>Instagram gönderisi: Аппарат TrueBeam — одна из...</x:v>
      </x:c>
      <x:c r="F575" t="str">
        <x:v>LINK_CLICKS</x:v>
      </x:c>
      <x:c r="G575" t="n">
        <x:v>104705</x:v>
      </x:c>
      <x:c r="H575" s="28" t="n">
        <x:v>5053.35</x:v>
      </x:c>
      <x:c r="I575" t="n">
        <x:v>112077</x:v>
      </x:c>
      <x:c r="J575" t="n">
        <x:v>2275</x:v>
      </x:c>
      <x:c r="K575" t="n">
        <x:v>2187</x:v>
      </x:c>
      <x:c r="L575" s="27" t="n">
        <x:f>IFERROR(K575/I575,0)</x:f>
        <x:v>0.019513370272223562</x:v>
      </x:c>
      <x:c r="M575" s="28" t="n">
        <x:f>IFERROR(H575/K575,0)</x:f>
        <x:v>2.310631001371742</x:v>
      </x:c>
      <x:c r="N575" s="28" t="n">
        <x:f>IFERROR(H575/I575*1000,0)</x:f>
        <x:v>45.088198292245515</x:v>
      </x:c>
      <x:c r="O575" t="n">
        <x:v>1.070407</x:v>
      </x:c>
      <x:c r="P575" t="n">
        <x:v>0</x:v>
      </x:c>
      <x:c r="Q575" s="28" t="n">
        <x:v>0</x:v>
      </x:c>
      <x:c r="R575" s="28" t="n">
        <x:v>0</x:v>
      </x:c>
    </x:row>
    <x:row r="576">
      <x:c r="A576" t="str">
        <x:v>2026-07-31</x:v>
      </x:c>
      <x:c r="B576" t="str">
        <x:v>449281783851362</x:v>
      </x:c>
      <x:c r="C576" t="str">
        <x:v>Doruk Hastaneleri - SİNA ÖZEL Sağlık Hizmetleri A.ş</x:v>
      </x:c>
      <x:c r="D576" t="str">
        <x:v>120244050701710399</x:v>
      </x:c>
      <x:c r="E576" t="str">
        <x:v>Uzman Hekim Başvuru</x:v>
      </x:c>
      <x:c r="F576" t="str">
        <x:v>OUTCOME_LEADS</x:v>
      </x:c>
      <x:c r="G576" t="n">
        <x:v>552</x:v>
      </x:c>
      <x:c r="H576" s="28" t="n">
        <x:v>75.12</x:v>
      </x:c>
      <x:c r="I576" t="n">
        <x:v>580</x:v>
      </x:c>
      <x:c r="J576" t="n">
        <x:v>6</x:v>
      </x:c>
      <x:c r="K576" t="n">
        <x:v>3</x:v>
      </x:c>
      <x:c r="L576" s="27" t="n">
        <x:f>IFERROR(K576/I576,0)</x:f>
        <x:v>0.005172413793103448</x:v>
      </x:c>
      <x:c r="M576" s="28" t="n">
        <x:f>IFERROR(H576/K576,0)</x:f>
        <x:v>25.040000000000003</x:v>
      </x:c>
      <x:c r="N576" s="28" t="n">
        <x:f>IFERROR(H576/I576*1000,0)</x:f>
        <x:v>129.51724137931038</x:v>
      </x:c>
      <x:c r="O576" t="n">
        <x:v>1.050725</x:v>
      </x:c>
      <x:c r="P576" t="n">
        <x:v>0</x:v>
      </x:c>
      <x:c r="Q576" s="28" t="n">
        <x:v>0</x:v>
      </x:c>
      <x:c r="R576" s="28" t="n">
        <x:v>0</x:v>
      </x:c>
    </x:row>
    <x:row r="577">
      <x:c r="A577" t="str">
        <x:v>2026-07-31</x:v>
      </x:c>
      <x:c r="B577" t="str">
        <x:v>449281783851362</x:v>
      </x:c>
      <x:c r="C577" t="str">
        <x:v>Doruk Hastaneleri - SİNA ÖZEL Sağlık Hizmetleri A.ş</x:v>
      </x:c>
      <x:c r="D577" t="str">
        <x:v>120246476228800399</x:v>
      </x:c>
      <x:c r="E577" t="str">
        <x:v>FTR Yatılı - lead</x:v>
      </x:c>
      <x:c r="F577" t="str">
        <x:v>OUTCOME_LEADS</x:v>
      </x:c>
      <x:c r="G577" t="n">
        <x:v>3045</x:v>
      </x:c>
      <x:c r="H577" s="28" t="n">
        <x:v>180.47</x:v>
      </x:c>
      <x:c r="I577" t="n">
        <x:v>3089</x:v>
      </x:c>
      <x:c r="J577" t="n">
        <x:v>21</x:v>
      </x:c>
      <x:c r="K577" t="n">
        <x:v>8</x:v>
      </x:c>
      <x:c r="L577" s="27" t="n">
        <x:f>IFERROR(K577/I577,0)</x:f>
        <x:v>0.002589834898025251</x:v>
      </x:c>
      <x:c r="M577" s="28" t="n">
        <x:f>IFERROR(H577/K577,0)</x:f>
        <x:v>22.55875</x:v>
      </x:c>
      <x:c r="N577" s="28" t="n">
        <x:f>IFERROR(H577/I577*1000,0)</x:f>
        <x:v>58.42343800582713</x:v>
      </x:c>
      <x:c r="O577" t="n">
        <x:v>1.01445</x:v>
      </x:c>
      <x:c r="P577" t="n">
        <x:v>1</x:v>
      </x:c>
      <x:c r="Q577" s="28" t="n">
        <x:v>0</x:v>
      </x:c>
      <x:c r="R577" s="28" t="n">
        <x:v>0</x:v>
      </x:c>
    </x:row>
    <x:row r="578">
      <x:c r="A578" t="str">
        <x:v>2026-07-31</x:v>
      </x:c>
      <x:c r="B578" t="str">
        <x:v>449281783851362</x:v>
      </x:c>
      <x:c r="C578" t="str">
        <x:v>Doruk Hastaneleri - SİNA ÖZEL Sağlık Hizmetleri A.ş</x:v>
      </x:c>
      <x:c r="D578" t="str">
        <x:v>120246691590090399</x:v>
      </x:c>
      <x:c r="E578" t="str">
        <x:v>Hemşire İş Başvuru - lead</x:v>
      </x:c>
      <x:c r="F578" t="str">
        <x:v>OUTCOME_LEADS</x:v>
      </x:c>
      <x:c r="G578" t="n">
        <x:v>798</x:v>
      </x:c>
      <x:c r="H578" s="28" t="n">
        <x:v>52.43</x:v>
      </x:c>
      <x:c r="I578" t="n">
        <x:v>883</x:v>
      </x:c>
      <x:c r="J578" t="n">
        <x:v>5</x:v>
      </x:c>
      <x:c r="K578" t="n">
        <x:v>4</x:v>
      </x:c>
      <x:c r="L578" s="27" t="n">
        <x:f>IFERROR(K578/I578,0)</x:f>
        <x:v>0.004530011325028313</x:v>
      </x:c>
      <x:c r="M578" s="28" t="n">
        <x:f>IFERROR(H578/K578,0)</x:f>
        <x:v>13.1075</x:v>
      </x:c>
      <x:c r="N578" s="28" t="n">
        <x:f>IFERROR(H578/I578*1000,0)</x:f>
        <x:v>59.3771234428086</x:v>
      </x:c>
      <x:c r="O578" t="n">
        <x:v>1.106516</x:v>
      </x:c>
      <x:c r="P578" t="n">
        <x:v>1</x:v>
      </x:c>
      <x:c r="Q578" s="28" t="n">
        <x:v>0</x:v>
      </x:c>
      <x:c r="R578" s="28" t="n">
        <x:v>0</x:v>
      </x:c>
    </x:row>
    <x:row r="579">
      <x:c r="A579" t="str">
        <x:v>2026-07-31</x:v>
      </x:c>
      <x:c r="B579" t="str">
        <x:v>449281783851362</x:v>
      </x:c>
      <x:c r="C579" t="str">
        <x:v>Doruk Hastaneleri - SİNA ÖZEL Sağlık Hizmetleri A.ş</x:v>
      </x:c>
      <x:c r="D579" t="str">
        <x:v>120246924981440399</x:v>
      </x:c>
      <x:c r="E579" t="str">
        <x:v>ÖSS-TSS - marka bilinirliği</x:v>
      </x:c>
      <x:c r="F579" t="str">
        <x:v>OUTCOME_AWARENESS</x:v>
      </x:c>
      <x:c r="G579" t="n">
        <x:v>6498</x:v>
      </x:c>
      <x:c r="H579" s="28" t="n">
        <x:v>101.88</x:v>
      </x:c>
      <x:c r="I579" t="n">
        <x:v>6713</x:v>
      </x:c>
      <x:c r="J579" t="n">
        <x:v>5</x:v>
      </x:c>
      <x:c r="K579" t="n">
        <x:v>0</x:v>
      </x:c>
      <x:c r="L579" s="27" t="n">
        <x:f>IFERROR(K579/I579,0)</x:f>
        <x:v>0</x:v>
      </x:c>
      <x:c r="M579" s="28" t="n">
        <x:f>IFERROR(H579/K579,0)</x:f>
        <x:v>0</x:v>
      </x:c>
      <x:c r="N579" s="28" t="n">
        <x:f>IFERROR(H579/I579*1000,0)</x:f>
        <x:v>15.17652316401013</x:v>
      </x:c>
      <x:c r="O579" t="n">
        <x:v>1.033087</x:v>
      </x:c>
      <x:c r="P579" t="n">
        <x:v>0</x:v>
      </x:c>
      <x:c r="Q579" s="28" t="n">
        <x:v>0</x:v>
      </x:c>
      <x:c r="R579" s="28" t="n">
        <x:v>0</x:v>
      </x:c>
    </x:row>
    <x:row r="580">
      <x:c r="A580" t="str">
        <x:v>2026-07-31</x:v>
      </x:c>
      <x:c r="B580" t="str">
        <x:v>449281783851362</x:v>
      </x:c>
      <x:c r="C580" t="str">
        <x:v>Doruk Hastaneleri - SİNA ÖZEL Sağlık Hizmetleri A.ş</x:v>
      </x:c>
      <x:c r="D580" t="str">
        <x:v>120247034876600399</x:v>
      </x:c>
      <x:c r="E580" t="str">
        <x:v>Gebe-Doğum Bilinirlik</x:v>
      </x:c>
      <x:c r="F580" t="str">
        <x:v>OUTCOME_AWARENESS</x:v>
      </x:c>
      <x:c r="G580" t="n">
        <x:v>4784</x:v>
      </x:c>
      <x:c r="H580" s="28" t="n">
        <x:v>48.11</x:v>
      </x:c>
      <x:c r="I580" t="n">
        <x:v>4853</x:v>
      </x:c>
      <x:c r="J580" t="n">
        <x:v>5</x:v>
      </x:c>
      <x:c r="K580" t="n">
        <x:v>0</x:v>
      </x:c>
      <x:c r="L580" s="27" t="n">
        <x:f>IFERROR(K580/I580,0)</x:f>
        <x:v>0</x:v>
      </x:c>
      <x:c r="M580" s="28" t="n">
        <x:f>IFERROR(H580/K580,0)</x:f>
        <x:v>0</x:v>
      </x:c>
      <x:c r="N580" s="28" t="n">
        <x:f>IFERROR(H580/I580*1000,0)</x:f>
        <x:v>9.913455594477643</x:v>
      </x:c>
      <x:c r="O580" t="n">
        <x:v>1.014423</x:v>
      </x:c>
      <x:c r="P580" t="n">
        <x:v>0</x:v>
      </x:c>
      <x:c r="Q580" s="28" t="n">
        <x:v>0</x:v>
      </x:c>
      <x:c r="R580" s="28" t="n">
        <x:v>0</x:v>
      </x:c>
    </x:row>
    <x:row r="581">
      <x:c r="A581" t="str">
        <x:v>2026-07-31</x:v>
      </x:c>
      <x:c r="B581" t="str">
        <x:v>170008509278498</x:v>
      </x:c>
      <x:c r="C581" t="str">
        <x:v>Doruk Hospital</x:v>
      </x:c>
      <x:c r="D581" t="str">
        <x:v>120247571768010080</x:v>
      </x:c>
      <x:c r="E581" t="str">
        <x:v>Meme Estetiği - Jinekomasti - Birleşik Krallık - Tümü - EN - Doruk Jinekomasti</x:v>
      </x:c>
      <x:c r="F581" t="str">
        <x:v>OUTCOME_LEADS</x:v>
      </x:c>
      <x:c r="G581" t="n">
        <x:v>4656</x:v>
      </x:c>
      <x:c r="H581" s="28" t="n">
        <x:v>2854.26</x:v>
      </x:c>
      <x:c r="I581" t="n">
        <x:v>6707</x:v>
      </x:c>
      <x:c r="J581" t="n">
        <x:v>124</x:v>
      </x:c>
      <x:c r="K581" t="n">
        <x:v>47</x:v>
      </x:c>
      <x:c r="L581" s="27" t="n">
        <x:f>IFERROR(K581/I581,0)</x:f>
        <x:v>0.007007603995825258</x:v>
      </x:c>
      <x:c r="M581" s="28" t="n">
        <x:f>IFERROR(H581/K581,0)</x:f>
        <x:v>60.72893617021277</x:v>
      </x:c>
      <x:c r="N581" s="28" t="n">
        <x:f>IFERROR(H581/I581*1000,0)</x:f>
        <x:v>425.56433576859996</x:v>
      </x:c>
      <x:c r="O581" t="n">
        <x:v>1.440507</x:v>
      </x:c>
      <x:c r="P581" t="n">
        <x:v>9</x:v>
      </x:c>
      <x:c r="Q581" s="28" t="n">
        <x:v>0</x:v>
      </x:c>
      <x:c r="R581" s="28" t="n">
        <x:v>0</x:v>
      </x:c>
    </x:row>
    <x:row r="582">
      <x:c r="A582" t="str">
        <x:v>2026-07-31</x:v>
      </x:c>
      <x:c r="B582" t="str">
        <x:v>170008509278498</x:v>
      </x:c>
      <x:c r="C582" t="str">
        <x:v>Doruk Hospital</x:v>
      </x:c>
      <x:c r="D582" t="str">
        <x:v>120247623884690080</x:v>
      </x:c>
      <x:c r="E582" t="str">
        <x:v>Meme Estetiği - Jinekomasti - Arap Bölgesi - Tümü - AR - Doruk Jinekomasti</x:v>
      </x:c>
      <x:c r="F582" t="str">
        <x:v>OUTCOME_LEADS</x:v>
      </x:c>
      <x:c r="G582" t="n">
        <x:v>11801</x:v>
      </x:c>
      <x:c r="H582" s="28" t="n">
        <x:v>2336.97</x:v>
      </x:c>
      <x:c r="I582" t="n">
        <x:v>18736</x:v>
      </x:c>
      <x:c r="J582" t="n">
        <x:v>336</x:v>
      </x:c>
      <x:c r="K582" t="n">
        <x:v>114</x:v>
      </x:c>
      <x:c r="L582" s="27" t="n">
        <x:f>IFERROR(K582/I582,0)</x:f>
        <x:v>0.006084543125533732</x:v>
      </x:c>
      <x:c r="M582" s="28" t="n">
        <x:f>IFERROR(H582/K582,0)</x:f>
        <x:v>20.49973684210526</x:v>
      </x:c>
      <x:c r="N582" s="28" t="n">
        <x:f>IFERROR(H582/I582*1000,0)</x:f>
        <x:v>124.73153287788215</x:v>
      </x:c>
      <x:c r="O582" t="n">
        <x:v>1.587662</x:v>
      </x:c>
      <x:c r="P582" t="n">
        <x:v>10</x:v>
      </x:c>
      <x:c r="Q582" s="28" t="n">
        <x:v>0</x:v>
      </x:c>
      <x:c r="R582" s="28" t="n">
        <x:v>0</x:v>
      </x:c>
    </x:row>
    <x:row r="583">
      <x:c r="A583" t="str">
        <x:v>2026-07-31</x:v>
      </x:c>
      <x:c r="B583" t="str">
        <x:v>449281783851362</x:v>
      </x:c>
      <x:c r="C583" t="str">
        <x:v>Doruk Hastaneleri - SİNA ÖZEL Sağlık Hizmetleri A.ş</x:v>
      </x:c>
      <x:c r="D583" t="str">
        <x:v>120248812698040399</x:v>
      </x:c>
      <x:c r="E583" t="str">
        <x:v>ABO / Medikal Estetik lead / 16.04.2026</x:v>
      </x:c>
      <x:c r="F583" t="str">
        <x:v>OUTCOME_LEADS</x:v>
      </x:c>
      <x:c r="G583" t="n">
        <x:v>1547</x:v>
      </x:c>
      <x:c r="H583" s="28" t="n">
        <x:v>168.73</x:v>
      </x:c>
      <x:c r="I583" t="n">
        <x:v>1665</x:v>
      </x:c>
      <x:c r="J583" t="n">
        <x:v>25</x:v>
      </x:c>
      <x:c r="K583" t="n">
        <x:v>11</x:v>
      </x:c>
      <x:c r="L583" s="27" t="n">
        <x:f>IFERROR(K583/I583,0)</x:f>
        <x:v>0.006606606606606606</x:v>
      </x:c>
      <x:c r="M583" s="28" t="n">
        <x:f>IFERROR(H583/K583,0)</x:f>
        <x:v>15.339090909090908</x:v>
      </x:c>
      <x:c r="N583" s="28" t="n">
        <x:f>IFERROR(H583/I583*1000,0)</x:f>
        <x:v>101.33933933933933</x:v>
      </x:c>
      <x:c r="O583" t="n">
        <x:v>1.076277</x:v>
      </x:c>
      <x:c r="P583" t="n">
        <x:v>4</x:v>
      </x:c>
      <x:c r="Q583" s="28" t="n">
        <x:v>0</x:v>
      </x:c>
      <x:c r="R583" s="28" t="n">
        <x:v>0</x:v>
      </x:c>
    </x:row>
    <x:row r="584">
      <x:c r="A584" t="str">
        <x:v>2026-07-31</x:v>
      </x:c>
      <x:c r="B584" t="str">
        <x:v>449281783851362</x:v>
      </x:c>
      <x:c r="C584" t="str">
        <x:v>Doruk Hastaneleri - SİNA ÖZEL Sağlık Hizmetleri A.ş</x:v>
      </x:c>
      <x:c r="D584" t="str">
        <x:v>120249061996540399</x:v>
      </x:c>
      <x:c r="E584" t="str">
        <x:v>Doktor - Bilinirlik Kampanyası - Nilüfer</x:v>
      </x:c>
      <x:c r="F584" t="str">
        <x:v>OUTCOME_AWARENESS</x:v>
      </x:c>
      <x:c r="G584" t="n">
        <x:v>9348</x:v>
      </x:c>
      <x:c r="H584" s="28" t="n">
        <x:v>88.92</x:v>
      </x:c>
      <x:c r="I584" t="n">
        <x:v>9535</x:v>
      </x:c>
      <x:c r="J584" t="n">
        <x:v>6</x:v>
      </x:c>
      <x:c r="K584" t="n">
        <x:v>0</x:v>
      </x:c>
      <x:c r="L584" s="27" t="n">
        <x:f>IFERROR(K584/I584,0)</x:f>
        <x:v>0</x:v>
      </x:c>
      <x:c r="M584" s="28" t="n">
        <x:f>IFERROR(H584/K584,0)</x:f>
        <x:v>0</x:v>
      </x:c>
      <x:c r="N584" s="28" t="n">
        <x:f>IFERROR(H584/I584*1000,0)</x:f>
        <x:v>9.325642370214998</x:v>
      </x:c>
      <x:c r="O584" t="n">
        <x:v>1.020004</x:v>
      </x:c>
      <x:c r="P584" t="n">
        <x:v>0</x:v>
      </x:c>
      <x:c r="Q584" s="28" t="n">
        <x:v>0</x:v>
      </x:c>
      <x:c r="R584" s="28" t="n">
        <x:v>0</x:v>
      </x:c>
    </x:row>
    <x:row r="585">
      <x:c r="A585" t="str">
        <x:v>2026-07-31</x:v>
      </x:c>
      <x:c r="B585" t="str">
        <x:v>449281783851362</x:v>
      </x:c>
      <x:c r="C585" t="str">
        <x:v>Doruk Hastaneleri - SİNA ÖZEL Sağlık Hizmetleri A.ş</x:v>
      </x:c>
      <x:c r="D585" t="str">
        <x:v>120249614228610399</x:v>
      </x:c>
      <x:c r="E585" t="str">
        <x:v>Instagram gönderisi: Bir sezon boyunca ortaya...</x:v>
      </x:c>
      <x:c r="F585" t="str">
        <x:v>LINK_CLICKS</x:v>
      </x:c>
      <x:c r="G585" t="n">
        <x:v>4995</x:v>
      </x:c>
      <x:c r="H585" s="28" t="n">
        <x:v>300.87</x:v>
      </x:c>
      <x:c r="I585" t="n">
        <x:v>5114</x:v>
      </x:c>
      <x:c r="J585" t="n">
        <x:v>67</x:v>
      </x:c>
      <x:c r="K585" t="n">
        <x:v>67</x:v>
      </x:c>
      <x:c r="L585" s="27" t="n">
        <x:f>IFERROR(K585/I585,0)</x:f>
        <x:v>0.013101290574892453</x:v>
      </x:c>
      <x:c r="M585" s="28" t="n">
        <x:f>IFERROR(H585/K585,0)</x:f>
        <x:v>4.490597014925373</x:v>
      </x:c>
      <x:c r="N585" s="28" t="n">
        <x:f>IFERROR(H585/I585*1000,0)</x:f>
        <x:v>58.83261634728197</x:v>
      </x:c>
      <x:c r="O585" t="n">
        <x:v>1.023824</x:v>
      </x:c>
      <x:c r="P585" t="n">
        <x:v>0</x:v>
      </x:c>
      <x:c r="Q585" s="28" t="n">
        <x:v>0</x:v>
      </x:c>
      <x:c r="R585" s="28" t="n">
        <x:v>0</x:v>
      </x:c>
    </x:row>
    <x:row r="586">
      <x:c r="A586" t="str">
        <x:v>2026-07-31</x:v>
      </x:c>
      <x:c r="B586" t="str">
        <x:v>449281783851362</x:v>
      </x:c>
      <x:c r="C586" t="str">
        <x:v>Doruk Hastaneleri - SİNA ÖZEL Sağlık Hizmetleri A.ş</x:v>
      </x:c>
      <x:c r="D586" t="str">
        <x:v>120251414264130399</x:v>
      </x:c>
      <x:c r="E586" t="str">
        <x:v>Prostat Checkup - lead</x:v>
      </x:c>
      <x:c r="F586" t="str">
        <x:v>OUTCOME_LEADS</x:v>
      </x:c>
      <x:c r="G586" t="n">
        <x:v>431</x:v>
      </x:c>
      <x:c r="H586" s="28" t="n">
        <x:v>30.23</x:v>
      </x:c>
      <x:c r="I586" t="n">
        <x:v>431</x:v>
      </x:c>
      <x:c r="J586" t="n">
        <x:v>12</x:v>
      </x:c>
      <x:c r="K586" t="n">
        <x:v>0</x:v>
      </x:c>
      <x:c r="L586" s="27" t="n">
        <x:f>IFERROR(K586/I586,0)</x:f>
        <x:v>0</x:v>
      </x:c>
      <x:c r="M586" s="28" t="n">
        <x:f>IFERROR(H586/K586,0)</x:f>
        <x:v>0</x:v>
      </x:c>
      <x:c r="N586" s="28" t="n">
        <x:f>IFERROR(H586/I586*1000,0)</x:f>
        <x:v>70.13921113689095</x:v>
      </x:c>
      <x:c r="O586" t="n">
        <x:v>1</x:v>
      </x:c>
      <x:c r="P586" t="n">
        <x:v>0</x:v>
      </x:c>
      <x:c r="Q586" s="28" t="n">
        <x:v>0</x:v>
      </x:c>
      <x:c r="R586" s="28" t="n">
        <x:v>0</x:v>
      </x:c>
    </x:row>
    <x:row r="587">
      <x:c r="A587" t="str">
        <x:v>2026-07-31</x:v>
      </x:c>
      <x:c r="B587" t="str">
        <x:v>449281783851362</x:v>
      </x:c>
      <x:c r="C587" t="str">
        <x:v>Doruk Hastaneleri - SİNA ÖZEL Sağlık Hizmetleri A.ş</x:v>
      </x:c>
      <x:c r="D587" t="str">
        <x:v>120252323141170399</x:v>
      </x:c>
      <x:c r="E587" t="str">
        <x:v>Instagram gönderisi: Medikal estetik alanındaki...</x:v>
      </x:c>
      <x:c r="F587" t="str">
        <x:v>LINK_CLICKS</x:v>
      </x:c>
      <x:c r="G587" t="n">
        <x:v>682</x:v>
      </x:c>
      <x:c r="H587" s="28" t="n">
        <x:v>42.5</x:v>
      </x:c>
      <x:c r="I587" t="n">
        <x:v>687</x:v>
      </x:c>
      <x:c r="J587" t="n">
        <x:v>10</x:v>
      </x:c>
      <x:c r="K587" t="n">
        <x:v>9</x:v>
      </x:c>
      <x:c r="L587" s="27" t="n">
        <x:f>IFERROR(K587/I587,0)</x:f>
        <x:v>0.013100436681222707</x:v>
      </x:c>
      <x:c r="M587" s="28" t="n">
        <x:f>IFERROR(H587/K587,0)</x:f>
        <x:v>4.722222222222222</x:v>
      </x:c>
      <x:c r="N587" s="28" t="n">
        <x:f>IFERROR(H587/I587*1000,0)</x:f>
        <x:v>61.86317321688501</x:v>
      </x:c>
      <x:c r="O587" t="n">
        <x:v>1.007331</x:v>
      </x:c>
      <x:c r="P587" t="n">
        <x:v>0</x:v>
      </x:c>
      <x:c r="Q587" s="28" t="n">
        <x:v>0</x:v>
      </x:c>
      <x:c r="R587" s="28" t="n">
        <x:v>0</x:v>
      </x:c>
    </x:row>
    <x:row r="588">
      <x:c r="A588" t="str">
        <x:v>2026-07-31</x:v>
      </x:c>
      <x:c r="B588" t="str">
        <x:v>449281783851362</x:v>
      </x:c>
      <x:c r="C588" t="str">
        <x:v>Doruk Hastaneleri - SİNA ÖZEL Sağlık Hizmetleri A.ş</x:v>
      </x:c>
      <x:c r="D588" t="str">
        <x:v>120255099624540399</x:v>
      </x:c>
      <x:c r="E588" t="str">
        <x:v>Instagram gönderisi: Doruk Sağlık Grubu olarak,...</x:v>
      </x:c>
      <x:c r="F588" t="str">
        <x:v>LINK_CLICKS</x:v>
      </x:c>
      <x:c r="G588" t="n">
        <x:v>3169</x:v>
      </x:c>
      <x:c r="H588" s="28" t="n">
        <x:v>200.39</x:v>
      </x:c>
      <x:c r="I588" t="n">
        <x:v>3238</x:v>
      </x:c>
      <x:c r="J588" t="n">
        <x:v>51</x:v>
      </x:c>
      <x:c r="K588" t="n">
        <x:v>48</x:v>
      </x:c>
      <x:c r="L588" s="27" t="n">
        <x:f>IFERROR(K588/I588,0)</x:f>
        <x:v>0.014823965410747375</x:v>
      </x:c>
      <x:c r="M588" s="28" t="n">
        <x:f>IFERROR(H588/K588,0)</x:f>
        <x:v>4.174791666666667</x:v>
      </x:c>
      <x:c r="N588" s="28" t="n">
        <x:f>IFERROR(H588/I588*1000,0)</x:f>
        <x:v>61.88696726374305</x:v>
      </x:c>
      <x:c r="O588" t="n">
        <x:v>1.021773</x:v>
      </x:c>
      <x:c r="P588" t="n">
        <x:v>0</x:v>
      </x:c>
      <x:c r="Q588" s="28" t="n">
        <x:v>0</x:v>
      </x:c>
      <x:c r="R588" s="28" t="n">
        <x:v>0</x:v>
      </x:c>
    </x:row>
    <x:row r="589">
      <x:c r="A589" t="str">
        <x:v>2026-07-31</x:v>
      </x:c>
      <x:c r="B589" t="str">
        <x:v>449281783851362</x:v>
      </x:c>
      <x:c r="C589" t="str">
        <x:v>Doruk Hastaneleri - SİNA ÖZEL Sağlık Hizmetleri A.ş</x:v>
      </x:c>
      <x:c r="D589" t="str">
        <x:v>120255158812950399</x:v>
      </x:c>
      <x:c r="E589" t="str">
        <x:v>Doktor - Bilinirlik Kampanyası - Yıldırım</x:v>
      </x:c>
      <x:c r="F589" t="str">
        <x:v>OUTCOME_AWARENESS</x:v>
      </x:c>
      <x:c r="G589" t="n">
        <x:v>12750</x:v>
      </x:c>
      <x:c r="H589" s="28" t="n">
        <x:v>122.9</x:v>
      </x:c>
      <x:c r="I589" t="n">
        <x:v>12939</x:v>
      </x:c>
      <x:c r="J589" t="n">
        <x:v>9</x:v>
      </x:c>
      <x:c r="K589" t="n">
        <x:v>0</x:v>
      </x:c>
      <x:c r="L589" s="27" t="n">
        <x:f>IFERROR(K589/I589,0)</x:f>
        <x:v>0</x:v>
      </x:c>
      <x:c r="M589" s="28" t="n">
        <x:f>IFERROR(H589/K589,0)</x:f>
        <x:v>0</x:v>
      </x:c>
      <x:c r="N589" s="28" t="n">
        <x:f>IFERROR(H589/I589*1000,0)</x:f>
        <x:v>9.498415642630805</x:v>
      </x:c>
      <x:c r="O589" t="n">
        <x:v>1.014824</x:v>
      </x:c>
      <x:c r="P589" t="n">
        <x:v>0</x:v>
      </x:c>
      <x:c r="Q589" s="28" t="n">
        <x:v>0</x:v>
      </x:c>
      <x:c r="R589" s="28" t="n">
        <x:v>0</x:v>
      </x:c>
    </x:row>
    <x:row r="590">
      <x:c r="A590" t="str">
        <x:v>2026-07-31</x:v>
      </x:c>
      <x:c r="B590" t="str">
        <x:v>449281783851362</x:v>
      </x:c>
      <x:c r="C590" t="str">
        <x:v>Doruk Hastaneleri - SİNA ÖZEL Sağlık Hizmetleri A.ş</x:v>
      </x:c>
      <x:c r="D590" t="str">
        <x:v>120255738303970399</x:v>
      </x:c>
      <x:c r="E590" t="str">
        <x:v>Instagram gönderisi: 🏅 BURSA'DA BİR İLK
Özel...</x:v>
      </x:c>
      <x:c r="F590" t="str">
        <x:v>LINK_CLICKS</x:v>
      </x:c>
      <x:c r="G590" t="n">
        <x:v>666</x:v>
      </x:c>
      <x:c r="H590" s="28" t="n">
        <x:v>54.2</x:v>
      </x:c>
      <x:c r="I590" t="n">
        <x:v>666</x:v>
      </x:c>
      <x:c r="J590" t="n">
        <x:v>18</x:v>
      </x:c>
      <x:c r="K590" t="n">
        <x:v>19</x:v>
      </x:c>
      <x:c r="L590" s="27" t="n">
        <x:f>IFERROR(K590/I590,0)</x:f>
        <x:v>0.028528528528528527</x:v>
      </x:c>
      <x:c r="M590" s="28" t="n">
        <x:f>IFERROR(H590/K590,0)</x:f>
        <x:v>2.8526315789473684</x:v>
      </x:c>
      <x:c r="N590" s="28" t="n">
        <x:f>IFERROR(H590/I590*1000,0)</x:f>
        <x:v>81.38138138138139</x:v>
      </x:c>
      <x:c r="O590" t="n">
        <x:v>1</x:v>
      </x:c>
      <x:c r="P590" t="n">
        <x:v>0</x:v>
      </x:c>
      <x:c r="Q590" s="28" t="n">
        <x:v>0</x:v>
      </x:c>
      <x:c r="R590" s="28" t="n">
        <x:v>0</x:v>
      </x:c>
    </x:row>
    <x:row r="591">
      <x:c r="A591" t="str">
        <x:v>2026-07-31</x:v>
      </x:c>
      <x:c r="B591" t="str">
        <x:v>449281783851362</x:v>
      </x:c>
      <x:c r="C591" t="str">
        <x:v>Doruk Hastaneleri - SİNA ÖZEL Sağlık Hizmetleri A.ş</x:v>
      </x:c>
      <x:c r="D591" t="str">
        <x:v>120255739080510399</x:v>
      </x:c>
      <x:c r="E591" t="str">
        <x:v>Gönderi: "👃 Rinoplasti Ameliyatı Nedir? Yumuşak Doku Neden..."</x:v>
      </x:c>
      <x:c r="F591" t="str">
        <x:v>OUTCOME_ENGAGEMENT</x:v>
      </x:c>
      <x:c r="G591" t="n">
        <x:v>734</x:v>
      </x:c>
      <x:c r="H591" s="28" t="n">
        <x:v>60.44</x:v>
      </x:c>
      <x:c r="I591" t="n">
        <x:v>820</x:v>
      </x:c>
      <x:c r="J591" t="n">
        <x:v>46</x:v>
      </x:c>
      <x:c r="K591" t="n">
        <x:v>22</x:v>
      </x:c>
      <x:c r="L591" s="27" t="n">
        <x:f>IFERROR(K591/I591,0)</x:f>
        <x:v>0.026829268292682926</x:v>
      </x:c>
      <x:c r="M591" s="28" t="n">
        <x:f>IFERROR(H591/K591,0)</x:f>
        <x:v>2.747272727272727</x:v>
      </x:c>
      <x:c r="N591" s="28" t="n">
        <x:f>IFERROR(H591/I591*1000,0)</x:f>
        <x:v>73.70731707317073</x:v>
      </x:c>
      <x:c r="O591" t="n">
        <x:v>1.117166</x:v>
      </x:c>
      <x:c r="P591" t="n">
        <x:v>0</x:v>
      </x:c>
      <x:c r="Q591" s="28" t="n">
        <x:v>0</x:v>
      </x:c>
      <x:c r="R591" s="28" t="n">
        <x:v>0</x:v>
      </x:c>
    </x:row>
    <x:row r="592">
      <x:c r="A592" t="str">
        <x:v>2026-07-31</x:v>
      </x:c>
      <x:c r="B592" t="str">
        <x:v>449281783851362</x:v>
      </x:c>
      <x:c r="C592" t="str">
        <x:v>Doruk Hastaneleri - SİNA ÖZEL Sağlık Hizmetleri A.ş</x:v>
      </x:c>
      <x:c r="D592" t="str">
        <x:v>120255739163090399</x:v>
      </x:c>
      <x:c r="E592" t="str">
        <x:v>Instagram gönderisi: 👃 Rinoplasti Ameliyatı...</x:v>
      </x:c>
      <x:c r="F592" t="str">
        <x:v>LINK_CLICKS</x:v>
      </x:c>
      <x:c r="G592" t="n">
        <x:v>1711</x:v>
      </x:c>
      <x:c r="H592" s="28" t="n">
        <x:v>97.95</x:v>
      </x:c>
      <x:c r="I592" t="n">
        <x:v>1786</x:v>
      </x:c>
      <x:c r="J592" t="n">
        <x:v>63</x:v>
      </x:c>
      <x:c r="K592" t="n">
        <x:v>70</x:v>
      </x:c>
      <x:c r="L592" s="27" t="n">
        <x:f>IFERROR(K592/I592,0)</x:f>
        <x:v>0.03919372900335946</x:v>
      </x:c>
      <x:c r="M592" s="28" t="n">
        <x:f>IFERROR(H592/K592,0)</x:f>
        <x:v>1.3992857142857142</x:v>
      </x:c>
      <x:c r="N592" s="28" t="n">
        <x:f>IFERROR(H592/I592*1000,0)</x:f>
        <x:v>54.84322508398656</x:v>
      </x:c>
      <x:c r="O592" t="n">
        <x:v>1.043834</x:v>
      </x:c>
      <x:c r="P592" t="n">
        <x:v>0</x:v>
      </x:c>
      <x:c r="Q592" s="28" t="n">
        <x:v>0</x:v>
      </x:c>
      <x:c r="R592" s="28" t="n">
        <x:v>0</x:v>
      </x:c>
    </x:row>
    <x:row r="593">
      <x:c r="A593" t="str">
        <x:v>2026-07-31</x:v>
      </x:c>
      <x:c r="B593" t="str">
        <x:v>449281783851362</x:v>
      </x:c>
      <x:c r="C593" t="str">
        <x:v>Doruk Hastaneleri - SİNA ÖZEL Sağlık Hizmetleri A.ş</x:v>
      </x:c>
      <x:c r="D593" t="str">
        <x:v>120255739194330399</x:v>
      </x:c>
      <x:c r="E593" t="str">
        <x:v>Instagram gönderisi: 🖐️ Parmak Ucu Defekti Nasıl...</x:v>
      </x:c>
      <x:c r="F593" t="str">
        <x:v>LINK_CLICKS</x:v>
      </x:c>
      <x:c r="G593" t="n">
        <x:v>1079</x:v>
      </x:c>
      <x:c r="H593" s="28" t="n">
        <x:v>74.23</x:v>
      </x:c>
      <x:c r="I593" t="n">
        <x:v>1097</x:v>
      </x:c>
      <x:c r="J593" t="n">
        <x:v>24</x:v>
      </x:c>
      <x:c r="K593" t="n">
        <x:v>20</x:v>
      </x:c>
      <x:c r="L593" s="27" t="n">
        <x:f>IFERROR(K593/I593,0)</x:f>
        <x:v>0.018231540565177756</x:v>
      </x:c>
      <x:c r="M593" s="28" t="n">
        <x:f>IFERROR(H593/K593,0)</x:f>
        <x:v>3.7115</x:v>
      </x:c>
      <x:c r="N593" s="28" t="n">
        <x:f>IFERROR(H593/I593*1000,0)</x:f>
        <x:v>67.66636280765725</x:v>
      </x:c>
      <x:c r="O593" t="n">
        <x:v>1.016682</x:v>
      </x:c>
      <x:c r="P593" t="n">
        <x:v>0</x:v>
      </x:c>
      <x:c r="Q593" s="28" t="n">
        <x:v>0</x:v>
      </x:c>
      <x:c r="R593" s="28" t="n">
        <x:v>0</x:v>
      </x:c>
    </x:row>
    <x:row r="594">
      <x:c r="A594" t="str">
        <x:v>2026-07-31</x:v>
      </x:c>
      <x:c r="B594" t="str">
        <x:v>449281783851362</x:v>
      </x:c>
      <x:c r="C594" t="str">
        <x:v>Doruk Hastaneleri - SİNA ÖZEL Sağlık Hizmetleri A.ş</x:v>
      </x:c>
      <x:c r="D594" t="str">
        <x:v>120255763855030399</x:v>
      </x:c>
      <x:c r="E594" t="str">
        <x:v>Doktor - Bilinirlik Kampanyası - Çekirge</x:v>
      </x:c>
      <x:c r="F594" t="str">
        <x:v>OUTCOME_AWARENESS</x:v>
      </x:c>
      <x:c r="G594" t="n">
        <x:v>7546</x:v>
      </x:c>
      <x:c r="H594" s="28" t="n">
        <x:v>78.12</x:v>
      </x:c>
      <x:c r="I594" t="n">
        <x:v>7892</x:v>
      </x:c>
      <x:c r="J594" t="n">
        <x:v>3</x:v>
      </x:c>
      <x:c r="K594" t="n">
        <x:v>0</x:v>
      </x:c>
      <x:c r="L594" s="27" t="n">
        <x:f>IFERROR(K594/I594,0)</x:f>
        <x:v>0</x:v>
      </x:c>
      <x:c r="M594" s="28" t="n">
        <x:f>IFERROR(H594/K594,0)</x:f>
        <x:v>0</x:v>
      </x:c>
      <x:c r="N594" s="28" t="n">
        <x:f>IFERROR(H594/I594*1000,0)</x:f>
        <x:v>9.89863152559554</x:v>
      </x:c>
      <x:c r="O594" t="n">
        <x:v>1.045852</x:v>
      </x:c>
      <x:c r="P594" t="n">
        <x:v>0</x:v>
      </x:c>
      <x:c r="Q594" s="28" t="n">
        <x:v>0</x:v>
      </x:c>
      <x:c r="R594" s="28" t="n">
        <x:v>0</x:v>
      </x:c>
    </x:row>
    <x:row r="595">
      <x:c r="A595" t="str">
        <x:v>2026-08-01</x:v>
      </x:c>
      <x:c r="B595" t="str">
        <x:v>449281783851362</x:v>
      </x:c>
      <x:c r="C595" t="str">
        <x:v>Doruk Hastaneleri - SİNA ÖZEL Sağlık Hizmetleri A.ş</x:v>
      </x:c>
      <x:c r="D595" t="str">
        <x:v>120202624613730399</x:v>
      </x:c>
      <x:c r="E595" t="str">
        <x:v>CBO / Saç Ekimi - lead / soğuk</x:v>
      </x:c>
      <x:c r="F595" t="str">
        <x:v>OUTCOME_LEADS</x:v>
      </x:c>
      <x:c r="G595" t="n">
        <x:v>7225</x:v>
      </x:c>
      <x:c r="H595" s="28" t="n">
        <x:v>1211.97</x:v>
      </x:c>
      <x:c r="I595" t="n">
        <x:v>10335</x:v>
      </x:c>
      <x:c r="J595" t="n">
        <x:v>62</x:v>
      </x:c>
      <x:c r="K595" t="n">
        <x:v>37</x:v>
      </x:c>
      <x:c r="L595" s="27" t="n">
        <x:f>IFERROR(K595/I595,0)</x:f>
        <x:v>0.003580067731011127</x:v>
      </x:c>
      <x:c r="M595" s="28" t="n">
        <x:f>IFERROR(H595/K595,0)</x:f>
        <x:v>32.755945945945946</x:v>
      </x:c>
      <x:c r="N595" s="28" t="n">
        <x:f>IFERROR(H595/I595*1000,0)</x:f>
        <x:v>117.26850507982583</x:v>
      </x:c>
      <x:c r="O595" t="n">
        <x:v>1.43045</x:v>
      </x:c>
      <x:c r="P595" t="n">
        <x:v>1</x:v>
      </x:c>
      <x:c r="Q595" s="28" t="n">
        <x:v>0</x:v>
      </x:c>
      <x:c r="R595" s="28" t="n">
        <x:v>0</x:v>
      </x:c>
    </x:row>
    <x:row r="596">
      <x:c r="A596" t="str">
        <x:v>2026-08-01</x:v>
      </x:c>
      <x:c r="B596" t="str">
        <x:v>449281783851362</x:v>
      </x:c>
      <x:c r="C596" t="str">
        <x:v>Doruk Hastaneleri - SİNA ÖZEL Sağlık Hizmetleri A.ş</x:v>
      </x:c>
      <x:c r="D596" t="str">
        <x:v>120211731920800399</x:v>
      </x:c>
      <x:c r="E596" t="str">
        <x:v>ABO / Göz Kapağı Estetiği / plastik cerrahi / lead</x:v>
      </x:c>
      <x:c r="F596" t="str">
        <x:v>OUTCOME_LEADS</x:v>
      </x:c>
      <x:c r="G596" t="n">
        <x:v>2806</x:v>
      </x:c>
      <x:c r="H596" s="28" t="n">
        <x:v>347.75</x:v>
      </x:c>
      <x:c r="I596" t="n">
        <x:v>3557</x:v>
      </x:c>
      <x:c r="J596" t="n">
        <x:v>18</x:v>
      </x:c>
      <x:c r="K596" t="n">
        <x:v>11</x:v>
      </x:c>
      <x:c r="L596" s="27" t="n">
        <x:f>IFERROR(K596/I596,0)</x:f>
        <x:v>0.003092493674444757</x:v>
      </x:c>
      <x:c r="M596" s="28" t="n">
        <x:f>IFERROR(H596/K596,0)</x:f>
        <x:v>31.613636363636363</x:v>
      </x:c>
      <x:c r="N596" s="28" t="n">
        <x:f>IFERROR(H596/I596*1000,0)</x:f>
        <x:v>97.7649704807422</x:v>
      </x:c>
      <x:c r="O596" t="n">
        <x:v>1.267641</x:v>
      </x:c>
      <x:c r="P596" t="n">
        <x:v>2</x:v>
      </x:c>
      <x:c r="Q596" s="28" t="n">
        <x:v>0</x:v>
      </x:c>
      <x:c r="R596" s="28" t="n">
        <x:v>0</x:v>
      </x:c>
    </x:row>
    <x:row r="597">
      <x:c r="A597" t="str">
        <x:v>2026-08-01</x:v>
      </x:c>
      <x:c r="B597" t="str">
        <x:v>449281783851362</x:v>
      </x:c>
      <x:c r="C597" t="str">
        <x:v>Doruk Hastaneleri - SİNA ÖZEL Sağlık Hizmetleri A.ş</x:v>
      </x:c>
      <x:c r="D597" t="str">
        <x:v>120211732243050399</x:v>
      </x:c>
      <x:c r="E597" t="str">
        <x:v>ABO /Kepçe Kulak / plastik cerrahi / lead</x:v>
      </x:c>
      <x:c r="F597" t="str">
        <x:v>OUTCOME_LEADS</x:v>
      </x:c>
      <x:c r="G597" t="n">
        <x:v>8330</x:v>
      </x:c>
      <x:c r="H597" s="28" t="n">
        <x:v>348.65</x:v>
      </x:c>
      <x:c r="I597" t="n">
        <x:v>9391</x:v>
      </x:c>
      <x:c r="J597" t="n">
        <x:v>29</x:v>
      </x:c>
      <x:c r="K597" t="n">
        <x:v>18</x:v>
      </x:c>
      <x:c r="L597" s="27" t="n">
        <x:f>IFERROR(K597/I597,0)</x:f>
        <x:v>0.0019167287828772228</x:v>
      </x:c>
      <x:c r="M597" s="28" t="n">
        <x:f>IFERROR(H597/K597,0)</x:f>
        <x:v>19.369444444444444</x:v>
      </x:c>
      <x:c r="N597" s="28" t="n">
        <x:f>IFERROR(H597/I597*1000,0)</x:f>
        <x:v>37.12597167500798</x:v>
      </x:c>
      <x:c r="O597" t="n">
        <x:v>1.127371</x:v>
      </x:c>
      <x:c r="P597" t="n">
        <x:v>1</x:v>
      </x:c>
      <x:c r="Q597" s="28" t="n">
        <x:v>0</x:v>
      </x:c>
      <x:c r="R597" s="28" t="n">
        <x:v>0</x:v>
      </x:c>
    </x:row>
    <x:row r="598">
      <x:c r="A598" t="str">
        <x:v>2026-08-01</x:v>
      </x:c>
      <x:c r="B598" t="str">
        <x:v>449281783851362</x:v>
      </x:c>
      <x:c r="C598" t="str">
        <x:v>Doruk Hastaneleri - SİNA ÖZEL Sağlık Hizmetleri A.ş</x:v>
      </x:c>
      <x:c r="D598" t="str">
        <x:v>120211732311210399</x:v>
      </x:c>
      <x:c r="E598" t="str">
        <x:v>ABO / Meme Estetiği / plastik cerrahi / lead</x:v>
      </x:c>
      <x:c r="F598" t="str">
        <x:v>OUTCOME_LEADS</x:v>
      </x:c>
      <x:c r="G598" t="n">
        <x:v>8765</x:v>
      </x:c>
      <x:c r="H598" s="28" t="n">
        <x:v>1169.48</x:v>
      </x:c>
      <x:c r="I598" t="n">
        <x:v>11719</x:v>
      </x:c>
      <x:c r="J598" t="n">
        <x:v>43</x:v>
      </x:c>
      <x:c r="K598" t="n">
        <x:v>27</x:v>
      </x:c>
      <x:c r="L598" s="27" t="n">
        <x:f>IFERROR(K598/I598,0)</x:f>
        <x:v>0.0023039508490485536</x:v>
      </x:c>
      <x:c r="M598" s="28" t="n">
        <x:f>IFERROR(H598/K598,0)</x:f>
        <x:v>43.31407407407408</x:v>
      </x:c>
      <x:c r="N598" s="28" t="n">
        <x:f>IFERROR(H598/I598*1000,0)</x:f>
        <x:v>99.7934977387149</x:v>
      </x:c>
      <x:c r="O598" t="n">
        <x:v>1.337022</x:v>
      </x:c>
      <x:c r="P598" t="n">
        <x:v>2</x:v>
      </x:c>
      <x:c r="Q598" s="28" t="n">
        <x:v>0</x:v>
      </x:c>
      <x:c r="R598" s="28" t="n">
        <x:v>0</x:v>
      </x:c>
    </x:row>
    <x:row r="599">
      <x:c r="A599" t="str">
        <x:v>2026-08-01</x:v>
      </x:c>
      <x:c r="B599" t="str">
        <x:v>449281783851362</x:v>
      </x:c>
      <x:c r="C599" t="str">
        <x:v>Doruk Hastaneleri - SİNA ÖZEL Sağlık Hizmetleri A.ş</x:v>
      </x:c>
      <x:c r="D599" t="str">
        <x:v>120211732618490399</x:v>
      </x:c>
      <x:c r="E599" t="str">
        <x:v>ABO /Jinekomasti / plastik cerrahi / lead</x:v>
      </x:c>
      <x:c r="F599" t="str">
        <x:v>OUTCOME_LEADS</x:v>
      </x:c>
      <x:c r="G599" t="n">
        <x:v>2813</x:v>
      </x:c>
      <x:c r="H599" s="28" t="n">
        <x:v>340.74</x:v>
      </x:c>
      <x:c r="I599" t="n">
        <x:v>3713</x:v>
      </x:c>
      <x:c r="J599" t="n">
        <x:v>16</x:v>
      </x:c>
      <x:c r="K599" t="n">
        <x:v>8</x:v>
      </x:c>
      <x:c r="L599" s="27" t="n">
        <x:f>IFERROR(K599/I599,0)</x:f>
        <x:v>0.0021545919741448962</x:v>
      </x:c>
      <x:c r="M599" s="28" t="n">
        <x:f>IFERROR(H599/K599,0)</x:f>
        <x:v>42.5925</x:v>
      </x:c>
      <x:c r="N599" s="28" t="n">
        <x:f>IFERROR(H599/I599*1000,0)</x:f>
        <x:v>91.7694586587665</x:v>
      </x:c>
      <x:c r="O599" t="n">
        <x:v>1.319943</x:v>
      </x:c>
      <x:c r="P599" t="n">
        <x:v>0</x:v>
      </x:c>
      <x:c r="Q599" s="28" t="n">
        <x:v>0</x:v>
      </x:c>
      <x:c r="R599" s="28" t="n">
        <x:v>0</x:v>
      </x:c>
    </x:row>
    <x:row r="600">
      <x:c r="A600" t="str">
        <x:v>2026-08-01</x:v>
      </x:c>
      <x:c r="B600" t="str">
        <x:v>449281783851362</x:v>
      </x:c>
      <x:c r="C600" t="str">
        <x:v>Doruk Hastaneleri - SİNA ÖZEL Sağlık Hizmetleri A.ş</x:v>
      </x:c>
      <x:c r="D600" t="str">
        <x:v>120211732654260399</x:v>
      </x:c>
      <x:c r="E600" t="str">
        <x:v>ABO / Rinoplasti / plastik cerrahi / lead</x:v>
      </x:c>
      <x:c r="F600" t="str">
        <x:v>OUTCOME_LEADS</x:v>
      </x:c>
      <x:c r="G600" t="n">
        <x:v>5396</x:v>
      </x:c>
      <x:c r="H600" s="28" t="n">
        <x:v>947.14</x:v>
      </x:c>
      <x:c r="I600" t="n">
        <x:v>7284</x:v>
      </x:c>
      <x:c r="J600" t="n">
        <x:v>38</x:v>
      </x:c>
      <x:c r="K600" t="n">
        <x:v>24</x:v>
      </x:c>
      <x:c r="L600" s="27" t="n">
        <x:f>IFERROR(K600/I600,0)</x:f>
        <x:v>0.0032948929159802307</x:v>
      </x:c>
      <x:c r="M600" s="28" t="n">
        <x:f>IFERROR(H600/K600,0)</x:f>
        <x:v>39.464166666666664</x:v>
      </x:c>
      <x:c r="N600" s="28" t="n">
        <x:f>IFERROR(H600/I600*1000,0)</x:f>
        <x:v>130.03020318506313</x:v>
      </x:c>
      <x:c r="O600" t="n">
        <x:v>1.349889</x:v>
      </x:c>
      <x:c r="P600" t="n">
        <x:v>3</x:v>
      </x:c>
      <x:c r="Q600" s="28" t="n">
        <x:v>0</x:v>
      </x:c>
      <x:c r="R600" s="28" t="n">
        <x:v>0</x:v>
      </x:c>
    </x:row>
    <x:row r="601">
      <x:c r="A601" t="str">
        <x:v>2026-08-01</x:v>
      </x:c>
      <x:c r="B601" t="str">
        <x:v>449281783851362</x:v>
      </x:c>
      <x:c r="C601" t="str">
        <x:v>Doruk Hastaneleri - SİNA ÖZEL Sağlık Hizmetleri A.ş</x:v>
      </x:c>
      <x:c r="D601" t="str">
        <x:v>120211732712890399</x:v>
      </x:c>
      <x:c r="E601" t="str">
        <x:v>ABO / Vücut Şekillendirme / plastik cerrahi / lead</x:v>
      </x:c>
      <x:c r="F601" t="str">
        <x:v>OUTCOME_LEADS</x:v>
      </x:c>
      <x:c r="G601" t="n">
        <x:v>843</x:v>
      </x:c>
      <x:c r="H601" s="28" t="n">
        <x:v>357.55</x:v>
      </x:c>
      <x:c r="I601" t="n">
        <x:v>1220</x:v>
      </x:c>
      <x:c r="J601" t="n">
        <x:v>12</x:v>
      </x:c>
      <x:c r="K601" t="n">
        <x:v>9</x:v>
      </x:c>
      <x:c r="L601" s="27" t="n">
        <x:f>IFERROR(K601/I601,0)</x:f>
        <x:v>0.007377049180327869</x:v>
      </x:c>
      <x:c r="M601" s="28" t="n">
        <x:f>IFERROR(H601/K601,0)</x:f>
        <x:v>39.72777777777778</x:v>
      </x:c>
      <x:c r="N601" s="28" t="n">
        <x:f>IFERROR(H601/I601*1000,0)</x:f>
        <x:v>293.07377049180326</x:v>
      </x:c>
      <x:c r="O601" t="n">
        <x:v>1.447212</x:v>
      </x:c>
      <x:c r="P601" t="n">
        <x:v>1</x:v>
      </x:c>
      <x:c r="Q601" s="28" t="n">
        <x:v>0</x:v>
      </x:c>
      <x:c r="R601" s="28" t="n">
        <x:v>0</x:v>
      </x:c>
    </x:row>
    <x:row r="602">
      <x:c r="A602" t="str">
        <x:v>2026-08-01</x:v>
      </x:c>
      <x:c r="B602" t="str">
        <x:v>449281783851362</x:v>
      </x:c>
      <x:c r="C602" t="str">
        <x:v>Doruk Hastaneleri - SİNA ÖZEL Sağlık Hizmetleri A.ş</x:v>
      </x:c>
      <x:c r="D602" t="str">
        <x:v>120211732754080399</x:v>
      </x:c>
      <x:c r="E602" t="str">
        <x:v>ABO / Yüz Germe (Facelift) / plastik cerrahi / lead</x:v>
      </x:c>
      <x:c r="F602" t="str">
        <x:v>OUTCOME_LEADS</x:v>
      </x:c>
      <x:c r="G602" t="n">
        <x:v>846</x:v>
      </x:c>
      <x:c r="H602" s="28" t="n">
        <x:v>358.05</x:v>
      </x:c>
      <x:c r="I602" t="n">
        <x:v>1170</x:v>
      </x:c>
      <x:c r="J602" t="n">
        <x:v>13</x:v>
      </x:c>
      <x:c r="K602" t="n">
        <x:v>6</x:v>
      </x:c>
      <x:c r="L602" s="27" t="n">
        <x:f>IFERROR(K602/I602,0)</x:f>
        <x:v>0.005128205128205128</x:v>
      </x:c>
      <x:c r="M602" s="28" t="n">
        <x:f>IFERROR(H602/K602,0)</x:f>
        <x:v>59.675000000000004</x:v>
      </x:c>
      <x:c r="N602" s="28" t="n">
        <x:f>IFERROR(H602/I602*1000,0)</x:f>
        <x:v>306.02564102564105</x:v>
      </x:c>
      <x:c r="O602" t="n">
        <x:v>1.382979</x:v>
      </x:c>
      <x:c r="P602" t="n">
        <x:v>0</x:v>
      </x:c>
      <x:c r="Q602" s="28" t="n">
        <x:v>0</x:v>
      </x:c>
      <x:c r="R602" s="28" t="n">
        <x:v>0</x:v>
      </x:c>
    </x:row>
    <x:row r="603">
      <x:c r="A603" t="str">
        <x:v>2026-08-01</x:v>
      </x:c>
      <x:c r="B603" t="str">
        <x:v>449281783851362</x:v>
      </x:c>
      <x:c r="C603" t="str">
        <x:v>Doruk Hastaneleri - SİNA ÖZEL Sağlık Hizmetleri A.ş</x:v>
      </x:c>
      <x:c r="D603" t="str">
        <x:v>120214167265870399</x:v>
      </x:c>
      <x:c r="E603" t="str">
        <x:v>Baş Dönmesi ve Denge Ünitesi / lead</x:v>
      </x:c>
      <x:c r="F603" t="str">
        <x:v>OUTCOME_LEADS</x:v>
      </x:c>
      <x:c r="G603" t="n">
        <x:v>8893</x:v>
      </x:c>
      <x:c r="H603" s="28" t="n">
        <x:v>581.57</x:v>
      </x:c>
      <x:c r="I603" t="n">
        <x:v>10994</x:v>
      </x:c>
      <x:c r="J603" t="n">
        <x:v>141</x:v>
      </x:c>
      <x:c r="K603" t="n">
        <x:v>70</x:v>
      </x:c>
      <x:c r="L603" s="27" t="n">
        <x:f>IFERROR(K603/I603,0)</x:f>
        <x:v>0.006367109332363107</x:v>
      </x:c>
      <x:c r="M603" s="28" t="n">
        <x:f>IFERROR(H603/K603,0)</x:f>
        <x:v>8.308142857142858</x:v>
      </x:c>
      <x:c r="N603" s="28" t="n">
        <x:f>IFERROR(H603/I603*1000,0)</x:f>
        <x:v>52.89885392032018</x:v>
      </x:c>
      <x:c r="O603" t="n">
        <x:v>1.236253</x:v>
      </x:c>
      <x:c r="P603" t="n">
        <x:v>1</x:v>
      </x:c>
      <x:c r="Q603" s="28" t="n">
        <x:v>0</x:v>
      </x:c>
      <x:c r="R603" s="28" t="n">
        <x:v>0</x:v>
      </x:c>
    </x:row>
    <x:row r="604">
      <x:c r="A604" t="str">
        <x:v>2026-08-01</x:v>
      </x:c>
      <x:c r="B604" t="str">
        <x:v>449281783851362</x:v>
      </x:c>
      <x:c r="C604" t="str">
        <x:v>Doruk Hastaneleri - SİNA ÖZEL Sağlık Hizmetleri A.ş</x:v>
      </x:c>
      <x:c r="D604" t="str">
        <x:v>120220089108220399</x:v>
      </x:c>
      <x:c r="E604" t="str">
        <x:v>Checkup - genel - lead</x:v>
      </x:c>
      <x:c r="F604" t="str">
        <x:v>OUTCOME_LEADS</x:v>
      </x:c>
      <x:c r="G604" t="n">
        <x:v>8529</x:v>
      </x:c>
      <x:c r="H604" s="28" t="n">
        <x:v>1589.98</x:v>
      </x:c>
      <x:c r="I604" t="n">
        <x:v>11407</x:v>
      </x:c>
      <x:c r="J604" t="n">
        <x:v>93</x:v>
      </x:c>
      <x:c r="K604" t="n">
        <x:v>62</x:v>
      </x:c>
      <x:c r="L604" s="27" t="n">
        <x:f>IFERROR(K604/I604,0)</x:f>
        <x:v>0.00543525905145963</x:v>
      </x:c>
      <x:c r="M604" s="28" t="n">
        <x:f>IFERROR(H604/K604,0)</x:f>
        <x:v>25.64483870967742</x:v>
      </x:c>
      <x:c r="N604" s="28" t="n">
        <x:f>IFERROR(H604/I604*1000,0)</x:f>
        <x:v>139.3863417199965</x:v>
      </x:c>
      <x:c r="O604" t="n">
        <x:v>1.337437</x:v>
      </x:c>
      <x:c r="P604" t="n">
        <x:v>2</x:v>
      </x:c>
      <x:c r="Q604" s="28" t="n">
        <x:v>0</x:v>
      </x:c>
      <x:c r="R604" s="28" t="n">
        <x:v>0</x:v>
      </x:c>
    </x:row>
    <x:row r="605">
      <x:c r="A605" t="str">
        <x:v>2026-08-01</x:v>
      </x:c>
      <x:c r="B605" t="str">
        <x:v>170008509278498</x:v>
      </x:c>
      <x:c r="C605" t="str">
        <x:v>Doruk Hospital</x:v>
      </x:c>
      <x:c r="D605" t="str">
        <x:v>120232382033210080</x:v>
      </x:c>
      <x:c r="E605" t="str">
        <x:v>Fizik Tedavi - Intensive FTR - Türki Cumhuriyetler - Tümü - RU - Lechenie v Turtsii - lead</x:v>
      </x:c>
      <x:c r="F605" t="str">
        <x:v>OUTCOME_LEADS</x:v>
      </x:c>
      <x:c r="G605" t="n">
        <x:v>264233</x:v>
      </x:c>
      <x:c r="H605" s="28" t="n">
        <x:v>39291.79</x:v>
      </x:c>
      <x:c r="I605" t="n">
        <x:v>332486</x:v>
      </x:c>
      <x:c r="J605" t="n">
        <x:v>2310</x:v>
      </x:c>
      <x:c r="K605" t="n">
        <x:v>1819</x:v>
      </x:c>
      <x:c r="L605" s="27" t="n">
        <x:f>IFERROR(K605/I605,0)</x:f>
        <x:v>0.005470907045710196</x:v>
      </x:c>
      <x:c r="M605" s="28" t="n">
        <x:f>IFERROR(H605/K605,0)</x:f>
        <x:v>21.600764156129742</x:v>
      </x:c>
      <x:c r="N605" s="28" t="n">
        <x:f>IFERROR(H605/I605*1000,0)</x:f>
        <x:v>118.17577281449444</x:v>
      </x:c>
      <x:c r="O605" t="n">
        <x:v>1.258306</x:v>
      </x:c>
      <x:c r="P605" t="n">
        <x:v>17</x:v>
      </x:c>
      <x:c r="Q605" s="28" t="n">
        <x:v>0</x:v>
      </x:c>
      <x:c r="R605" s="28" t="n">
        <x:v>0</x:v>
      </x:c>
    </x:row>
    <x:row r="606">
      <x:c r="A606" t="str">
        <x:v>2026-08-01</x:v>
      </x:c>
      <x:c r="B606" t="str">
        <x:v>170008509278498</x:v>
      </x:c>
      <x:c r="C606" t="str">
        <x:v>Doruk Hospital</x:v>
      </x:c>
      <x:c r="D606" t="str">
        <x:v>120238651325780080</x:v>
      </x:c>
      <x:c r="E606" t="str">
        <x:v>Whatsapp - Fizik Tedavi - Intensive FTR - Arap Bölgesi - Tümü - AR - Doruk İlaj Turkia</x:v>
      </x:c>
      <x:c r="F606" t="str">
        <x:v>OUTCOME_LEADS</x:v>
      </x:c>
      <x:c r="G606" t="n">
        <x:v>106220</x:v>
      </x:c>
      <x:c r="H606" s="28" t="n">
        <x:v>42091.17</x:v>
      </x:c>
      <x:c r="I606" t="n">
        <x:v>131275</x:v>
      </x:c>
      <x:c r="J606" t="n">
        <x:v>1234</x:v>
      </x:c>
      <x:c r="K606" t="n">
        <x:v>538</x:v>
      </x:c>
      <x:c r="L606" s="27" t="n">
        <x:f>IFERROR(K606/I606,0)</x:f>
        <x:v>0.004098266996762521</x:v>
      </x:c>
      <x:c r="M606" s="28" t="n">
        <x:f>IFERROR(H606/K606,0)</x:f>
        <x:v>78.23637546468402</x:v>
      </x:c>
      <x:c r="N606" s="28" t="n">
        <x:f>IFERROR(H606/I606*1000,0)</x:f>
        <x:v>320.6335555132356</x:v>
      </x:c>
      <x:c r="O606" t="n">
        <x:v>1.235878</x:v>
      </x:c>
      <x:c r="P606" t="n">
        <x:v>0</x:v>
      </x:c>
      <x:c r="Q606" s="28" t="n">
        <x:v>0</x:v>
      </x:c>
      <x:c r="R606" s="28" t="n">
        <x:v>0</x:v>
      </x:c>
    </x:row>
    <x:row r="607">
      <x:c r="A607" t="str">
        <x:v>2026-08-01</x:v>
      </x:c>
      <x:c r="B607" t="str">
        <x:v>449281783851362</x:v>
      </x:c>
      <x:c r="C607" t="str">
        <x:v>Doruk Hastaneleri - SİNA ÖZEL Sağlık Hizmetleri A.ş</x:v>
      </x:c>
      <x:c r="D607" t="str">
        <x:v>120242415465180399</x:v>
      </x:c>
      <x:c r="E607" t="str">
        <x:v>Gebe-Doğum Form Kampanyası</x:v>
      </x:c>
      <x:c r="F607" t="str">
        <x:v>OUTCOME_LEADS</x:v>
      </x:c>
      <x:c r="G607" t="n">
        <x:v>93096</x:v>
      </x:c>
      <x:c r="H607" s="28" t="n">
        <x:v>11092.78</x:v>
      </x:c>
      <x:c r="I607" t="n">
        <x:v>167714</x:v>
      </x:c>
      <x:c r="J607" t="n">
        <x:v>742</x:v>
      </x:c>
      <x:c r="K607" t="n">
        <x:v>505</x:v>
      </x:c>
      <x:c r="L607" s="27" t="n">
        <x:f>IFERROR(K607/I607,0)</x:f>
        <x:v>0.0030110783834384727</x:v>
      </x:c>
      <x:c r="M607" s="28" t="n">
        <x:f>IFERROR(H607/K607,0)</x:f>
        <x:v>21.965900990099012</x:v>
      </x:c>
      <x:c r="N607" s="28" t="n">
        <x:f>IFERROR(H607/I607*1000,0)</x:f>
        <x:v>66.14104964403687</x:v>
      </x:c>
      <x:c r="O607" t="n">
        <x:v>1.801517</x:v>
      </x:c>
      <x:c r="P607" t="n">
        <x:v>39</x:v>
      </x:c>
      <x:c r="Q607" s="28" t="n">
        <x:v>0</x:v>
      </x:c>
      <x:c r="R607" s="28" t="n">
        <x:v>0</x:v>
      </x:c>
    </x:row>
    <x:row r="608">
      <x:c r="A608" t="str">
        <x:v>2026-08-01</x:v>
      </x:c>
      <x:c r="B608" t="str">
        <x:v>170008509278498</x:v>
      </x:c>
      <x:c r="C608" t="str">
        <x:v>Doruk Hospital</x:v>
      </x:c>
      <x:c r="D608" t="str">
        <x:v>120242709752170080</x:v>
      </x:c>
      <x:c r="E608" t="str">
        <x:v>Instagram gönderisi: Аппарат TrueBeam — одна из...</x:v>
      </x:c>
      <x:c r="F608" t="str">
        <x:v>LINK_CLICKS</x:v>
      </x:c>
      <x:c r="G608" t="n">
        <x:v>115195</x:v>
      </x:c>
      <x:c r="H608" s="28" t="n">
        <x:v>6821.2</x:v>
      </x:c>
      <x:c r="I608" t="n">
        <x:v>123417</x:v>
      </x:c>
      <x:c r="J608" t="n">
        <x:v>3195</x:v>
      </x:c>
      <x:c r="K608" t="n">
        <x:v>3019</x:v>
      </x:c>
      <x:c r="L608" s="27" t="n">
        <x:f>IFERROR(K608/I608,0)</x:f>
        <x:v>0.024461784032993834</x:v>
      </x:c>
      <x:c r="M608" s="28" t="n">
        <x:f>IFERROR(H608/K608,0)</x:f>
        <x:v>2.259423650215303</x:v>
      </x:c>
      <x:c r="N608" s="28" t="n">
        <x:f>IFERROR(H608/I608*1000,0)</x:f>
        <x:v>55.269533370605345</x:v>
      </x:c>
      <x:c r="O608" t="n">
        <x:v>1.071375</x:v>
      </x:c>
      <x:c r="P608" t="n">
        <x:v>0</x:v>
      </x:c>
      <x:c r="Q608" s="28" t="n">
        <x:v>0</x:v>
      </x:c>
      <x:c r="R608" s="28" t="n">
        <x:v>0</x:v>
      </x:c>
    </x:row>
    <x:row r="609">
      <x:c r="A609" t="str">
        <x:v>2026-08-01</x:v>
      </x:c>
      <x:c r="B609" t="str">
        <x:v>449281783851362</x:v>
      </x:c>
      <x:c r="C609" t="str">
        <x:v>Doruk Hastaneleri - SİNA ÖZEL Sağlık Hizmetleri A.ş</x:v>
      </x:c>
      <x:c r="D609" t="str">
        <x:v>120244050701710399</x:v>
      </x:c>
      <x:c r="E609" t="str">
        <x:v>Uzman Hekim Başvuru</x:v>
      </x:c>
      <x:c r="F609" t="str">
        <x:v>OUTCOME_LEADS</x:v>
      </x:c>
      <x:c r="G609" t="n">
        <x:v>10414</x:v>
      </x:c>
      <x:c r="H609" s="28" t="n">
        <x:v>1586.02</x:v>
      </x:c>
      <x:c r="I609" t="n">
        <x:v>13619</x:v>
      </x:c>
      <x:c r="J609" t="n">
        <x:v>170</x:v>
      </x:c>
      <x:c r="K609" t="n">
        <x:v>96</x:v>
      </x:c>
      <x:c r="L609" s="27" t="n">
        <x:f>IFERROR(K609/I609,0)</x:f>
        <x:v>0.007048975695719216</x:v>
      </x:c>
      <x:c r="M609" s="28" t="n">
        <x:f>IFERROR(H609/K609,0)</x:f>
        <x:v>16.521041666666665</x:v>
      </x:c>
      <x:c r="N609" s="28" t="n">
        <x:f>IFERROR(H609/I609*1000,0)</x:f>
        <x:v>116.45642117629781</x:v>
      </x:c>
      <x:c r="O609" t="n">
        <x:v>1.307759</x:v>
      </x:c>
      <x:c r="P609" t="n">
        <x:v>5</x:v>
      </x:c>
      <x:c r="Q609" s="28" t="n">
        <x:v>0</x:v>
      </x:c>
      <x:c r="R609" s="28" t="n">
        <x:v>0</x:v>
      </x:c>
    </x:row>
    <x:row r="610">
      <x:c r="A610" t="str">
        <x:v>2026-08-01</x:v>
      </x:c>
      <x:c r="B610" t="str">
        <x:v>449281783851362</x:v>
      </x:c>
      <x:c r="C610" t="str">
        <x:v>Doruk Hastaneleri - SİNA ÖZEL Sağlık Hizmetleri A.ş</x:v>
      </x:c>
      <x:c r="D610" t="str">
        <x:v>120246476228800399</x:v>
      </x:c>
      <x:c r="E610" t="str">
        <x:v>FTR Yatılı - lead</x:v>
      </x:c>
      <x:c r="F610" t="str">
        <x:v>OUTCOME_LEADS</x:v>
      </x:c>
      <x:c r="G610" t="n">
        <x:v>106860</x:v>
      </x:c>
      <x:c r="H610" s="28" t="n">
        <x:v>6577.15</x:v>
      </x:c>
      <x:c r="I610" t="n">
        <x:v>117155</x:v>
      </x:c>
      <x:c r="J610" t="n">
        <x:v>684</x:v>
      </x:c>
      <x:c r="K610" t="n">
        <x:v>361</x:v>
      </x:c>
      <x:c r="L610" s="27" t="n">
        <x:f>IFERROR(K610/I610,0)</x:f>
        <x:v>0.003081387904912296</x:v>
      </x:c>
      <x:c r="M610" s="28" t="n">
        <x:f>IFERROR(H610/K610,0)</x:f>
        <x:v>18.219252077562327</x:v>
      </x:c>
      <x:c r="N610" s="28" t="n">
        <x:f>IFERROR(H610/I610*1000,0)</x:f>
        <x:v>56.14058298834877</x:v>
      </x:c>
      <x:c r="O610" t="n">
        <x:v>1.096341</x:v>
      </x:c>
      <x:c r="P610" t="n">
        <x:v>9</x:v>
      </x:c>
      <x:c r="Q610" s="28" t="n">
        <x:v>0</x:v>
      </x:c>
      <x:c r="R610" s="28" t="n">
        <x:v>0</x:v>
      </x:c>
    </x:row>
    <x:row r="611">
      <x:c r="A611" t="str">
        <x:v>2026-08-01</x:v>
      </x:c>
      <x:c r="B611" t="str">
        <x:v>449281783851362</x:v>
      </x:c>
      <x:c r="C611" t="str">
        <x:v>Doruk Hastaneleri - SİNA ÖZEL Sağlık Hizmetleri A.ş</x:v>
      </x:c>
      <x:c r="D611" t="str">
        <x:v>120246691590090399</x:v>
      </x:c>
      <x:c r="E611" t="str">
        <x:v>Hemşire İş Başvuru - lead</x:v>
      </x:c>
      <x:c r="F611" t="str">
        <x:v>OUTCOME_LEADS</x:v>
      </x:c>
      <x:c r="G611" t="n">
        <x:v>21231</x:v>
      </x:c>
      <x:c r="H611" s="28" t="n">
        <x:v>1563.03</x:v>
      </x:c>
      <x:c r="I611" t="n">
        <x:v>32309</x:v>
      </x:c>
      <x:c r="J611" t="n">
        <x:v>167</x:v>
      </x:c>
      <x:c r="K611" t="n">
        <x:v>122</x:v>
      </x:c>
      <x:c r="L611" s="27" t="n">
        <x:f>IFERROR(K611/I611,0)</x:f>
        <x:v>0.003776037636571853</x:v>
      </x:c>
      <x:c r="M611" s="28" t="n">
        <x:f>IFERROR(H611/K611,0)</x:f>
        <x:v>12.81172131147541</x:v>
      </x:c>
      <x:c r="N611" s="28" t="n">
        <x:f>IFERROR(H611/I611*1000,0)</x:f>
        <x:v>48.37754186140085</x:v>
      </x:c>
      <x:c r="O611" t="n">
        <x:v>1.521784</x:v>
      </x:c>
      <x:c r="P611" t="n">
        <x:v>2</x:v>
      </x:c>
      <x:c r="Q611" s="28" t="n">
        <x:v>0</x:v>
      </x:c>
      <x:c r="R611" s="28" t="n">
        <x:v>0</x:v>
      </x:c>
    </x:row>
    <x:row r="612">
      <x:c r="A612" t="str">
        <x:v>2026-08-01</x:v>
      </x:c>
      <x:c r="B612" t="str">
        <x:v>449281783851362</x:v>
      </x:c>
      <x:c r="C612" t="str">
        <x:v>Doruk Hastaneleri - SİNA ÖZEL Sağlık Hizmetleri A.ş</x:v>
      </x:c>
      <x:c r="D612" t="str">
        <x:v>120246924981440399</x:v>
      </x:c>
      <x:c r="E612" t="str">
        <x:v>ÖSS-TSS - marka bilinirliği</x:v>
      </x:c>
      <x:c r="F612" t="str">
        <x:v>OUTCOME_AWARENESS</x:v>
      </x:c>
      <x:c r="G612" t="n">
        <x:v>225380</x:v>
      </x:c>
      <x:c r="H612" s="28" t="n">
        <x:v>3083.38</x:v>
      </x:c>
      <x:c r="I612" t="n">
        <x:v>232932</x:v>
      </x:c>
      <x:c r="J612" t="n">
        <x:v>260</x:v>
      </x:c>
      <x:c r="K612" t="n">
        <x:v>76</x:v>
      </x:c>
      <x:c r="L612" s="27" t="n">
        <x:f>IFERROR(K612/I612,0)</x:f>
        <x:v>0.00032627547953909295</x:v>
      </x:c>
      <x:c r="M612" s="28" t="n">
        <x:f>IFERROR(H612/K612,0)</x:f>
        <x:v>40.570789473684215</x:v>
      </x:c>
      <x:c r="N612" s="28" t="n">
        <x:f>IFERROR(H612/I612*1000,0)</x:f>
        <x:v>13.237253790805902</x:v>
      </x:c>
      <x:c r="O612" t="n">
        <x:v>1.033508</x:v>
      </x:c>
      <x:c r="P612" t="n">
        <x:v>0</x:v>
      </x:c>
      <x:c r="Q612" s="28" t="n">
        <x:v>0</x:v>
      </x:c>
      <x:c r="R612" s="28" t="n">
        <x:v>0</x:v>
      </x:c>
    </x:row>
    <x:row r="613">
      <x:c r="A613" t="str">
        <x:v>2026-08-01</x:v>
      </x:c>
      <x:c r="B613" t="str">
        <x:v>449281783851362</x:v>
      </x:c>
      <x:c r="C613" t="str">
        <x:v>Doruk Hastaneleri - SİNA ÖZEL Sağlık Hizmetleri A.ş</x:v>
      </x:c>
      <x:c r="D613" t="str">
        <x:v>120247034876600399</x:v>
      </x:c>
      <x:c r="E613" t="str">
        <x:v>Gebe-Doğum Bilinirlik</x:v>
      </x:c>
      <x:c r="F613" t="str">
        <x:v>OUTCOME_AWARENESS</x:v>
      </x:c>
      <x:c r="G613" t="n">
        <x:v>163740</x:v>
      </x:c>
      <x:c r="H613" s="28" t="n">
        <x:v>1584.81</x:v>
      </x:c>
      <x:c r="I613" t="n">
        <x:v>170893</x:v>
      </x:c>
      <x:c r="J613" t="n">
        <x:v>160</x:v>
      </x:c>
      <x:c r="K613" t="n">
        <x:v>0</x:v>
      </x:c>
      <x:c r="L613" s="27" t="n">
        <x:f>IFERROR(K613/I613,0)</x:f>
        <x:v>0</x:v>
      </x:c>
      <x:c r="M613" s="28" t="n">
        <x:f>IFERROR(H613/K613,0)</x:f>
        <x:v>0</x:v>
      </x:c>
      <x:c r="N613" s="28" t="n">
        <x:f>IFERROR(H613/I613*1000,0)</x:f>
        <x:v>9.273697576846331</x:v>
      </x:c>
      <x:c r="O613" t="n">
        <x:v>1.043685</x:v>
      </x:c>
      <x:c r="P613" t="n">
        <x:v>0</x:v>
      </x:c>
      <x:c r="Q613" s="28" t="n">
        <x:v>0</x:v>
      </x:c>
      <x:c r="R613" s="28" t="n">
        <x:v>0</x:v>
      </x:c>
    </x:row>
    <x:row r="614">
      <x:c r="A614" t="str">
        <x:v>2026-08-01</x:v>
      </x:c>
      <x:c r="B614" t="str">
        <x:v>170008509278498</x:v>
      </x:c>
      <x:c r="C614" t="str">
        <x:v>Doruk Hospital</x:v>
      </x:c>
      <x:c r="D614" t="str">
        <x:v>120247571768010080</x:v>
      </x:c>
      <x:c r="E614" t="str">
        <x:v>Meme Estetiği - Jinekomasti - Birleşik Krallık - Tümü - EN - Doruk Jinekomasti</x:v>
      </x:c>
      <x:c r="F614" t="str">
        <x:v>OUTCOME_LEADS</x:v>
      </x:c>
      <x:c r="G614" t="n">
        <x:v>8783</x:v>
      </x:c>
      <x:c r="H614" s="28" t="n">
        <x:v>5156.69</x:v>
      </x:c>
      <x:c r="I614" t="n">
        <x:v>11986</x:v>
      </x:c>
      <x:c r="J614" t="n">
        <x:v>201</x:v>
      </x:c>
      <x:c r="K614" t="n">
        <x:v>76</x:v>
      </x:c>
      <x:c r="L614" s="27" t="n">
        <x:f>IFERROR(K614/I614,0)</x:f>
        <x:v>0.006340730852661438</x:v>
      </x:c>
      <x:c r="M614" s="28" t="n">
        <x:f>IFERROR(H614/K614,0)</x:f>
        <x:v>67.85118421052631</x:v>
      </x:c>
      <x:c r="N614" s="28" t="n">
        <x:f>IFERROR(H614/I614*1000,0)</x:f>
        <x:v>430.2260971132988</x:v>
      </x:c>
      <x:c r="O614" t="n">
        <x:v>1.364682</x:v>
      </x:c>
      <x:c r="P614" t="n">
        <x:v>9</x:v>
      </x:c>
      <x:c r="Q614" s="28" t="n">
        <x:v>0</x:v>
      </x:c>
      <x:c r="R614" s="28" t="n">
        <x:v>0</x:v>
      </x:c>
    </x:row>
    <x:row r="615">
      <x:c r="A615" t="str">
        <x:v>2026-08-01</x:v>
      </x:c>
      <x:c r="B615" t="str">
        <x:v>170008509278498</x:v>
      </x:c>
      <x:c r="C615" t="str">
        <x:v>Doruk Hospital</x:v>
      </x:c>
      <x:c r="D615" t="str">
        <x:v>120247623884690080</x:v>
      </x:c>
      <x:c r="E615" t="str">
        <x:v>Meme Estetiği - Jinekomasti - Arap Bölgesi - Tümü - AR - Doruk Jinekomasti</x:v>
      </x:c>
      <x:c r="F615" t="str">
        <x:v>OUTCOME_LEADS</x:v>
      </x:c>
      <x:c r="G615" t="n">
        <x:v>35560</x:v>
      </x:c>
      <x:c r="H615" s="28" t="n">
        <x:v>6387.14</x:v>
      </x:c>
      <x:c r="I615" t="n">
        <x:v>52355</x:v>
      </x:c>
      <x:c r="J615" t="n">
        <x:v>740</x:v>
      </x:c>
      <x:c r="K615" t="n">
        <x:v>346</x:v>
      </x:c>
      <x:c r="L615" s="27" t="n">
        <x:f>IFERROR(K615/I615,0)</x:f>
        <x:v>0.006608728870212969</x:v>
      </x:c>
      <x:c r="M615" s="28" t="n">
        <x:f>IFERROR(H615/K615,0)</x:f>
        <x:v>18.45994219653179</x:v>
      </x:c>
      <x:c r="N615" s="28" t="n">
        <x:f>IFERROR(H615/I615*1000,0)</x:f>
        <x:v>121.99675293668227</x:v>
      </x:c>
      <x:c r="O615" t="n">
        <x:v>1.4723</x:v>
      </x:c>
      <x:c r="P615" t="n">
        <x:v>19</x:v>
      </x:c>
      <x:c r="Q615" s="28" t="n">
        <x:v>0</x:v>
      </x:c>
      <x:c r="R615" s="28" t="n">
        <x:v>0</x:v>
      </x:c>
    </x:row>
    <x:row r="616">
      <x:c r="A616" t="str">
        <x:v>2026-08-01</x:v>
      </x:c>
      <x:c r="B616" t="str">
        <x:v>449281783851362</x:v>
      </x:c>
      <x:c r="C616" t="str">
        <x:v>Doruk Hastaneleri - SİNA ÖZEL Sağlık Hizmetleri A.ş</x:v>
      </x:c>
      <x:c r="D616" t="str">
        <x:v>120248812698040399</x:v>
      </x:c>
      <x:c r="E616" t="str">
        <x:v>ABO / Medikal Estetik lead / 16.04.2026</x:v>
      </x:c>
      <x:c r="F616" t="str">
        <x:v>OUTCOME_LEADS</x:v>
      </x:c>
      <x:c r="G616" t="n">
        <x:v>29551</x:v>
      </x:c>
      <x:c r="H616" s="28" t="n">
        <x:v>3834</x:v>
      </x:c>
      <x:c r="I616" t="n">
        <x:v>37948</x:v>
      </x:c>
      <x:c r="J616" t="n">
        <x:v>381</x:v>
      </x:c>
      <x:c r="K616" t="n">
        <x:v>163</x:v>
      </x:c>
      <x:c r="L616" s="27" t="n">
        <x:f>IFERROR(K616/I616,0)</x:f>
        <x:v>0.004295351533677664</x:v>
      </x:c>
      <x:c r="M616" s="28" t="n">
        <x:f>IFERROR(H616/K616,0)</x:f>
        <x:v>23.521472392638035</x:v>
      </x:c>
      <x:c r="N616" s="28" t="n">
        <x:f>IFERROR(H616/I616*1000,0)</x:f>
        <x:v>101.03299251607463</x:v>
      </x:c>
      <x:c r="O616" t="n">
        <x:v>1.284153</x:v>
      </x:c>
      <x:c r="P616" t="n">
        <x:v>32</x:v>
      </x:c>
      <x:c r="Q616" s="28" t="n">
        <x:v>0</x:v>
      </x:c>
      <x:c r="R616" s="28" t="n">
        <x:v>0</x:v>
      </x:c>
    </x:row>
    <x:row r="617">
      <x:c r="A617" t="str">
        <x:v>2026-08-01</x:v>
      </x:c>
      <x:c r="B617" t="str">
        <x:v>449281783851362</x:v>
      </x:c>
      <x:c r="C617" t="str">
        <x:v>Doruk Hastaneleri - SİNA ÖZEL Sağlık Hizmetleri A.ş</x:v>
      </x:c>
      <x:c r="D617" t="str">
        <x:v>120249061996540399</x:v>
      </x:c>
      <x:c r="E617" t="str">
        <x:v>Doktor - Bilinirlik Kampanyası - Nilüfer</x:v>
      </x:c>
      <x:c r="F617" t="str">
        <x:v>OUTCOME_AWARENESS</x:v>
      </x:c>
      <x:c r="G617" t="n">
        <x:v>845678</x:v>
      </x:c>
      <x:c r="H617" s="28" t="n">
        <x:v>8816.54</x:v>
      </x:c>
      <x:c r="I617" t="n">
        <x:v>996689</x:v>
      </x:c>
      <x:c r="J617" t="n">
        <x:v>847</x:v>
      </x:c>
      <x:c r="K617" t="n">
        <x:v>0</x:v>
      </x:c>
      <x:c r="L617" s="27" t="n">
        <x:f>IFERROR(K617/I617,0)</x:f>
        <x:v>0</x:v>
      </x:c>
      <x:c r="M617" s="28" t="n">
        <x:f>IFERROR(H617/K617,0)</x:f>
        <x:v>0</x:v>
      </x:c>
      <x:c r="N617" s="28" t="n">
        <x:f>IFERROR(H617/I617*1000,0)</x:f>
        <x:v>8.84582853829028</x:v>
      </x:c>
      <x:c r="O617" t="n">
        <x:v>1.178568</x:v>
      </x:c>
      <x:c r="P617" t="n">
        <x:v>0</x:v>
      </x:c>
      <x:c r="Q617" s="28" t="n">
        <x:v>0</x:v>
      </x:c>
      <x:c r="R617" s="28" t="n">
        <x:v>0</x:v>
      </x:c>
    </x:row>
    <x:row r="618">
      <x:c r="A618" t="str">
        <x:v>2026-08-01</x:v>
      </x:c>
      <x:c r="B618" t="str">
        <x:v>449281783851362</x:v>
      </x:c>
      <x:c r="C618" t="str">
        <x:v>Doruk Hastaneleri - SİNA ÖZEL Sağlık Hizmetleri A.ş</x:v>
      </x:c>
      <x:c r="D618" t="str">
        <x:v>120249614228610399</x:v>
      </x:c>
      <x:c r="E618" t="str">
        <x:v>Instagram gönderisi: Bir sezon boyunca ortaya...</x:v>
      </x:c>
      <x:c r="F618" t="str">
        <x:v>LINK_CLICKS</x:v>
      </x:c>
      <x:c r="G618" t="n">
        <x:v>85801</x:v>
      </x:c>
      <x:c r="H618" s="28" t="n">
        <x:v>6154.9</x:v>
      </x:c>
      <x:c r="I618" t="n">
        <x:v>98166</x:v>
      </x:c>
      <x:c r="J618" t="n">
        <x:v>1416</x:v>
      </x:c>
      <x:c r="K618" t="n">
        <x:v>1418</x:v>
      </x:c>
      <x:c r="L618" s="27" t="n">
        <x:f>IFERROR(K618/I618,0)</x:f>
        <x:v>0.014444919829676262</x:v>
      </x:c>
      <x:c r="M618" s="28" t="n">
        <x:f>IFERROR(H618/K618,0)</x:f>
        <x:v>4.340550070521862</x:v>
      </x:c>
      <x:c r="N618" s="28" t="n">
        <x:f>IFERROR(H618/I618*1000,0)</x:f>
        <x:v>62.69889778538394</x:v>
      </x:c>
      <x:c r="O618" t="n">
        <x:v>1.144113</x:v>
      </x:c>
      <x:c r="P618" t="n">
        <x:v>0</x:v>
      </x:c>
      <x:c r="Q618" s="28" t="n">
        <x:v>0</x:v>
      </x:c>
      <x:c r="R618" s="28" t="n">
        <x:v>0</x:v>
      </x:c>
    </x:row>
    <x:row r="619">
      <x:c r="A619" t="str">
        <x:v>2026-08-01</x:v>
      </x:c>
      <x:c r="B619" t="str">
        <x:v>449281783851362</x:v>
      </x:c>
      <x:c r="C619" t="str">
        <x:v>Doruk Hastaneleri - SİNA ÖZEL Sağlık Hizmetleri A.ş</x:v>
      </x:c>
      <x:c r="D619" t="str">
        <x:v>120251414264130399</x:v>
      </x:c>
      <x:c r="E619" t="str">
        <x:v>Prostat Checkup - lead</x:v>
      </x:c>
      <x:c r="F619" t="str">
        <x:v>OUTCOME_LEADS</x:v>
      </x:c>
      <x:c r="G619" t="n">
        <x:v>9556</x:v>
      </x:c>
      <x:c r="H619" s="28" t="n">
        <x:v>867.68</x:v>
      </x:c>
      <x:c r="I619" t="n">
        <x:v>11550</x:v>
      </x:c>
      <x:c r="J619" t="n">
        <x:v>343</x:v>
      </x:c>
      <x:c r="K619" t="n">
        <x:v>123</x:v>
      </x:c>
      <x:c r="L619" s="27" t="n">
        <x:f>IFERROR(K619/I619,0)</x:f>
        <x:v>0.01064935064935065</x:v>
      </x:c>
      <x:c r="M619" s="28" t="n">
        <x:f>IFERROR(H619/K619,0)</x:f>
        <x:v>7.05430894308943</x:v>
      </x:c>
      <x:c r="N619" s="28" t="n">
        <x:f>IFERROR(H619/I619*1000,0)</x:f>
        <x:v>75.12380952380953</x:v>
      </x:c>
      <x:c r="O619" t="n">
        <x:v>1.208665</x:v>
      </x:c>
      <x:c r="P619" t="n">
        <x:v>5</x:v>
      </x:c>
      <x:c r="Q619" s="28" t="n">
        <x:v>0</x:v>
      </x:c>
      <x:c r="R619" s="28" t="n">
        <x:v>0</x:v>
      </x:c>
    </x:row>
    <x:row r="620">
      <x:c r="A620" t="str">
        <x:v>2026-08-01</x:v>
      </x:c>
      <x:c r="B620" t="str">
        <x:v>449281783851362</x:v>
      </x:c>
      <x:c r="C620" t="str">
        <x:v>Doruk Hastaneleri - SİNA ÖZEL Sağlık Hizmetleri A.ş</x:v>
      </x:c>
      <x:c r="D620" t="str">
        <x:v>120252323141170399</x:v>
      </x:c>
      <x:c r="E620" t="str">
        <x:v>Instagram gönderisi: Medikal estetik alanındaki...</x:v>
      </x:c>
      <x:c r="F620" t="str">
        <x:v>LINK_CLICKS</x:v>
      </x:c>
      <x:c r="G620" t="n">
        <x:v>12520</x:v>
      </x:c>
      <x:c r="H620" s="28" t="n">
        <x:v>779.63</x:v>
      </x:c>
      <x:c r="I620" t="n">
        <x:v>13267</x:v>
      </x:c>
      <x:c r="J620" t="n">
        <x:v>185</x:v>
      </x:c>
      <x:c r="K620" t="n">
        <x:v>180</x:v>
      </x:c>
      <x:c r="L620" s="27" t="n">
        <x:f>IFERROR(K620/I620,0)</x:f>
        <x:v>0.013567498304062712</x:v>
      </x:c>
      <x:c r="M620" s="28" t="n">
        <x:f>IFERROR(H620/K620,0)</x:f>
        <x:v>4.331277777777777</x:v>
      </x:c>
      <x:c r="N620" s="28" t="n">
        <x:f>IFERROR(H620/I620*1000,0)</x:f>
        <x:v>58.76460390442451</x:v>
      </x:c>
      <x:c r="O620" t="n">
        <x:v>1.059665</x:v>
      </x:c>
      <x:c r="P620" t="n">
        <x:v>0</x:v>
      </x:c>
      <x:c r="Q620" s="28" t="n">
        <x:v>0</x:v>
      </x:c>
      <x:c r="R620" s="28" t="n">
        <x:v>0</x:v>
      </x:c>
    </x:row>
    <x:row r="621">
      <x:c r="A621" t="str">
        <x:v>2026-08-01</x:v>
      </x:c>
      <x:c r="B621" t="str">
        <x:v>449281783851362</x:v>
      </x:c>
      <x:c r="C621" t="str">
        <x:v>Doruk Hastaneleri - SİNA ÖZEL Sağlık Hizmetleri A.ş</x:v>
      </x:c>
      <x:c r="D621" t="str">
        <x:v>120255158812950399</x:v>
      </x:c>
      <x:c r="E621" t="str">
        <x:v>Doktor - Bilinirlik Kampanyası - Yıldırım</x:v>
      </x:c>
      <x:c r="F621" t="str">
        <x:v>OUTCOME_AWARENESS</x:v>
      </x:c>
      <x:c r="G621" t="n">
        <x:v>462344</x:v>
      </x:c>
      <x:c r="H621" s="28" t="n">
        <x:v>4510.61</x:v>
      </x:c>
      <x:c r="I621" t="n">
        <x:v>508210</x:v>
      </x:c>
      <x:c r="J621" t="n">
        <x:v>289</x:v>
      </x:c>
      <x:c r="K621" t="n">
        <x:v>0</x:v>
      </x:c>
      <x:c r="L621" s="27" t="n">
        <x:f>IFERROR(K621/I621,0)</x:f>
        <x:v>0</x:v>
      </x:c>
      <x:c r="M621" s="28" t="n">
        <x:f>IFERROR(H621/K621,0)</x:f>
        <x:v>0</x:v>
      </x:c>
      <x:c r="N621" s="28" t="n">
        <x:f>IFERROR(H621/I621*1000,0)</x:f>
        <x:v>8.875484543790952</x:v>
      </x:c>
      <x:c r="O621" t="n">
        <x:v>1.099203</x:v>
      </x:c>
      <x:c r="P621" t="n">
        <x:v>0</x:v>
      </x:c>
      <x:c r="Q621" s="28" t="n">
        <x:v>0</x:v>
      </x:c>
      <x:c r="R621" s="28" t="n">
        <x:v>0</x:v>
      </x:c>
    </x:row>
    <x:row r="622">
      <x:c r="A622" t="str">
        <x:v>2026-08-01</x:v>
      </x:c>
      <x:c r="B622" t="str">
        <x:v>449281783851362</x:v>
      </x:c>
      <x:c r="C622" t="str">
        <x:v>Doruk Hastaneleri - SİNA ÖZEL Sağlık Hizmetleri A.ş</x:v>
      </x:c>
      <x:c r="D622" t="str">
        <x:v>120255738303970399</x:v>
      </x:c>
      <x:c r="E622" t="str">
        <x:v>Instagram gönderisi: 🏅 BURSA'DA BİR İLK
Özel...</x:v>
      </x:c>
      <x:c r="F622" t="str">
        <x:v>LINK_CLICKS</x:v>
      </x:c>
      <x:c r="G622" t="n">
        <x:v>23973</x:v>
      </x:c>
      <x:c r="H622" s="28" t="n">
        <x:v>1541.85</x:v>
      </x:c>
      <x:c r="I622" t="n">
        <x:v>25442</x:v>
      </x:c>
      <x:c r="J622" t="n">
        <x:v>447</x:v>
      </x:c>
      <x:c r="K622" t="n">
        <x:v>436</x:v>
      </x:c>
      <x:c r="L622" s="27" t="n">
        <x:f>IFERROR(K622/I622,0)</x:f>
        <x:v>0.01713701753006839</x:v>
      </x:c>
      <x:c r="M622" s="28" t="n">
        <x:f>IFERROR(H622/K622,0)</x:f>
        <x:v>3.536353211009174</x:v>
      </x:c>
      <x:c r="N622" s="28" t="n">
        <x:f>IFERROR(H622/I622*1000,0)</x:f>
        <x:v>60.602546969577865</x:v>
      </x:c>
      <x:c r="O622" t="n">
        <x:v>1.061277</x:v>
      </x:c>
      <x:c r="P622" t="n">
        <x:v>0</x:v>
      </x:c>
      <x:c r="Q622" s="28" t="n">
        <x:v>0</x:v>
      </x:c>
      <x:c r="R622" s="28" t="n">
        <x:v>0</x:v>
      </x:c>
    </x:row>
    <x:row r="623">
      <x:c r="A623" t="str">
        <x:v>2026-08-01</x:v>
      </x:c>
      <x:c r="B623" t="str">
        <x:v>449281783851362</x:v>
      </x:c>
      <x:c r="C623" t="str">
        <x:v>Doruk Hastaneleri - SİNA ÖZEL Sağlık Hizmetleri A.ş</x:v>
      </x:c>
      <x:c r="D623" t="str">
        <x:v>120255739080510399</x:v>
      </x:c>
      <x:c r="E623" t="str">
        <x:v>Gönderi: "👃 Rinoplasti Ameliyatı Nedir? Yumuşak Doku Neden..."</x:v>
      </x:c>
      <x:c r="F623" t="str">
        <x:v>OUTCOME_ENGAGEMENT</x:v>
      </x:c>
      <x:c r="G623" t="n">
        <x:v>22840</x:v>
      </x:c>
      <x:c r="H623" s="28" t="n">
        <x:v>1618.55</x:v>
      </x:c>
      <x:c r="I623" t="n">
        <x:v>27328</x:v>
      </x:c>
      <x:c r="J623" t="n">
        <x:v>860</x:v>
      </x:c>
      <x:c r="K623" t="n">
        <x:v>400</x:v>
      </x:c>
      <x:c r="L623" s="27" t="n">
        <x:f>IFERROR(K623/I623,0)</x:f>
        <x:v>0.014637002341920375</x:v>
      </x:c>
      <x:c r="M623" s="28" t="n">
        <x:f>IFERROR(H623/K623,0)</x:f>
        <x:v>4.046375</x:v>
      </x:c>
      <x:c r="N623" s="28" t="n">
        <x:f>IFERROR(H623/I623*1000,0)</x:f>
        <x:v>59.226800351288055</x:v>
      </x:c>
      <x:c r="O623" t="n">
        <x:v>1.196497</x:v>
      </x:c>
      <x:c r="P623" t="n">
        <x:v>0</x:v>
      </x:c>
      <x:c r="Q623" s="28" t="n">
        <x:v>0</x:v>
      </x:c>
      <x:c r="R623" s="28" t="n">
        <x:v>0</x:v>
      </x:c>
    </x:row>
    <x:row r="624">
      <x:c r="A624" t="str">
        <x:v>2026-08-01</x:v>
      </x:c>
      <x:c r="B624" t="str">
        <x:v>449281783851362</x:v>
      </x:c>
      <x:c r="C624" t="str">
        <x:v>Doruk Hastaneleri - SİNA ÖZEL Sağlık Hizmetleri A.ş</x:v>
      </x:c>
      <x:c r="D624" t="str">
        <x:v>120255739163090399</x:v>
      </x:c>
      <x:c r="E624" t="str">
        <x:v>Instagram gönderisi: 👃 Rinoplasti Ameliyatı...</x:v>
      </x:c>
      <x:c r="F624" t="str">
        <x:v>LINK_CLICKS</x:v>
      </x:c>
      <x:c r="G624" t="n">
        <x:v>24018</x:v>
      </x:c>
      <x:c r="H624" s="28" t="n">
        <x:v>1541.88</x:v>
      </x:c>
      <x:c r="I624" t="n">
        <x:v>26409</x:v>
      </x:c>
      <x:c r="J624" t="n">
        <x:v>779</x:v>
      </x:c>
      <x:c r="K624" t="n">
        <x:v>798</x:v>
      </x:c>
      <x:c r="L624" s="27" t="n">
        <x:f>IFERROR(K624/I624,0)</x:f>
        <x:v>0.03021697148699307</x:v>
      </x:c>
      <x:c r="M624" s="28" t="n">
        <x:f>IFERROR(H624/K624,0)</x:f>
        <x:v>1.9321804511278198</x:v>
      </x:c>
      <x:c r="N624" s="28" t="n">
        <x:f>IFERROR(H624/I624*1000,0)</x:f>
        <x:v>58.38464159945474</x:v>
      </x:c>
      <x:c r="O624" t="n">
        <x:v>1.09955</x:v>
      </x:c>
      <x:c r="P624" t="n">
        <x:v>0</x:v>
      </x:c>
      <x:c r="Q624" s="28" t="n">
        <x:v>0</x:v>
      </x:c>
      <x:c r="R624" s="28" t="n">
        <x:v>0</x:v>
      </x:c>
    </x:row>
    <x:row r="625">
      <x:c r="A625" t="str">
        <x:v>2026-08-01</x:v>
      </x:c>
      <x:c r="B625" t="str">
        <x:v>449281783851362</x:v>
      </x:c>
      <x:c r="C625" t="str">
        <x:v>Doruk Hastaneleri - SİNA ÖZEL Sağlık Hizmetleri A.ş</x:v>
      </x:c>
      <x:c r="D625" t="str">
        <x:v>120255739194330399</x:v>
      </x:c>
      <x:c r="E625" t="str">
        <x:v>Instagram gönderisi: 🖐️ Parmak Ucu Defekti Nasıl...</x:v>
      </x:c>
      <x:c r="F625" t="str">
        <x:v>LINK_CLICKS</x:v>
      </x:c>
      <x:c r="G625" t="n">
        <x:v>20455</x:v>
      </x:c>
      <x:c r="H625" s="28" t="n">
        <x:v>1533.18</x:v>
      </x:c>
      <x:c r="I625" t="n">
        <x:v>22415</x:v>
      </x:c>
      <x:c r="J625" t="n">
        <x:v>467</x:v>
      </x:c>
      <x:c r="K625" t="n">
        <x:v>419</x:v>
      </x:c>
      <x:c r="L625" s="27" t="n">
        <x:f>IFERROR(K625/I625,0)</x:f>
        <x:v>0.018692839616328352</x:v>
      </x:c>
      <x:c r="M625" s="28" t="n">
        <x:f>IFERROR(H625/K625,0)</x:f>
        <x:v>3.6591408114558472</x:v>
      </x:c>
      <x:c r="N625" s="28" t="n">
        <x:f>IFERROR(H625/I625*1000,0)</x:f>
        <x:v>68.39973232210573</x:v>
      </x:c>
      <x:c r="O625" t="n">
        <x:v>1.09582</x:v>
      </x:c>
      <x:c r="P625" t="n">
        <x:v>0</x:v>
      </x:c>
      <x:c r="Q625" s="28" t="n">
        <x:v>0</x:v>
      </x:c>
      <x:c r="R625" s="28" t="n">
        <x:v>0</x:v>
      </x:c>
    </x:row>
    <x:row r="626">
      <x:c r="A626" t="str">
        <x:v>2026-08-01</x:v>
      </x:c>
      <x:c r="B626" t="str">
        <x:v>449281783851362</x:v>
      </x:c>
      <x:c r="C626" t="str">
        <x:v>Doruk Hastaneleri - SİNA ÖZEL Sağlık Hizmetleri A.ş</x:v>
      </x:c>
      <x:c r="D626" t="str">
        <x:v>120255763855030399</x:v>
      </x:c>
      <x:c r="E626" t="str">
        <x:v>Doktor - Bilinirlik Kampanyası - Çekirge</x:v>
      </x:c>
      <x:c r="F626" t="str">
        <x:v>OUTCOME_AWARENESS</x:v>
      </x:c>
      <x:c r="G626" t="n">
        <x:v>265523</x:v>
      </x:c>
      <x:c r="H626" s="28" t="n">
        <x:v>3534.5</x:v>
      </x:c>
      <x:c r="I626" t="n">
        <x:v>375858</x:v>
      </x:c>
      <x:c r="J626" t="n">
        <x:v>318</x:v>
      </x:c>
      <x:c r="K626" t="n">
        <x:v>2</x:v>
      </x:c>
      <x:c r="L626" s="27" t="n">
        <x:f>IFERROR(K626/I626,0)</x:f>
        <x:v>0.000005321158522633548</x:v>
      </x:c>
      <x:c r="M626" s="28" t="n">
        <x:f>IFERROR(H626/K626,0)</x:f>
        <x:v>1767.25</x:v>
      </x:c>
      <x:c r="N626" s="28" t="n">
        <x:f>IFERROR(H626/I626*1000,0)</x:f>
        <x:v>9.403817399124137</x:v>
      </x:c>
      <x:c r="O626" t="n">
        <x:v>1.415538</x:v>
      </x:c>
      <x:c r="P626" t="n">
        <x:v>0</x:v>
      </x:c>
      <x:c r="Q626" s="28" t="n">
        <x:v>0</x:v>
      </x:c>
      <x:c r="R626" s="28" t="n">
        <x:v>0</x:v>
      </x:c>
    </x:row>
    <x:row r="627">
      <x:c r="A627" t="str">
        <x:v>2026-08-02</x:v>
      </x:c>
      <x:c r="B627" t="str">
        <x:v>449281783851362</x:v>
      </x:c>
      <x:c r="C627" t="str">
        <x:v>Doruk Hastaneleri - SİNA ÖZEL Sağlık Hizmetleri A.ş</x:v>
      </x:c>
      <x:c r="D627" t="str">
        <x:v>120211732654260399</x:v>
      </x:c>
      <x:c r="E627" t="str">
        <x:v>ABO / Rinoplasti / plastik cerrahi / lead</x:v>
      </x:c>
      <x:c r="F627" t="str">
        <x:v>OUTCOME_LEADS</x:v>
      </x:c>
      <x:c r="G627" t="n">
        <x:v>0</x:v>
      </x:c>
      <x:c r="H627" s="28" t="n">
        <x:v>0</x:v>
      </x:c>
      <x:c r="I627" t="n">
        <x:v>0</x:v>
      </x:c>
      <x:c r="J627" t="n">
        <x:v>0</x:v>
      </x:c>
      <x:c r="K627" t="n">
        <x:v>0</x:v>
      </x:c>
      <x:c r="L627" s="27" t="n">
        <x:f>IFERROR(K627/I627,0)</x:f>
        <x:v>0</x:v>
      </x:c>
      <x:c r="M627" s="28" t="n">
        <x:f>IFERROR(H627/K627,0)</x:f>
        <x:v>0</x:v>
      </x:c>
      <x:c r="N627" s="28" t="n">
        <x:f>IFERROR(H627/I627*1000,0)</x:f>
        <x:v>0</x:v>
      </x:c>
      <x:c r="O627" t="n">
        <x:v>0</x:v>
      </x:c>
      <x:c r="P627" t="n">
        <x:v>0</x:v>
      </x:c>
      <x:c r="Q627" s="28" t="n">
        <x:v>0</x:v>
      </x:c>
      <x:c r="R627" s="28" t="n">
        <x:v>0</x:v>
      </x:c>
    </x:row>
    <x:row r="628">
      <x:c r="A628" t="str">
        <x:v>2026-08-02</x:v>
      </x:c>
      <x:c r="B628" t="str">
        <x:v>449281783851362</x:v>
      </x:c>
      <x:c r="C628" t="str">
        <x:v>Doruk Hastaneleri - SİNA ÖZEL Sağlık Hizmetleri A.ş</x:v>
      </x:c>
      <x:c r="D628" t="str">
        <x:v>120214167265870399</x:v>
      </x:c>
      <x:c r="E628" t="str">
        <x:v>Baş Dönmesi ve Denge Ünitesi / lead</x:v>
      </x:c>
      <x:c r="F628" t="str">
        <x:v>OUTCOME_LEADS</x:v>
      </x:c>
      <x:c r="G628" t="n">
        <x:v>0</x:v>
      </x:c>
      <x:c r="H628" s="28" t="n">
        <x:v>0</x:v>
      </x:c>
      <x:c r="I628" t="n">
        <x:v>0</x:v>
      </x:c>
      <x:c r="J628" t="n">
        <x:v>0</x:v>
      </x:c>
      <x:c r="K628" t="n">
        <x:v>0</x:v>
      </x:c>
      <x:c r="L628" s="27" t="n">
        <x:f>IFERROR(K628/I628,0)</x:f>
        <x:v>0</x:v>
      </x:c>
      <x:c r="M628" s="28" t="n">
        <x:f>IFERROR(H628/K628,0)</x:f>
        <x:v>0</x:v>
      </x:c>
      <x:c r="N628" s="28" t="n">
        <x:f>IFERROR(H628/I628*1000,0)</x:f>
        <x:v>0</x:v>
      </x:c>
      <x:c r="O628" t="n">
        <x:v>0</x:v>
      </x:c>
      <x:c r="P628" t="n">
        <x:v>0</x:v>
      </x:c>
      <x:c r="Q628" s="28" t="n">
        <x:v>0</x:v>
      </x:c>
      <x:c r="R628" s="28" t="n">
        <x:v>0</x:v>
      </x:c>
    </x:row>
    <x:row r="629">
      <x:c r="A629" t="str">
        <x:v>2026-08-02</x:v>
      </x:c>
      <x:c r="B629" t="str">
        <x:v>449281783851362</x:v>
      </x:c>
      <x:c r="C629" t="str">
        <x:v>Doruk Hastaneleri - SİNA ÖZEL Sağlık Hizmetleri A.ş</x:v>
      </x:c>
      <x:c r="D629" t="str">
        <x:v>120220089108220399</x:v>
      </x:c>
      <x:c r="E629" t="str">
        <x:v>Checkup - genel - lead</x:v>
      </x:c>
      <x:c r="F629" t="str">
        <x:v>OUTCOME_LEADS</x:v>
      </x:c>
      <x:c r="G629" t="n">
        <x:v>0</x:v>
      </x:c>
      <x:c r="H629" s="28" t="n">
        <x:v>0</x:v>
      </x:c>
      <x:c r="I629" t="n">
        <x:v>0</x:v>
      </x:c>
      <x:c r="J629" t="n">
        <x:v>0</x:v>
      </x:c>
      <x:c r="K629" t="n">
        <x:v>0</x:v>
      </x:c>
      <x:c r="L629" s="27" t="n">
        <x:f>IFERROR(K629/I629,0)</x:f>
        <x:v>0</x:v>
      </x:c>
      <x:c r="M629" s="28" t="n">
        <x:f>IFERROR(H629/K629,0)</x:f>
        <x:v>0</x:v>
      </x:c>
      <x:c r="N629" s="28" t="n">
        <x:f>IFERROR(H629/I629*1000,0)</x:f>
        <x:v>0</x:v>
      </x:c>
      <x:c r="O629" t="n">
        <x:v>0</x:v>
      </x:c>
      <x:c r="P629" t="n">
        <x:v>0</x:v>
      </x:c>
      <x:c r="Q629" s="28" t="n">
        <x:v>0</x:v>
      </x:c>
      <x:c r="R629" s="28" t="n">
        <x:v>0</x:v>
      </x:c>
    </x:row>
    <x:row r="630">
      <x:c r="A630" t="str">
        <x:v>2026-08-02</x:v>
      </x:c>
      <x:c r="B630" t="str">
        <x:v>170008509278498</x:v>
      </x:c>
      <x:c r="C630" t="str">
        <x:v>Doruk Hospital</x:v>
      </x:c>
      <x:c r="D630" t="str">
        <x:v>120232382033210080</x:v>
      </x:c>
      <x:c r="E630" t="str">
        <x:v>Fizik Tedavi - Intensive FTR - Türki Cumhuriyetler - Tümü - RU - Lechenie v Turtsii - lead</x:v>
      </x:c>
      <x:c r="F630" t="str">
        <x:v>OUTCOME_LEADS</x:v>
      </x:c>
      <x:c r="G630" t="n">
        <x:v>116217</x:v>
      </x:c>
      <x:c r="H630" s="28" t="n">
        <x:v>27063</x:v>
      </x:c>
      <x:c r="I630" t="n">
        <x:v>160465</x:v>
      </x:c>
      <x:c r="J630" t="n">
        <x:v>1475</x:v>
      </x:c>
      <x:c r="K630" t="n">
        <x:v>1179</x:v>
      </x:c>
      <x:c r="L630" s="27" t="n">
        <x:f>IFERROR(K630/I630,0)</x:f>
        <x:v>0.007347396628548282</x:v>
      </x:c>
      <x:c r="M630" s="28" t="n">
        <x:f>IFERROR(H630/K630,0)</x:f>
        <x:v>22.954198473282442</x:v>
      </x:c>
      <x:c r="N630" s="28" t="n">
        <x:f>IFERROR(H630/I630*1000,0)</x:f>
        <x:v>168.65360047362356</x:v>
      </x:c>
      <x:c r="O630" t="n">
        <x:v>1.380736</x:v>
      </x:c>
      <x:c r="P630" t="n">
        <x:v>22</x:v>
      </x:c>
      <x:c r="Q630" s="28" t="n">
        <x:v>0</x:v>
      </x:c>
      <x:c r="R630" s="28" t="n">
        <x:v>0</x:v>
      </x:c>
    </x:row>
    <x:row r="631">
      <x:c r="A631" t="str">
        <x:v>2026-08-02</x:v>
      </x:c>
      <x:c r="B631" t="str">
        <x:v>170008509278498</x:v>
      </x:c>
      <x:c r="C631" t="str">
        <x:v>Doruk Hospital</x:v>
      </x:c>
      <x:c r="D631" t="str">
        <x:v>120238651325780080</x:v>
      </x:c>
      <x:c r="E631" t="str">
        <x:v>Whatsapp - Fizik Tedavi - Intensive FTR - Arap Bölgesi - Tümü - AR - Doruk İlaj Turkia</x:v>
      </x:c>
      <x:c r="F631" t="str">
        <x:v>OUTCOME_LEADS</x:v>
      </x:c>
      <x:c r="G631" t="n">
        <x:v>37797</x:v>
      </x:c>
      <x:c r="H631" s="28" t="n">
        <x:v>23032.71</x:v>
      </x:c>
      <x:c r="I631" t="n">
        <x:v>50378</x:v>
      </x:c>
      <x:c r="J631" t="n">
        <x:v>647</x:v>
      </x:c>
      <x:c r="K631" t="n">
        <x:v>294</x:v>
      </x:c>
      <x:c r="L631" s="27" t="n">
        <x:f>IFERROR(K631/I631,0)</x:f>
        <x:v>0.005835880741593553</x:v>
      </x:c>
      <x:c r="M631" s="28" t="n">
        <x:f>IFERROR(H631/K631,0)</x:f>
        <x:v>78.34255102040817</x:v>
      </x:c>
      <x:c r="N631" s="28" t="n">
        <x:f>IFERROR(H631/I631*1000,0)</x:f>
        <x:v>457.1977847473103</x:v>
      </x:c>
      <x:c r="O631" t="n">
        <x:v>1.332857</x:v>
      </x:c>
      <x:c r="P631" t="n">
        <x:v>0</x:v>
      </x:c>
      <x:c r="Q631" s="28" t="n">
        <x:v>0</x:v>
      </x:c>
      <x:c r="R631" s="28" t="n">
        <x:v>0</x:v>
      </x:c>
    </x:row>
    <x:row r="632">
      <x:c r="A632" t="str">
        <x:v>2026-08-02</x:v>
      </x:c>
      <x:c r="B632" t="str">
        <x:v>449281783851362</x:v>
      </x:c>
      <x:c r="C632" t="str">
        <x:v>Doruk Hastaneleri - SİNA ÖZEL Sağlık Hizmetleri A.ş</x:v>
      </x:c>
      <x:c r="D632" t="str">
        <x:v>120242415465180399</x:v>
      </x:c>
      <x:c r="E632" t="str">
        <x:v>Gebe-Doğum Form Kampanyası</x:v>
      </x:c>
      <x:c r="F632" t="str">
        <x:v>OUTCOME_LEADS</x:v>
      </x:c>
      <x:c r="G632" t="n">
        <x:v>0</x:v>
      </x:c>
      <x:c r="H632" s="28" t="n">
        <x:v>0</x:v>
      </x:c>
      <x:c r="I632" t="n">
        <x:v>0</x:v>
      </x:c>
      <x:c r="J632" t="n">
        <x:v>0</x:v>
      </x:c>
      <x:c r="K632" t="n">
        <x:v>0</x:v>
      </x:c>
      <x:c r="L632" s="27" t="n">
        <x:f>IFERROR(K632/I632,0)</x:f>
        <x:v>0</x:v>
      </x:c>
      <x:c r="M632" s="28" t="n">
        <x:f>IFERROR(H632/K632,0)</x:f>
        <x:v>0</x:v>
      </x:c>
      <x:c r="N632" s="28" t="n">
        <x:f>IFERROR(H632/I632*1000,0)</x:f>
        <x:v>0</x:v>
      </x:c>
      <x:c r="O632" t="n">
        <x:v>0</x:v>
      </x:c>
      <x:c r="P632" t="n">
        <x:v>0</x:v>
      </x:c>
      <x:c r="Q632" s="28" t="n">
        <x:v>0</x:v>
      </x:c>
      <x:c r="R632" s="28" t="n">
        <x:v>0</x:v>
      </x:c>
    </x:row>
    <x:row r="633">
      <x:c r="A633" t="str">
        <x:v>2026-08-02</x:v>
      </x:c>
      <x:c r="B633" t="str">
        <x:v>170008509278498</x:v>
      </x:c>
      <x:c r="C633" t="str">
        <x:v>Doruk Hospital</x:v>
      </x:c>
      <x:c r="D633" t="str">
        <x:v>120242709752170080</x:v>
      </x:c>
      <x:c r="E633" t="str">
        <x:v>Instagram gönderisi: Аппарат TrueBeam — одна из...</x:v>
      </x:c>
      <x:c r="F633" t="str">
        <x:v>LINK_CLICKS</x:v>
      </x:c>
      <x:c r="G633" t="n">
        <x:v>60259</x:v>
      </x:c>
      <x:c r="H633" s="28" t="n">
        <x:v>4058.79</x:v>
      </x:c>
      <x:c r="I633" t="n">
        <x:v>64310</x:v>
      </x:c>
      <x:c r="J633" t="n">
        <x:v>1849</x:v>
      </x:c>
      <x:c r="K633" t="n">
        <x:v>1704</x:v>
      </x:c>
      <x:c r="L633" s="27" t="n">
        <x:f>IFERROR(K633/I633,0)</x:f>
        <x:v>0.02649665681853522</x:v>
      </x:c>
      <x:c r="M633" s="28" t="n">
        <x:f>IFERROR(H633/K633,0)</x:f>
        <x:v>2.3819190140845072</x:v>
      </x:c>
      <x:c r="N633" s="28" t="n">
        <x:f>IFERROR(H633/I633*1000,0)</x:f>
        <x:v>63.11289068574094</x:v>
      </x:c>
      <x:c r="O633" t="n">
        <x:v>1.067226</x:v>
      </x:c>
      <x:c r="P633" t="n">
        <x:v>0</x:v>
      </x:c>
      <x:c r="Q633" s="28" t="n">
        <x:v>0</x:v>
      </x:c>
      <x:c r="R633" s="28" t="n">
        <x:v>0</x:v>
      </x:c>
    </x:row>
    <x:row r="634">
      <x:c r="A634" t="str">
        <x:v>2026-08-02</x:v>
      </x:c>
      <x:c r="B634" t="str">
        <x:v>170008509278498</x:v>
      </x:c>
      <x:c r="C634" t="str">
        <x:v>Doruk Hospital</x:v>
      </x:c>
      <x:c r="D634" t="str">
        <x:v>120247571768010080</x:v>
      </x:c>
      <x:c r="E634" t="str">
        <x:v>Meme Estetiği - Jinekomasti - Birleşik Krallık - Tümü - EN - Doruk Jinekomasti</x:v>
      </x:c>
      <x:c r="F634" t="str">
        <x:v>OUTCOME_LEADS</x:v>
      </x:c>
      <x:c r="G634" t="n">
        <x:v>3476</x:v>
      </x:c>
      <x:c r="H634" s="28" t="n">
        <x:v>2941.81</x:v>
      </x:c>
      <x:c r="I634" t="n">
        <x:v>5632</x:v>
      </x:c>
      <x:c r="J634" t="n">
        <x:v>143</x:v>
      </x:c>
      <x:c r="K634" t="n">
        <x:v>66</x:v>
      </x:c>
      <x:c r="L634" s="27" t="n">
        <x:f>IFERROR(K634/I634,0)</x:f>
        <x:v>0.01171875</x:v>
      </x:c>
      <x:c r="M634" s="28" t="n">
        <x:f>IFERROR(H634/K634,0)</x:f>
        <x:v>44.572878787878786</x:v>
      </x:c>
      <x:c r="N634" s="28" t="n">
        <x:f>IFERROR(H634/I634*1000,0)</x:f>
        <x:v>522.3384232954545</x:v>
      </x:c>
      <x:c r="O634" t="n">
        <x:v>1.620253</x:v>
      </x:c>
      <x:c r="P634" t="n">
        <x:v>9</x:v>
      </x:c>
      <x:c r="Q634" s="28" t="n">
        <x:v>0</x:v>
      </x:c>
      <x:c r="R634" s="28" t="n">
        <x:v>0</x:v>
      </x:c>
    </x:row>
    <x:row r="635">
      <x:c r="A635" t="str">
        <x:v>2026-08-02</x:v>
      </x:c>
      <x:c r="B635" t="str">
        <x:v>170008509278498</x:v>
      </x:c>
      <x:c r="C635" t="str">
        <x:v>Doruk Hospital</x:v>
      </x:c>
      <x:c r="D635" t="str">
        <x:v>120247623884690080</x:v>
      </x:c>
      <x:c r="E635" t="str">
        <x:v>Meme Estetiği - Jinekomasti - Arap Bölgesi - Tümü - AR - Doruk Jinekomasti</x:v>
      </x:c>
      <x:c r="F635" t="str">
        <x:v>OUTCOME_LEADS</x:v>
      </x:c>
      <x:c r="G635" t="n">
        <x:v>20011</x:v>
      </x:c>
      <x:c r="H635" s="28" t="n">
        <x:v>5353.6</x:v>
      </x:c>
      <x:c r="I635" t="n">
        <x:v>33010</x:v>
      </x:c>
      <x:c r="J635" t="n">
        <x:v>438</x:v>
      </x:c>
      <x:c r="K635" t="n">
        <x:v>213</x:v>
      </x:c>
      <x:c r="L635" s="27" t="n">
        <x:f>IFERROR(K635/I635,0)</x:f>
        <x:v>0.0064525901242047864</x:v>
      </x:c>
      <x:c r="M635" s="28" t="n">
        <x:f>IFERROR(H635/K635,0)</x:f>
        <x:v>25.134272300469487</x:v>
      </x:c>
      <x:c r="N635" s="28" t="n">
        <x:f>IFERROR(H635/I635*1000,0)</x:f>
        <x:v>162.1811572250833</x:v>
      </x:c>
      <x:c r="O635" t="n">
        <x:v>1.649593</x:v>
      </x:c>
      <x:c r="P635" t="n">
        <x:v>21</x:v>
      </x:c>
      <x:c r="Q635" s="28" t="n">
        <x:v>0</x:v>
      </x:c>
      <x:c r="R635" s="28" t="n">
        <x:v>0</x:v>
      </x:c>
    </x:row>
    <x:row r="636">
      <x:c r="A636" t="str">
        <x:v>2026-08-02</x:v>
      </x:c>
      <x:c r="B636" t="str">
        <x:v>449281783851362</x:v>
      </x:c>
      <x:c r="C636" t="str">
        <x:v>Doruk Hastaneleri - SİNA ÖZEL Sağlık Hizmetleri A.ş</x:v>
      </x:c>
      <x:c r="D636" t="str">
        <x:v>120248812698040399</x:v>
      </x:c>
      <x:c r="E636" t="str">
        <x:v>ABO / Medikal Estetik lead / 16.04.2026</x:v>
      </x:c>
      <x:c r="F636" t="str">
        <x:v>OUTCOME_LEADS</x:v>
      </x:c>
      <x:c r="G636" t="n">
        <x:v>0</x:v>
      </x:c>
      <x:c r="H636" s="28" t="n">
        <x:v>0</x:v>
      </x:c>
      <x:c r="I636" t="n">
        <x:v>0</x:v>
      </x:c>
      <x:c r="J636" t="n">
        <x:v>0</x:v>
      </x:c>
      <x:c r="K636" t="n">
        <x:v>0</x:v>
      </x:c>
      <x:c r="L636" s="27" t="n">
        <x:f>IFERROR(K636/I636,0)</x:f>
        <x:v>0</x:v>
      </x:c>
      <x:c r="M636" s="28" t="n">
        <x:f>IFERROR(H636/K636,0)</x:f>
        <x:v>0</x:v>
      </x:c>
      <x:c r="N636" s="28" t="n">
        <x:f>IFERROR(H636/I636*1000,0)</x:f>
        <x:v>0</x:v>
      </x:c>
      <x:c r="O636" t="n">
        <x:v>0</x:v>
      </x:c>
      <x:c r="P636" t="n">
        <x:v>0</x:v>
      </x:c>
      <x:c r="Q636" s="28" t="n">
        <x:v>0</x:v>
      </x:c>
      <x:c r="R636" s="28" t="n">
        <x:v>0</x:v>
      </x:c>
    </x:row>
    <x:row r="637">
      <x:c r="A637" t="str">
        <x:v>2026-08-02</x:v>
      </x:c>
      <x:c r="B637" t="str">
        <x:v>449281783851362</x:v>
      </x:c>
      <x:c r="C637" t="str">
        <x:v>Doruk Hastaneleri - SİNA ÖZEL Sağlık Hizmetleri A.ş</x:v>
      </x:c>
      <x:c r="D637" t="str">
        <x:v>120251414264130399</x:v>
      </x:c>
      <x:c r="E637" t="str">
        <x:v>Prostat Checkup - lead</x:v>
      </x:c>
      <x:c r="F637" t="str">
        <x:v>OUTCOME_LEADS</x:v>
      </x:c>
      <x:c r="G637" t="n">
        <x:v>0</x:v>
      </x:c>
      <x:c r="H637" s="28" t="n">
        <x:v>0</x:v>
      </x:c>
      <x:c r="I637" t="n">
        <x:v>0</x:v>
      </x:c>
      <x:c r="J637" t="n">
        <x:v>0</x:v>
      </x:c>
      <x:c r="K637" t="n">
        <x:v>0</x:v>
      </x:c>
      <x:c r="L637" s="27" t="n">
        <x:f>IFERROR(K637/I637,0)</x:f>
        <x:v>0</x:v>
      </x:c>
      <x:c r="M637" s="28" t="n">
        <x:f>IFERROR(H637/K637,0)</x:f>
        <x:v>0</x:v>
      </x:c>
      <x:c r="N637" s="28" t="n">
        <x:f>IFERROR(H637/I637*1000,0)</x:f>
        <x:v>0</x:v>
      </x:c>
      <x:c r="O637" t="n">
        <x:v>0</x:v>
      </x:c>
      <x:c r="P637" t="n">
        <x:v>0</x:v>
      </x:c>
      <x:c r="Q637" s="28" t="n">
        <x:v>0</x:v>
      </x:c>
      <x:c r="R637" s="28" t="n">
        <x:v>0</x:v>
      </x:c>
    </x:row>
    <x:row r="638">
      <x:c r="A638" t="str">
        <x:v>2026-08-03</x:v>
      </x:c>
      <x:c r="B638" t="str">
        <x:v>170008509278498</x:v>
      </x:c>
      <x:c r="C638" t="str">
        <x:v>Doruk Hospital</x:v>
      </x:c>
      <x:c r="D638" t="str">
        <x:v>120232382033210080</x:v>
      </x:c>
      <x:c r="E638" t="str">
        <x:v>Fizik Tedavi - Intensive FTR - Türki Cumhuriyetler - Tümü - RU - Lechenie v Turtsii - lead</x:v>
      </x:c>
      <x:c r="F638" t="str">
        <x:v>OUTCOME_LEADS</x:v>
      </x:c>
      <x:c r="G638" t="n">
        <x:v>0</x:v>
      </x:c>
      <x:c r="H638" s="28" t="n">
        <x:v>0</x:v>
      </x:c>
      <x:c r="I638" t="n">
        <x:v>0</x:v>
      </x:c>
      <x:c r="J638" t="n">
        <x:v>0</x:v>
      </x:c>
      <x:c r="K638" t="n">
        <x:v>0</x:v>
      </x:c>
      <x:c r="L638" s="27" t="n">
        <x:f>IFERROR(K638/I638,0)</x:f>
        <x:v>0</x:v>
      </x:c>
      <x:c r="M638" s="28" t="n">
        <x:f>IFERROR(H638/K638,0)</x:f>
        <x:v>0</x:v>
      </x:c>
      <x:c r="N638" s="28" t="n">
        <x:f>IFERROR(H638/I638*1000,0)</x:f>
        <x:v>0</x:v>
      </x:c>
      <x:c r="O638" t="n">
        <x:v>0</x:v>
      </x:c>
      <x:c r="P638" t="n">
        <x:v>0</x:v>
      </x:c>
      <x:c r="Q638" s="28" t="n">
        <x:v>0</x:v>
      </x:c>
      <x:c r="R638" s="28" t="n">
        <x:v>0</x:v>
      </x:c>
    </x:row>
    <x:row r="639">
      <x:c r="A639" t="str">
        <x:v>2026-08-03</x:v>
      </x:c>
      <x:c r="B639" t="str">
        <x:v>449281783851362</x:v>
      </x:c>
      <x:c r="C639" t="str">
        <x:v>Doruk Hastaneleri - SİNA ÖZEL Sağlık Hizmetleri A.ş</x:v>
      </x:c>
      <x:c r="D639" t="str">
        <x:v>120248812698040399</x:v>
      </x:c>
      <x:c r="E639" t="str">
        <x:v>ABO / Medikal Estetik lead / 16.04.2026</x:v>
      </x:c>
      <x:c r="F639" t="str">
        <x:v>OUTCOME_LEADS</x:v>
      </x:c>
      <x:c r="G639" t="n">
        <x:v>0</x:v>
      </x:c>
      <x:c r="H639" s="28" t="n">
        <x:v>0</x:v>
      </x:c>
      <x:c r="I639" t="n">
        <x:v>0</x:v>
      </x:c>
      <x:c r="J639" t="n">
        <x:v>0</x:v>
      </x:c>
      <x:c r="K639" t="n">
        <x:v>0</x:v>
      </x:c>
      <x:c r="L639" s="27" t="n">
        <x:f>IFERROR(K639/I639,0)</x:f>
        <x:v>0</x:v>
      </x:c>
      <x:c r="M639" s="28" t="n">
        <x:f>IFERROR(H639/K639,0)</x:f>
        <x:v>0</x:v>
      </x:c>
      <x:c r="N639" s="28" t="n">
        <x:f>IFERROR(H639/I639*1000,0)</x:f>
        <x:v>0</x:v>
      </x:c>
      <x:c r="O639" t="n">
        <x:v>0</x:v>
      </x:c>
      <x:c r="P639" t="n">
        <x:v>0</x:v>
      </x:c>
      <x:c r="Q639" s="28" t="n">
        <x:v>0</x:v>
      </x:c>
      <x:c r="R639" s="28" t="n">
        <x:v>0</x:v>
      </x:c>
    </x:row>
    <x:row r="640">
      <x:c r="A640" t="str">
        <x:v>2026-08-03</x:v>
      </x:c>
      <x:c r="B640" t="str">
        <x:v>449281783851362</x:v>
      </x:c>
      <x:c r="C640" t="str">
        <x:v>Doruk Hastaneleri - SİNA ÖZEL Sağlık Hizmetleri A.ş</x:v>
      </x:c>
      <x:c r="D640" t="str">
        <x:v>120255739290470399</x:v>
      </x:c>
      <x:c r="E640" t="str">
        <x:v>Instagram gönderisi: 🎗️ Kemoterapi Alan Her...</x:v>
      </x:c>
      <x:c r="F640" t="str">
        <x:v>LINK_CLICKS</x:v>
      </x:c>
      <x:c r="G640" t="n">
        <x:v>0</x:v>
      </x:c>
      <x:c r="H640" s="28" t="n">
        <x:v>0</x:v>
      </x:c>
      <x:c r="I640" t="n">
        <x:v>0</x:v>
      </x:c>
      <x:c r="J640" t="n">
        <x:v>0</x:v>
      </x:c>
      <x:c r="K640" t="n">
        <x:v>0</x:v>
      </x:c>
      <x:c r="L640" s="27" t="n">
        <x:f>IFERROR(K640/I640,0)</x:f>
        <x:v>0</x:v>
      </x:c>
      <x:c r="M640" s="28" t="n">
        <x:f>IFERROR(H640/K640,0)</x:f>
        <x:v>0</x:v>
      </x:c>
      <x:c r="N640" s="28" t="n">
        <x:f>IFERROR(H640/I640*1000,0)</x:f>
        <x:v>0</x:v>
      </x:c>
      <x:c r="O640" t="n">
        <x:v>0</x:v>
      </x:c>
      <x:c r="P640" t="n">
        <x:v>0</x:v>
      </x:c>
      <x:c r="Q640" s="28" t="n">
        <x:v>0</x:v>
      </x:c>
      <x:c r="R640" s="28" t="n">
        <x:v>0</x:v>
      </x:c>
    </x:row>
    <x:row r="641">
      <x:c r="A641" t="str">
        <x:v>2026-08-04</x:v>
      </x:c>
      <x:c r="B641" t="str">
        <x:v>449281783851362</x:v>
      </x:c>
      <x:c r="C641" t="str">
        <x:v>Doruk Hastaneleri - SİNA ÖZEL Sağlık Hizmetleri A.ş</x:v>
      </x:c>
      <x:c r="D641" t="str">
        <x:v>120202624613730399</x:v>
      </x:c>
      <x:c r="E641" t="str">
        <x:v>CBO / Saç Ekimi - lead / soğuk</x:v>
      </x:c>
      <x:c r="F641" t="str">
        <x:v>OUTCOME_LEADS</x:v>
      </x:c>
      <x:c r="G641" t="n">
        <x:v>3305</x:v>
      </x:c>
      <x:c r="H641" s="28" t="n">
        <x:v>1208.9</x:v>
      </x:c>
      <x:c r="I641" t="n">
        <x:v>4833</x:v>
      </x:c>
      <x:c r="J641" t="n">
        <x:v>49</x:v>
      </x:c>
      <x:c r="K641" t="n">
        <x:v>40</x:v>
      </x:c>
      <x:c r="L641" s="27" t="n">
        <x:f>IFERROR(K641/I641,0)</x:f>
        <x:v>0.008276432857438443</x:v>
      </x:c>
      <x:c r="M641" s="28" t="n">
        <x:f>IFERROR(H641/K641,0)</x:f>
        <x:v>30.222500000000004</x:v>
      </x:c>
      <x:c r="N641" s="28" t="n">
        <x:f>IFERROR(H641/I641*1000,0)</x:f>
        <x:v>250.13449203393338</x:v>
      </x:c>
      <x:c r="O641" t="n">
        <x:v>1.46233</x:v>
      </x:c>
      <x:c r="P641" t="n">
        <x:v>1</x:v>
      </x:c>
      <x:c r="Q641" s="28" t="n">
        <x:v>0</x:v>
      </x:c>
      <x:c r="R641" s="28" t="n">
        <x:v>0</x:v>
      </x:c>
    </x:row>
    <x:row r="642">
      <x:c r="A642" t="str">
        <x:v>2026-08-04</x:v>
      </x:c>
      <x:c r="B642" t="str">
        <x:v>449281783851362</x:v>
      </x:c>
      <x:c r="C642" t="str">
        <x:v>Doruk Hastaneleri - SİNA ÖZEL Sağlık Hizmetleri A.ş</x:v>
      </x:c>
      <x:c r="D642" t="str">
        <x:v>120211731920800399</x:v>
      </x:c>
      <x:c r="E642" t="str">
        <x:v>ABO / Göz Kapağı Estetiği / plastik cerrahi / lead</x:v>
      </x:c>
      <x:c r="F642" t="str">
        <x:v>OUTCOME_LEADS</x:v>
      </x:c>
      <x:c r="G642" t="n">
        <x:v>2783</x:v>
      </x:c>
      <x:c r="H642" s="28" t="n">
        <x:v>318.14</x:v>
      </x:c>
      <x:c r="I642" t="n">
        <x:v>3557</x:v>
      </x:c>
      <x:c r="J642" t="n">
        <x:v>24</x:v>
      </x:c>
      <x:c r="K642" t="n">
        <x:v>10</x:v>
      </x:c>
      <x:c r="L642" s="27" t="n">
        <x:f>IFERROR(K642/I642,0)</x:f>
        <x:v>0.0028113578858588698</x:v>
      </x:c>
      <x:c r="M642" s="28" t="n">
        <x:f>IFERROR(H642/K642,0)</x:f>
        <x:v>31.814</x:v>
      </x:c>
      <x:c r="N642" s="28" t="n">
        <x:f>IFERROR(H642/I642*1000,0)</x:f>
        <x:v>89.44053978071408</x:v>
      </x:c>
      <x:c r="O642" t="n">
        <x:v>1.278117</x:v>
      </x:c>
      <x:c r="P642" t="n">
        <x:v>1</x:v>
      </x:c>
      <x:c r="Q642" s="28" t="n">
        <x:v>0</x:v>
      </x:c>
      <x:c r="R642" s="28" t="n">
        <x:v>0</x:v>
      </x:c>
    </x:row>
    <x:row r="643">
      <x:c r="A643" t="str">
        <x:v>2026-08-04</x:v>
      </x:c>
      <x:c r="B643" t="str">
        <x:v>449281783851362</x:v>
      </x:c>
      <x:c r="C643" t="str">
        <x:v>Doruk Hastaneleri - SİNA ÖZEL Sağlık Hizmetleri A.ş</x:v>
      </x:c>
      <x:c r="D643" t="str">
        <x:v>120211732243050399</x:v>
      </x:c>
      <x:c r="E643" t="str">
        <x:v>ABO /Kepçe Kulak / plastik cerrahi / lead</x:v>
      </x:c>
      <x:c r="F643" t="str">
        <x:v>OUTCOME_LEADS</x:v>
      </x:c>
      <x:c r="G643" t="n">
        <x:v>2864</x:v>
      </x:c>
      <x:c r="H643" s="28" t="n">
        <x:v>324.08</x:v>
      </x:c>
      <x:c r="I643" t="n">
        <x:v>4002</x:v>
      </x:c>
      <x:c r="J643" t="n">
        <x:v>17</x:v>
      </x:c>
      <x:c r="K643" t="n">
        <x:v>10</x:v>
      </x:c>
      <x:c r="L643" s="27" t="n">
        <x:f>IFERROR(K643/I643,0)</x:f>
        <x:v>0.0024987506246876563</x:v>
      </x:c>
      <x:c r="M643" s="28" t="n">
        <x:f>IFERROR(H643/K643,0)</x:f>
        <x:v>32.408</x:v>
      </x:c>
      <x:c r="N643" s="28" t="n">
        <x:f>IFERROR(H643/I643*1000,0)</x:f>
        <x:v>80.97951024487756</x:v>
      </x:c>
      <x:c r="O643" t="n">
        <x:v>1.397346</x:v>
      </x:c>
      <x:c r="P643" t="n">
        <x:v>1</x:v>
      </x:c>
      <x:c r="Q643" s="28" t="n">
        <x:v>0</x:v>
      </x:c>
      <x:c r="R643" s="28" t="n">
        <x:v>0</x:v>
      </x:c>
    </x:row>
    <x:row r="644">
      <x:c r="A644" t="str">
        <x:v>2026-08-04</x:v>
      </x:c>
      <x:c r="B644" t="str">
        <x:v>449281783851362</x:v>
      </x:c>
      <x:c r="C644" t="str">
        <x:v>Doruk Hastaneleri - SİNA ÖZEL Sağlık Hizmetleri A.ş</x:v>
      </x:c>
      <x:c r="D644" t="str">
        <x:v>120211732311210399</x:v>
      </x:c>
      <x:c r="E644" t="str">
        <x:v>ABO / Meme Estetiği / plastik cerrahi / lead</x:v>
      </x:c>
      <x:c r="F644" t="str">
        <x:v>OUTCOME_LEADS</x:v>
      </x:c>
      <x:c r="G644" t="n">
        <x:v>6598</x:v>
      </x:c>
      <x:c r="H644" s="28" t="n">
        <x:v>1135.45</x:v>
      </x:c>
      <x:c r="I644" t="n">
        <x:v>9150</x:v>
      </x:c>
      <x:c r="J644" t="n">
        <x:v>49</x:v>
      </x:c>
      <x:c r="K644" t="n">
        <x:v>28</x:v>
      </x:c>
      <x:c r="L644" s="27" t="n">
        <x:f>IFERROR(K644/I644,0)</x:f>
        <x:v>0.0030601092896174863</x:v>
      </x:c>
      <x:c r="M644" s="28" t="n">
        <x:f>IFERROR(H644/K644,0)</x:f>
        <x:v>40.551785714285714</x:v>
      </x:c>
      <x:c r="N644" s="28" t="n">
        <x:f>IFERROR(H644/I644*1000,0)</x:f>
        <x:v>124.0928961748634</x:v>
      </x:c>
      <x:c r="O644" t="n">
        <x:v>1.386784</x:v>
      </x:c>
      <x:c r="P644" t="n">
        <x:v>1</x:v>
      </x:c>
      <x:c r="Q644" s="28" t="n">
        <x:v>0</x:v>
      </x:c>
      <x:c r="R644" s="28" t="n">
        <x:v>0</x:v>
      </x:c>
    </x:row>
    <x:row r="645">
      <x:c r="A645" t="str">
        <x:v>2026-08-04</x:v>
      </x:c>
      <x:c r="B645" t="str">
        <x:v>449281783851362</x:v>
      </x:c>
      <x:c r="C645" t="str">
        <x:v>Doruk Hastaneleri - SİNA ÖZEL Sağlık Hizmetleri A.ş</x:v>
      </x:c>
      <x:c r="D645" t="str">
        <x:v>120211732618490399</x:v>
      </x:c>
      <x:c r="E645" t="str">
        <x:v>ABO /Jinekomasti / plastik cerrahi / lead</x:v>
      </x:c>
      <x:c r="F645" t="str">
        <x:v>OUTCOME_LEADS</x:v>
      </x:c>
      <x:c r="G645" t="n">
        <x:v>2694</x:v>
      </x:c>
      <x:c r="H645" s="28" t="n">
        <x:v>322.65</x:v>
      </x:c>
      <x:c r="I645" t="n">
        <x:v>3452</x:v>
      </x:c>
      <x:c r="J645" t="n">
        <x:v>27</x:v>
      </x:c>
      <x:c r="K645" t="n">
        <x:v>19</x:v>
      </x:c>
      <x:c r="L645" s="27" t="n">
        <x:f>IFERROR(K645/I645,0)</x:f>
        <x:v>0.005504055619930475</x:v>
      </x:c>
      <x:c r="M645" s="28" t="n">
        <x:f>IFERROR(H645/K645,0)</x:f>
        <x:v>16.98157894736842</x:v>
      </x:c>
      <x:c r="N645" s="28" t="n">
        <x:f>IFERROR(H645/I645*1000,0)</x:f>
        <x:v>93.46755504055619</x:v>
      </x:c>
      <x:c r="O645" t="n">
        <x:v>1.281366</x:v>
      </x:c>
      <x:c r="P645" t="n">
        <x:v>2</x:v>
      </x:c>
      <x:c r="Q645" s="28" t="n">
        <x:v>0</x:v>
      </x:c>
      <x:c r="R645" s="28" t="n">
        <x:v>0</x:v>
      </x:c>
    </x:row>
    <x:row r="646">
      <x:c r="A646" t="str">
        <x:v>2026-08-04</x:v>
      </x:c>
      <x:c r="B646" t="str">
        <x:v>449281783851362</x:v>
      </x:c>
      <x:c r="C646" t="str">
        <x:v>Doruk Hastaneleri - SİNA ÖZEL Sağlık Hizmetleri A.ş</x:v>
      </x:c>
      <x:c r="D646" t="str">
        <x:v>120211732654260399</x:v>
      </x:c>
      <x:c r="E646" t="str">
        <x:v>ABO / Rinoplasti / plastik cerrahi / lead</x:v>
      </x:c>
      <x:c r="F646" t="str">
        <x:v>OUTCOME_LEADS</x:v>
      </x:c>
      <x:c r="G646" t="n">
        <x:v>5806</x:v>
      </x:c>
      <x:c r="H646" s="28" t="n">
        <x:v>874.35</x:v>
      </x:c>
      <x:c r="I646" t="n">
        <x:v>7844</x:v>
      </x:c>
      <x:c r="J646" t="n">
        <x:v>39</x:v>
      </x:c>
      <x:c r="K646" t="n">
        <x:v>23</x:v>
      </x:c>
      <x:c r="L646" s="27" t="n">
        <x:f>IFERROR(K646/I646,0)</x:f>
        <x:v>0.002932177460479347</x:v>
      </x:c>
      <x:c r="M646" s="28" t="n">
        <x:f>IFERROR(H646/K646,0)</x:f>
        <x:v>38.01521739130435</x:v>
      </x:c>
      <x:c r="N646" s="28" t="n">
        <x:f>IFERROR(H646/I646*1000,0)</x:f>
        <x:v>111.4673635900051</x:v>
      </x:c>
      <x:c r="O646" t="n">
        <x:v>1.351016</x:v>
      </x:c>
      <x:c r="P646" t="n">
        <x:v>1</x:v>
      </x:c>
      <x:c r="Q646" s="28" t="n">
        <x:v>0</x:v>
      </x:c>
      <x:c r="R646" s="28" t="n">
        <x:v>0</x:v>
      </x:c>
    </x:row>
    <x:row r="647">
      <x:c r="A647" t="str">
        <x:v>2026-08-04</x:v>
      </x:c>
      <x:c r="B647" t="str">
        <x:v>449281783851362</x:v>
      </x:c>
      <x:c r="C647" t="str">
        <x:v>Doruk Hastaneleri - SİNA ÖZEL Sağlık Hizmetleri A.ş</x:v>
      </x:c>
      <x:c r="D647" t="str">
        <x:v>120211732712890399</x:v>
      </x:c>
      <x:c r="E647" t="str">
        <x:v>ABO / Vücut Şekillendirme / plastik cerrahi / lead</x:v>
      </x:c>
      <x:c r="F647" t="str">
        <x:v>OUTCOME_LEADS</x:v>
      </x:c>
      <x:c r="G647" t="n">
        <x:v>990</x:v>
      </x:c>
      <x:c r="H647" s="28" t="n">
        <x:v>333.36</x:v>
      </x:c>
      <x:c r="I647" t="n">
        <x:v>1394</x:v>
      </x:c>
      <x:c r="J647" t="n">
        <x:v>23</x:v>
      </x:c>
      <x:c r="K647" t="n">
        <x:v>10</x:v>
      </x:c>
      <x:c r="L647" s="27" t="n">
        <x:f>IFERROR(K647/I647,0)</x:f>
        <x:v>0.007173601147776184</x:v>
      </x:c>
      <x:c r="M647" s="28" t="n">
        <x:f>IFERROR(H647/K647,0)</x:f>
        <x:v>33.336</x:v>
      </x:c>
      <x:c r="N647" s="28" t="n">
        <x:f>IFERROR(H647/I647*1000,0)</x:f>
        <x:v>239.13916786226685</x:v>
      </x:c>
      <x:c r="O647" t="n">
        <x:v>1.408081</x:v>
      </x:c>
      <x:c r="P647" t="n">
        <x:v>3</x:v>
      </x:c>
      <x:c r="Q647" s="28" t="n">
        <x:v>0</x:v>
      </x:c>
      <x:c r="R647" s="28" t="n">
        <x:v>0</x:v>
      </x:c>
    </x:row>
    <x:row r="648">
      <x:c r="A648" t="str">
        <x:v>2026-08-04</x:v>
      </x:c>
      <x:c r="B648" t="str">
        <x:v>449281783851362</x:v>
      </x:c>
      <x:c r="C648" t="str">
        <x:v>Doruk Hastaneleri - SİNA ÖZEL Sağlık Hizmetleri A.ş</x:v>
      </x:c>
      <x:c r="D648" t="str">
        <x:v>120211732754080399</x:v>
      </x:c>
      <x:c r="E648" t="str">
        <x:v>ABO / Yüz Germe (Facelift) / plastik cerrahi / lead</x:v>
      </x:c>
      <x:c r="F648" t="str">
        <x:v>OUTCOME_LEADS</x:v>
      </x:c>
      <x:c r="G648" t="n">
        <x:v>879</x:v>
      </x:c>
      <x:c r="H648" s="28" t="n">
        <x:v>350.96</x:v>
      </x:c>
      <x:c r="I648" t="n">
        <x:v>1188</x:v>
      </x:c>
      <x:c r="J648" t="n">
        <x:v>18</x:v>
      </x:c>
      <x:c r="K648" t="n">
        <x:v>8</x:v>
      </x:c>
      <x:c r="L648" s="27" t="n">
        <x:f>IFERROR(K648/I648,0)</x:f>
        <x:v>0.006734006734006734</x:v>
      </x:c>
      <x:c r="M648" s="28" t="n">
        <x:f>IFERROR(H648/K648,0)</x:f>
        <x:v>43.87</x:v>
      </x:c>
      <x:c r="N648" s="28" t="n">
        <x:f>IFERROR(H648/I648*1000,0)</x:f>
        <x:v>295.4208754208754</x:v>
      </x:c>
      <x:c r="O648" t="n">
        <x:v>1.351536</x:v>
      </x:c>
      <x:c r="P648" t="n">
        <x:v>0</x:v>
      </x:c>
      <x:c r="Q648" s="28" t="n">
        <x:v>0</x:v>
      </x:c>
      <x:c r="R648" s="28" t="n">
        <x:v>0</x:v>
      </x:c>
    </x:row>
    <x:row r="649">
      <x:c r="A649" t="str">
        <x:v>2026-08-04</x:v>
      </x:c>
      <x:c r="B649" t="str">
        <x:v>449281783851362</x:v>
      </x:c>
      <x:c r="C649" t="str">
        <x:v>Doruk Hastaneleri - SİNA ÖZEL Sağlık Hizmetleri A.ş</x:v>
      </x:c>
      <x:c r="D649" t="str">
        <x:v>120214167265870399</x:v>
      </x:c>
      <x:c r="E649" t="str">
        <x:v>Baş Dönmesi ve Denge Ünitesi / lead</x:v>
      </x:c>
      <x:c r="F649" t="str">
        <x:v>OUTCOME_LEADS</x:v>
      </x:c>
      <x:c r="G649" t="n">
        <x:v>6757</x:v>
      </x:c>
      <x:c r="H649" s="28" t="n">
        <x:v>431</x:v>
      </x:c>
      <x:c r="I649" t="n">
        <x:v>8361</x:v>
      </x:c>
      <x:c r="J649" t="n">
        <x:v>122</x:v>
      </x:c>
      <x:c r="K649" t="n">
        <x:v>61</x:v>
      </x:c>
      <x:c r="L649" s="27" t="n">
        <x:f>IFERROR(K649/I649,0)</x:f>
        <x:v>0.007295778016983614</x:v>
      </x:c>
      <x:c r="M649" s="28" t="n">
        <x:f>IFERROR(H649/K649,0)</x:f>
        <x:v>7.065573770491803</x:v>
      </x:c>
      <x:c r="N649" s="28" t="n">
        <x:f>IFERROR(H649/I649*1000,0)</x:f>
        <x:v>51.54885779213013</x:v>
      </x:c>
      <x:c r="O649" t="n">
        <x:v>1.237383</x:v>
      </x:c>
      <x:c r="P649" t="n">
        <x:v>4</x:v>
      </x:c>
      <x:c r="Q649" s="28" t="n">
        <x:v>0</x:v>
      </x:c>
      <x:c r="R649" s="28" t="n">
        <x:v>0</x:v>
      </x:c>
    </x:row>
    <x:row r="650">
      <x:c r="A650" t="str">
        <x:v>2026-08-04</x:v>
      </x:c>
      <x:c r="B650" t="str">
        <x:v>449281783851362</x:v>
      </x:c>
      <x:c r="C650" t="str">
        <x:v>Doruk Hastaneleri - SİNA ÖZEL Sağlık Hizmetleri A.ş</x:v>
      </x:c>
      <x:c r="D650" t="str">
        <x:v>120220089108220399</x:v>
      </x:c>
      <x:c r="E650" t="str">
        <x:v>Checkup - genel - lead</x:v>
      </x:c>
      <x:c r="F650" t="str">
        <x:v>OUTCOME_LEADS</x:v>
      </x:c>
      <x:c r="G650" t="n">
        <x:v>7330</x:v>
      </x:c>
      <x:c r="H650" s="28" t="n">
        <x:v>1142.91</x:v>
      </x:c>
      <x:c r="I650" t="n">
        <x:v>9572</x:v>
      </x:c>
      <x:c r="J650" t="n">
        <x:v>76</x:v>
      </x:c>
      <x:c r="K650" t="n">
        <x:v>46</x:v>
      </x:c>
      <x:c r="L650" s="27" t="n">
        <x:f>IFERROR(K650/I650,0)</x:f>
        <x:v>0.004805683242791475</x:v>
      </x:c>
      <x:c r="M650" s="28" t="n">
        <x:f>IFERROR(H650/K650,0)</x:f>
        <x:v>24.84586956521739</x:v>
      </x:c>
      <x:c r="N650" s="28" t="n">
        <x:f>IFERROR(H650/I650*1000,0)</x:f>
        <x:v>119.40137902214794</x:v>
      </x:c>
      <x:c r="O650" t="n">
        <x:v>1.305866</x:v>
      </x:c>
      <x:c r="P650" t="n">
        <x:v>4</x:v>
      </x:c>
      <x:c r="Q650" s="28" t="n">
        <x:v>0</x:v>
      </x:c>
      <x:c r="R650" s="28" t="n">
        <x:v>0</x:v>
      </x:c>
    </x:row>
    <x:row r="651">
      <x:c r="A651" t="str">
        <x:v>2026-08-04</x:v>
      </x:c>
      <x:c r="B651" t="str">
        <x:v>170008509278498</x:v>
      </x:c>
      <x:c r="C651" t="str">
        <x:v>Doruk Hospital</x:v>
      </x:c>
      <x:c r="D651" t="str">
        <x:v>120238651325780080</x:v>
      </x:c>
      <x:c r="E651" t="str">
        <x:v>Whatsapp - Fizik Tedavi - Intensive FTR - Arap Bölgesi - Tümü - AR - Doruk İlaj Turkia</x:v>
      </x:c>
      <x:c r="F651" t="str">
        <x:v>OUTCOME_LEADS</x:v>
      </x:c>
      <x:c r="G651" t="n">
        <x:v>0</x:v>
      </x:c>
      <x:c r="H651" s="28" t="n">
        <x:v>0</x:v>
      </x:c>
      <x:c r="I651" t="n">
        <x:v>0</x:v>
      </x:c>
      <x:c r="J651" t="n">
        <x:v>0</x:v>
      </x:c>
      <x:c r="K651" t="n">
        <x:v>0</x:v>
      </x:c>
      <x:c r="L651" s="27" t="n">
        <x:f>IFERROR(K651/I651,0)</x:f>
        <x:v>0</x:v>
      </x:c>
      <x:c r="M651" s="28" t="n">
        <x:f>IFERROR(H651/K651,0)</x:f>
        <x:v>0</x:v>
      </x:c>
      <x:c r="N651" s="28" t="n">
        <x:f>IFERROR(H651/I651*1000,0)</x:f>
        <x:v>0</x:v>
      </x:c>
      <x:c r="O651" t="n">
        <x:v>0</x:v>
      </x:c>
      <x:c r="P651" t="n">
        <x:v>0</x:v>
      </x:c>
      <x:c r="Q651" s="28" t="n">
        <x:v>0</x:v>
      </x:c>
      <x:c r="R651" s="28" t="n">
        <x:v>0</x:v>
      </x:c>
    </x:row>
    <x:row r="652">
      <x:c r="A652" t="str">
        <x:v>2026-08-04</x:v>
      </x:c>
      <x:c r="B652" t="str">
        <x:v>449281783851362</x:v>
      </x:c>
      <x:c r="C652" t="str">
        <x:v>Doruk Hastaneleri - SİNA ÖZEL Sağlık Hizmetleri A.ş</x:v>
      </x:c>
      <x:c r="D652" t="str">
        <x:v>120242415465180399</x:v>
      </x:c>
      <x:c r="E652" t="str">
        <x:v>Gebe-Doğum Form Kampanyası</x:v>
      </x:c>
      <x:c r="F652" t="str">
        <x:v>OUTCOME_LEADS</x:v>
      </x:c>
      <x:c r="G652" t="n">
        <x:v>49412</x:v>
      </x:c>
      <x:c r="H652" s="28" t="n">
        <x:v>9562.13</x:v>
      </x:c>
      <x:c r="I652" t="n">
        <x:v>94016</x:v>
      </x:c>
      <x:c r="J652" t="n">
        <x:v>645</x:v>
      </x:c>
      <x:c r="K652" t="n">
        <x:v>483</x:v>
      </x:c>
      <x:c r="L652" s="27" t="n">
        <x:f>IFERROR(K652/I652,0)</x:f>
        <x:v>0.005137423417290674</x:v>
      </x:c>
      <x:c r="M652" s="28" t="n">
        <x:f>IFERROR(H652/K652,0)</x:f>
        <x:v>19.797370600414077</x:v>
      </x:c>
      <x:c r="N652" s="28" t="n">
        <x:f>IFERROR(H652/I652*1000,0)</x:f>
        <x:v>101.70747532334921</x:v>
      </x:c>
      <x:c r="O652" t="n">
        <x:v>1.902696</x:v>
      </x:c>
      <x:c r="P652" t="n">
        <x:v>54</x:v>
      </x:c>
      <x:c r="Q652" s="28" t="n">
        <x:v>0</x:v>
      </x:c>
      <x:c r="R652" s="28" t="n">
        <x:v>0</x:v>
      </x:c>
    </x:row>
    <x:row r="653">
      <x:c r="A653" t="str">
        <x:v>2026-08-04</x:v>
      </x:c>
      <x:c r="B653" t="str">
        <x:v>449281783851362</x:v>
      </x:c>
      <x:c r="C653" t="str">
        <x:v>Doruk Hastaneleri - SİNA ÖZEL Sağlık Hizmetleri A.ş</x:v>
      </x:c>
      <x:c r="D653" t="str">
        <x:v>120244050701710399</x:v>
      </x:c>
      <x:c r="E653" t="str">
        <x:v>Uzman Hekim Başvuru</x:v>
      </x:c>
      <x:c r="F653" t="str">
        <x:v>OUTCOME_LEADS</x:v>
      </x:c>
      <x:c r="G653" t="n">
        <x:v>8268</x:v>
      </x:c>
      <x:c r="H653" s="28" t="n">
        <x:v>1223.29</x:v>
      </x:c>
      <x:c r="I653" t="n">
        <x:v>10520</x:v>
      </x:c>
      <x:c r="J653" t="n">
        <x:v>128</x:v>
      </x:c>
      <x:c r="K653" t="n">
        <x:v>65</x:v>
      </x:c>
      <x:c r="L653" s="27" t="n">
        <x:f>IFERROR(K653/I653,0)</x:f>
        <x:v>0.006178707224334601</x:v>
      </x:c>
      <x:c r="M653" s="28" t="n">
        <x:f>IFERROR(H653/K653,0)</x:f>
        <x:v>18.819846153846154</x:v>
      </x:c>
      <x:c r="N653" s="28" t="n">
        <x:f>IFERROR(H653/I653*1000,0)</x:f>
        <x:v>116.28231939163499</x:v>
      </x:c>
      <x:c r="O653" t="n">
        <x:v>1.272375</x:v>
      </x:c>
      <x:c r="P653" t="n">
        <x:v>8</x:v>
      </x:c>
      <x:c r="Q653" s="28" t="n">
        <x:v>0</x:v>
      </x:c>
      <x:c r="R653" s="28" t="n">
        <x:v>0</x:v>
      </x:c>
    </x:row>
    <x:row r="654">
      <x:c r="A654" t="str">
        <x:v>2026-08-04</x:v>
      </x:c>
      <x:c r="B654" t="str">
        <x:v>449281783851362</x:v>
      </x:c>
      <x:c r="C654" t="str">
        <x:v>Doruk Hastaneleri - SİNA ÖZEL Sağlık Hizmetleri A.ş</x:v>
      </x:c>
      <x:c r="D654" t="str">
        <x:v>120246476228800399</x:v>
      </x:c>
      <x:c r="E654" t="str">
        <x:v>FTR Yatılı - lead</x:v>
      </x:c>
      <x:c r="F654" t="str">
        <x:v>OUTCOME_LEADS</x:v>
      </x:c>
      <x:c r="G654" t="n">
        <x:v>34766</x:v>
      </x:c>
      <x:c r="H654" s="28" t="n">
        <x:v>5418.54</x:v>
      </x:c>
      <x:c r="I654" t="n">
        <x:v>45953</x:v>
      </x:c>
      <x:c r="J654" t="n">
        <x:v>352</x:v>
      </x:c>
      <x:c r="K654" t="n">
        <x:v>193</x:v>
      </x:c>
      <x:c r="L654" s="27" t="n">
        <x:f>IFERROR(K654/I654,0)</x:f>
        <x:v>0.004199943420451331</x:v>
      </x:c>
      <x:c r="M654" s="28" t="n">
        <x:f>IFERROR(H654/K654,0)</x:f>
        <x:v>28.075336787564765</x:v>
      </x:c>
      <x:c r="N654" s="28" t="n">
        <x:f>IFERROR(H654/I654*1000,0)</x:f>
        <x:v>117.91482601788785</x:v>
      </x:c>
      <x:c r="O654" t="n">
        <x:v>1.32178</x:v>
      </x:c>
      <x:c r="P654" t="n">
        <x:v>4</x:v>
      </x:c>
      <x:c r="Q654" s="28" t="n">
        <x:v>0</x:v>
      </x:c>
      <x:c r="R654" s="28" t="n">
        <x:v>0</x:v>
      </x:c>
    </x:row>
    <x:row r="655">
      <x:c r="A655" t="str">
        <x:v>2026-08-04</x:v>
      </x:c>
      <x:c r="B655" t="str">
        <x:v>449281783851362</x:v>
      </x:c>
      <x:c r="C655" t="str">
        <x:v>Doruk Hastaneleri - SİNA ÖZEL Sağlık Hizmetleri A.ş</x:v>
      </x:c>
      <x:c r="D655" t="str">
        <x:v>120246691590090399</x:v>
      </x:c>
      <x:c r="E655" t="str">
        <x:v>Hemşire İş Başvuru - lead</x:v>
      </x:c>
      <x:c r="F655" t="str">
        <x:v>OUTCOME_LEADS</x:v>
      </x:c>
      <x:c r="G655" t="n">
        <x:v>13304</x:v>
      </x:c>
      <x:c r="H655" s="28" t="n">
        <x:v>1220.56</x:v>
      </x:c>
      <x:c r="I655" t="n">
        <x:v>22133</x:v>
      </x:c>
      <x:c r="J655" t="n">
        <x:v>164</x:v>
      </x:c>
      <x:c r="K655" t="n">
        <x:v>117</x:v>
      </x:c>
      <x:c r="L655" s="27" t="n">
        <x:f>IFERROR(K655/I655,0)</x:f>
        <x:v>0.005286224190123345</x:v>
      </x:c>
      <x:c r="M655" s="28" t="n">
        <x:f>IFERROR(H655/K655,0)</x:f>
        <x:v>10.432136752136751</x:v>
      </x:c>
      <x:c r="N655" s="28" t="n">
        <x:f>IFERROR(H655/I655*1000,0)</x:f>
        <x:v>55.14661365382008</x:v>
      </x:c>
      <x:c r="O655" t="n">
        <x:v>1.663635</x:v>
      </x:c>
      <x:c r="P655" t="n">
        <x:v>9</x:v>
      </x:c>
      <x:c r="Q655" s="28" t="n">
        <x:v>0</x:v>
      </x:c>
      <x:c r="R655" s="28" t="n">
        <x:v>0</x:v>
      </x:c>
    </x:row>
    <x:row r="656">
      <x:c r="A656" t="str">
        <x:v>2026-08-04</x:v>
      </x:c>
      <x:c r="B656" t="str">
        <x:v>449281783851362</x:v>
      </x:c>
      <x:c r="C656" t="str">
        <x:v>Doruk Hastaneleri - SİNA ÖZEL Sağlık Hizmetleri A.ş</x:v>
      </x:c>
      <x:c r="D656" t="str">
        <x:v>120246924981440399</x:v>
      </x:c>
      <x:c r="E656" t="str">
        <x:v>ÖSS-TSS - marka bilinirliği</x:v>
      </x:c>
      <x:c r="F656" t="str">
        <x:v>OUTCOME_AWARENESS</x:v>
      </x:c>
      <x:c r="G656" t="n">
        <x:v>176495</x:v>
      </x:c>
      <x:c r="H656" s="28" t="n">
        <x:v>2405.32</x:v>
      </x:c>
      <x:c r="I656" t="n">
        <x:v>181013</x:v>
      </x:c>
      <x:c r="J656" t="n">
        <x:v>163</x:v>
      </x:c>
      <x:c r="K656" t="n">
        <x:v>38</x:v>
      </x:c>
      <x:c r="L656" s="27" t="n">
        <x:f>IFERROR(K656/I656,0)</x:f>
        <x:v>0.00020992967355935762</x:v>
      </x:c>
      <x:c r="M656" s="28" t="n">
        <x:f>IFERROR(H656/K656,0)</x:f>
        <x:v>63.29789473684211</x:v>
      </x:c>
      <x:c r="N656" s="28" t="n">
        <x:f>IFERROR(H656/I656*1000,0)</x:f>
        <x:v>13.288106379099844</x:v>
      </x:c>
      <x:c r="O656" t="n">
        <x:v>1.025598</x:v>
      </x:c>
      <x:c r="P656" t="n">
        <x:v>0</x:v>
      </x:c>
      <x:c r="Q656" s="28" t="n">
        <x:v>0</x:v>
      </x:c>
      <x:c r="R656" s="28" t="n">
        <x:v>0</x:v>
      </x:c>
    </x:row>
    <x:row r="657">
      <x:c r="A657" t="str">
        <x:v>2026-08-04</x:v>
      </x:c>
      <x:c r="B657" t="str">
        <x:v>449281783851362</x:v>
      </x:c>
      <x:c r="C657" t="str">
        <x:v>Doruk Hastaneleri - SİNA ÖZEL Sağlık Hizmetleri A.ş</x:v>
      </x:c>
      <x:c r="D657" t="str">
        <x:v>120247034876600399</x:v>
      </x:c>
      <x:c r="E657" t="str">
        <x:v>Gebe-Doğum Bilinirlik</x:v>
      </x:c>
      <x:c r="F657" t="str">
        <x:v>OUTCOME_AWARENESS</x:v>
      </x:c>
      <x:c r="G657" t="n">
        <x:v>139619</x:v>
      </x:c>
      <x:c r="H657" s="28" t="n">
        <x:v>1265.25</x:v>
      </x:c>
      <x:c r="I657" t="n">
        <x:v>139619</x:v>
      </x:c>
      <x:c r="J657" t="n">
        <x:v>132</x:v>
      </x:c>
      <x:c r="K657" t="n">
        <x:v>1</x:v>
      </x:c>
      <x:c r="L657" s="27" t="n">
        <x:f>IFERROR(K657/I657,0)</x:f>
        <x:v>0.000007162348963966222</x:v>
      </x:c>
      <x:c r="M657" s="28" t="n">
        <x:f>IFERROR(H657/K657,0)</x:f>
        <x:v>1265.25</x:v>
      </x:c>
      <x:c r="N657" s="28" t="n">
        <x:f>IFERROR(H657/I657*1000,0)</x:f>
        <x:v>9.062162026658262</x:v>
      </x:c>
      <x:c r="O657" t="n">
        <x:v>1</x:v>
      </x:c>
      <x:c r="P657" t="n">
        <x:v>0</x:v>
      </x:c>
      <x:c r="Q657" s="28" t="n">
        <x:v>0</x:v>
      </x:c>
      <x:c r="R657" s="28" t="n">
        <x:v>0</x:v>
      </x:c>
    </x:row>
    <x:row r="658">
      <x:c r="A658" t="str">
        <x:v>2026-08-04</x:v>
      </x:c>
      <x:c r="B658" t="str">
        <x:v>449281783851362</x:v>
      </x:c>
      <x:c r="C658" t="str">
        <x:v>Doruk Hastaneleri - SİNA ÖZEL Sağlık Hizmetleri A.ş</x:v>
      </x:c>
      <x:c r="D658" t="str">
        <x:v>120248812698040399</x:v>
      </x:c>
      <x:c r="E658" t="str">
        <x:v>ABO / Medikal Estetik lead / 16.04.2026</x:v>
      </x:c>
      <x:c r="F658" t="str">
        <x:v>OUTCOME_LEADS</x:v>
      </x:c>
      <x:c r="G658" t="n">
        <x:v>25452</x:v>
      </x:c>
      <x:c r="H658" s="28" t="n">
        <x:v>3230.08</x:v>
      </x:c>
      <x:c r="I658" t="n">
        <x:v>31697</x:v>
      </x:c>
      <x:c r="J658" t="n">
        <x:v>297</x:v>
      </x:c>
      <x:c r="K658" t="n">
        <x:v>127</x:v>
      </x:c>
      <x:c r="L658" s="27" t="n">
        <x:f>IFERROR(K658/I658,0)</x:f>
        <x:v>0.004006688330125879</x:v>
      </x:c>
      <x:c r="M658" s="28" t="n">
        <x:f>IFERROR(H658/K658,0)</x:f>
        <x:v>25.433700787401573</x:v>
      </x:c>
      <x:c r="N658" s="28" t="n">
        <x:f>IFERROR(H658/I658*1000,0)</x:f>
        <x:v>101.90491213679529</x:v>
      </x:c>
      <x:c r="O658" t="n">
        <x:v>1.245364</x:v>
      </x:c>
      <x:c r="P658" t="n">
        <x:v>28</x:v>
      </x:c>
      <x:c r="Q658" s="28" t="n">
        <x:v>0</x:v>
      </x:c>
      <x:c r="R658" s="28" t="n">
        <x:v>0</x:v>
      </x:c>
    </x:row>
    <x:row r="659">
      <x:c r="A659" t="str">
        <x:v>2026-08-04</x:v>
      </x:c>
      <x:c r="B659" t="str">
        <x:v>449281783851362</x:v>
      </x:c>
      <x:c r="C659" t="str">
        <x:v>Doruk Hastaneleri - SİNA ÖZEL Sağlık Hizmetleri A.ş</x:v>
      </x:c>
      <x:c r="D659" t="str">
        <x:v>120249061996540399</x:v>
      </x:c>
      <x:c r="E659" t="str">
        <x:v>Doktor - Bilinirlik Kampanyası - Nilüfer</x:v>
      </x:c>
      <x:c r="F659" t="str">
        <x:v>OUTCOME_AWARENESS</x:v>
      </x:c>
      <x:c r="G659" t="n">
        <x:v>698830</x:v>
      </x:c>
      <x:c r="H659" s="28" t="n">
        <x:v>6332.92</x:v>
      </x:c>
      <x:c r="I659" t="n">
        <x:v>787433</x:v>
      </x:c>
      <x:c r="J659" t="n">
        <x:v>469</x:v>
      </x:c>
      <x:c r="K659" t="n">
        <x:v>1</x:v>
      </x:c>
      <x:c r="L659" s="27" t="n">
        <x:f>IFERROR(K659/I659,0)</x:f>
        <x:v>0.0000012699493163227855</x:v>
      </x:c>
      <x:c r="M659" s="28" t="n">
        <x:f>IFERROR(H659/K659,0)</x:f>
        <x:v>6332.92</x:v>
      </x:c>
      <x:c r="N659" s="28" t="n">
        <x:f>IFERROR(H659/I659*1000,0)</x:f>
        <x:v>8.042487424326895</x:v>
      </x:c>
      <x:c r="O659" t="n">
        <x:v>1.126788</x:v>
      </x:c>
      <x:c r="P659" t="n">
        <x:v>0</x:v>
      </x:c>
      <x:c r="Q659" s="28" t="n">
        <x:v>0</x:v>
      </x:c>
      <x:c r="R659" s="28" t="n">
        <x:v>0</x:v>
      </x:c>
    </x:row>
    <x:row r="660">
      <x:c r="A660" t="str">
        <x:v>2026-08-04</x:v>
      </x:c>
      <x:c r="B660" t="str">
        <x:v>449281783851362</x:v>
      </x:c>
      <x:c r="C660" t="str">
        <x:v>Doruk Hastaneleri - SİNA ÖZEL Sağlık Hizmetleri A.ş</x:v>
      </x:c>
      <x:c r="D660" t="str">
        <x:v>120249614228610399</x:v>
      </x:c>
      <x:c r="E660" t="str">
        <x:v>Instagram gönderisi: Bir sezon boyunca ortaya...</x:v>
      </x:c>
      <x:c r="F660" t="str">
        <x:v>LINK_CLICKS</x:v>
      </x:c>
      <x:c r="G660" t="n">
        <x:v>83550</x:v>
      </x:c>
      <x:c r="H660" s="28" t="n">
        <x:v>4929.39</x:v>
      </x:c>
      <x:c r="I660" t="n">
        <x:v>97929</x:v>
      </x:c>
      <x:c r="J660" t="n">
        <x:v>1129</x:v>
      </x:c>
      <x:c r="K660" t="n">
        <x:v>1125</x:v>
      </x:c>
      <x:c r="L660" s="27" t="n">
        <x:f>IFERROR(K660/I660,0)</x:f>
        <x:v>0.011487914713721166</x:v>
      </x:c>
      <x:c r="M660" s="28" t="n">
        <x:f>IFERROR(H660/K660,0)</x:f>
        <x:v>4.38168</x:v>
      </x:c>
      <x:c r="N660" s="28" t="n">
        <x:f>IFERROR(H660/I660*1000,0)</x:f>
        <x:v>50.33636614281776</x:v>
      </x:c>
      <x:c r="O660" t="n">
        <x:v>1.172101</x:v>
      </x:c>
      <x:c r="P660" t="n">
        <x:v>0</x:v>
      </x:c>
      <x:c r="Q660" s="28" t="n">
        <x:v>0</x:v>
      </x:c>
      <x:c r="R660" s="28" t="n">
        <x:v>0</x:v>
      </x:c>
    </x:row>
    <x:row r="661">
      <x:c r="A661" t="str">
        <x:v>2026-08-04</x:v>
      </x:c>
      <x:c r="B661" t="str">
        <x:v>449281783851362</x:v>
      </x:c>
      <x:c r="C661" t="str">
        <x:v>Doruk Hastaneleri - SİNA ÖZEL Sağlık Hizmetleri A.ş</x:v>
      </x:c>
      <x:c r="D661" t="str">
        <x:v>120251414264130399</x:v>
      </x:c>
      <x:c r="E661" t="str">
        <x:v>Prostat Checkup - lead</x:v>
      </x:c>
      <x:c r="F661" t="str">
        <x:v>OUTCOME_LEADS</x:v>
      </x:c>
      <x:c r="G661" t="n">
        <x:v>6315</x:v>
      </x:c>
      <x:c r="H661" s="28" t="n">
        <x:v>618.61</x:v>
      </x:c>
      <x:c r="I661" t="n">
        <x:v>7863</x:v>
      </x:c>
      <x:c r="J661" t="n">
        <x:v>247</x:v>
      </x:c>
      <x:c r="K661" t="n">
        <x:v>73</x:v>
      </x:c>
      <x:c r="L661" s="27" t="n">
        <x:f>IFERROR(K661/I661,0)</x:f>
        <x:v>0.009283988299631184</x:v>
      </x:c>
      <x:c r="M661" s="28" t="n">
        <x:f>IFERROR(H661/K661,0)</x:f>
        <x:v>8.474109589041095</x:v>
      </x:c>
      <x:c r="N661" s="28" t="n">
        <x:f>IFERROR(H661/I661*1000,0)</x:f>
        <x:v>78.67353427444995</x:v>
      </x:c>
      <x:c r="O661" t="n">
        <x:v>1.245131</x:v>
      </x:c>
      <x:c r="P661" t="n">
        <x:v>4</x:v>
      </x:c>
      <x:c r="Q661" s="28" t="n">
        <x:v>0</x:v>
      </x:c>
      <x:c r="R661" s="28" t="n">
        <x:v>0</x:v>
      </x:c>
    </x:row>
    <x:row r="662">
      <x:c r="A662" t="str">
        <x:v>2026-08-04</x:v>
      </x:c>
      <x:c r="B662" t="str">
        <x:v>449281783851362</x:v>
      </x:c>
      <x:c r="C662" t="str">
        <x:v>Doruk Hastaneleri - SİNA ÖZEL Sağlık Hizmetleri A.ş</x:v>
      </x:c>
      <x:c r="D662" t="str">
        <x:v>120252323141170399</x:v>
      </x:c>
      <x:c r="E662" t="str">
        <x:v>Instagram gönderisi: Medikal estetik alanındaki...</x:v>
      </x:c>
      <x:c r="F662" t="str">
        <x:v>LINK_CLICKS</x:v>
      </x:c>
      <x:c r="G662" t="n">
        <x:v>9093</x:v>
      </x:c>
      <x:c r="H662" s="28" t="n">
        <x:v>558.51</x:v>
      </x:c>
      <x:c r="I662" t="n">
        <x:v>9703</x:v>
      </x:c>
      <x:c r="J662" t="n">
        <x:v>162</x:v>
      </x:c>
      <x:c r="K662" t="n">
        <x:v>159</x:v>
      </x:c>
      <x:c r="L662" s="27" t="n">
        <x:f>IFERROR(K662/I662,0)</x:f>
        <x:v>0.01638668453055756</x:v>
      </x:c>
      <x:c r="M662" s="28" t="n">
        <x:f>IFERROR(H662/K662,0)</x:f>
        <x:v>3.512641509433962</x:v>
      </x:c>
      <x:c r="N662" s="28" t="n">
        <x:f>IFERROR(H662/I662*1000,0)</x:f>
        <x:v>57.56054828403587</x:v>
      </x:c>
      <x:c r="O662" t="n">
        <x:v>1.067085</x:v>
      </x:c>
      <x:c r="P662" t="n">
        <x:v>0</x:v>
      </x:c>
      <x:c r="Q662" s="28" t="n">
        <x:v>0</x:v>
      </x:c>
      <x:c r="R662" s="28" t="n">
        <x:v>0</x:v>
      </x:c>
    </x:row>
    <x:row r="663">
      <x:c r="A663" t="str">
        <x:v>2026-08-04</x:v>
      </x:c>
      <x:c r="B663" t="str">
        <x:v>449281783851362</x:v>
      </x:c>
      <x:c r="C663" t="str">
        <x:v>Doruk Hastaneleri - SİNA ÖZEL Sağlık Hizmetleri A.ş</x:v>
      </x:c>
      <x:c r="D663" t="str">
        <x:v>120255158812950399</x:v>
      </x:c>
      <x:c r="E663" t="str">
        <x:v>Doktor - Bilinirlik Kampanyası - Yıldırım</x:v>
      </x:c>
      <x:c r="F663" t="str">
        <x:v>OUTCOME_AWARENESS</x:v>
      </x:c>
      <x:c r="G663" t="n">
        <x:v>366837</x:v>
      </x:c>
      <x:c r="H663" s="28" t="n">
        <x:v>3188.94</x:v>
      </x:c>
      <x:c r="I663" t="n">
        <x:v>395046</x:v>
      </x:c>
      <x:c r="J663" t="n">
        <x:v>219</x:v>
      </x:c>
      <x:c r="K663" t="n">
        <x:v>0</x:v>
      </x:c>
      <x:c r="L663" s="27" t="n">
        <x:f>IFERROR(K663/I663,0)</x:f>
        <x:v>0</x:v>
      </x:c>
      <x:c r="M663" s="28" t="n">
        <x:f>IFERROR(H663/K663,0)</x:f>
        <x:v>0</x:v>
      </x:c>
      <x:c r="N663" s="28" t="n">
        <x:f>IFERROR(H663/I663*1000,0)</x:f>
        <x:v>8.0723257544691</x:v>
      </x:c>
      <x:c r="O663" t="n">
        <x:v>1.076898</x:v>
      </x:c>
      <x:c r="P663" t="n">
        <x:v>0</x:v>
      </x:c>
      <x:c r="Q663" s="28" t="n">
        <x:v>0</x:v>
      </x:c>
      <x:c r="R663" s="28" t="n">
        <x:v>0</x:v>
      </x:c>
    </x:row>
    <x:row r="664">
      <x:c r="A664" t="str">
        <x:v>2026-08-04</x:v>
      </x:c>
      <x:c r="B664" t="str">
        <x:v>449281783851362</x:v>
      </x:c>
      <x:c r="C664" t="str">
        <x:v>Doruk Hastaneleri - SİNA ÖZEL Sağlık Hizmetleri A.ş</x:v>
      </x:c>
      <x:c r="D664" t="str">
        <x:v>120255738303970399</x:v>
      </x:c>
      <x:c r="E664" t="str">
        <x:v>Instagram gönderisi: 🏅 BURSA'DA BİR İLK
Özel...</x:v>
      </x:c>
      <x:c r="F664" t="str">
        <x:v>LINK_CLICKS</x:v>
      </x:c>
      <x:c r="G664" t="n">
        <x:v>16936</x:v>
      </x:c>
      <x:c r="H664" s="28" t="n">
        <x:v>1051</x:v>
      </x:c>
      <x:c r="I664" t="n">
        <x:v>18157</x:v>
      </x:c>
      <x:c r="J664" t="n">
        <x:v>322</x:v>
      </x:c>
      <x:c r="K664" t="n">
        <x:v>307</x:v>
      </x:c>
      <x:c r="L664" s="27" t="n">
        <x:f>IFERROR(K664/I664,0)</x:f>
        <x:v>0.01690807952855648</x:v>
      </x:c>
      <x:c r="M664" s="28" t="n">
        <x:f>IFERROR(H664/K664,0)</x:f>
        <x:v>3.423452768729642</x:v>
      </x:c>
      <x:c r="N664" s="28" t="n">
        <x:f>IFERROR(H664/I664*1000,0)</x:f>
        <x:v>57.88401167593765</x:v>
      </x:c>
      <x:c r="O664" t="n">
        <x:v>1.072095</x:v>
      </x:c>
      <x:c r="P664" t="n">
        <x:v>0</x:v>
      </x:c>
      <x:c r="Q664" s="28" t="n">
        <x:v>0</x:v>
      </x:c>
      <x:c r="R664" s="28" t="n">
        <x:v>0</x:v>
      </x:c>
    </x:row>
    <x:row r="665">
      <x:c r="A665" t="str">
        <x:v>2026-08-04</x:v>
      </x:c>
      <x:c r="B665" t="str">
        <x:v>449281783851362</x:v>
      </x:c>
      <x:c r="C665" t="str">
        <x:v>Doruk Hastaneleri - SİNA ÖZEL Sağlık Hizmetleri A.ş</x:v>
      </x:c>
      <x:c r="D665" t="str">
        <x:v>120255739080510399</x:v>
      </x:c>
      <x:c r="E665" t="str">
        <x:v>Gönderi: "👃 Rinoplasti Ameliyatı Nedir? Yumuşak Doku Neden..."</x:v>
      </x:c>
      <x:c r="F665" t="str">
        <x:v>OUTCOME_ENGAGEMENT</x:v>
      </x:c>
      <x:c r="G665" t="n">
        <x:v>14971</x:v>
      </x:c>
      <x:c r="H665" s="28" t="n">
        <x:v>1154.63</x:v>
      </x:c>
      <x:c r="I665" t="n">
        <x:v>18004</x:v>
      </x:c>
      <x:c r="J665" t="n">
        <x:v>647</x:v>
      </x:c>
      <x:c r="K665" t="n">
        <x:v>289</x:v>
      </x:c>
      <x:c r="L665" s="27" t="n">
        <x:f>IFERROR(K665/I665,0)</x:f>
        <x:v>0.016051988447011774</x:v>
      </x:c>
      <x:c r="M665" s="28" t="n">
        <x:f>IFERROR(H665/K665,0)</x:f>
        <x:v>3.9952595155709347</x:v>
      </x:c>
      <x:c r="N665" s="28" t="n">
        <x:f>IFERROR(H665/I665*1000,0)</x:f>
        <x:v>64.13185958675851</x:v>
      </x:c>
      <x:c r="O665" t="n">
        <x:v>1.202592</x:v>
      </x:c>
      <x:c r="P665" t="n">
        <x:v>0</x:v>
      </x:c>
      <x:c r="Q665" s="28" t="n">
        <x:v>0</x:v>
      </x:c>
      <x:c r="R665" s="28" t="n">
        <x:v>0</x:v>
      </x:c>
    </x:row>
    <x:row r="666">
      <x:c r="A666" t="str">
        <x:v>2026-08-04</x:v>
      </x:c>
      <x:c r="B666" t="str">
        <x:v>449281783851362</x:v>
      </x:c>
      <x:c r="C666" t="str">
        <x:v>Doruk Hastaneleri - SİNA ÖZEL Sağlık Hizmetleri A.ş</x:v>
      </x:c>
      <x:c r="D666" t="str">
        <x:v>120255739163090399</x:v>
      </x:c>
      <x:c r="E666" t="str">
        <x:v>Instagram gönderisi: 👃 Rinoplasti Ameliyatı...</x:v>
      </x:c>
      <x:c r="F666" t="str">
        <x:v>LINK_CLICKS</x:v>
      </x:c>
      <x:c r="G666" t="n">
        <x:v>27176</x:v>
      </x:c>
      <x:c r="H666" s="28" t="n">
        <x:v>1679.1</x:v>
      </x:c>
      <x:c r="I666" t="n">
        <x:v>30568</x:v>
      </x:c>
      <x:c r="J666" t="n">
        <x:v>824</x:v>
      </x:c>
      <x:c r="K666" t="n">
        <x:v>851</x:v>
      </x:c>
      <x:c r="L666" s="27" t="n">
        <x:f>IFERROR(K666/I666,0)</x:f>
        <x:v>0.02783957079298613</x:v>
      </x:c>
      <x:c r="M666" s="28" t="n">
        <x:f>IFERROR(H666/K666,0)</x:f>
        <x:v>1.9730904817861339</x:v>
      </x:c>
      <x:c r="N666" s="28" t="n">
        <x:f>IFERROR(H666/I666*1000,0)</x:f>
        <x:v>54.92999214865218</x:v>
      </x:c>
      <x:c r="O666" t="n">
        <x:v>1.124816</x:v>
      </x:c>
      <x:c r="P666" t="n">
        <x:v>0</x:v>
      </x:c>
      <x:c r="Q666" s="28" t="n">
        <x:v>0</x:v>
      </x:c>
      <x:c r="R666" s="28" t="n">
        <x:v>0</x:v>
      </x:c>
    </x:row>
    <x:row r="667">
      <x:c r="A667" t="str">
        <x:v>2026-08-04</x:v>
      </x:c>
      <x:c r="B667" t="str">
        <x:v>449281783851362</x:v>
      </x:c>
      <x:c r="C667" t="str">
        <x:v>Doruk Hastaneleri - SİNA ÖZEL Sağlık Hizmetleri A.ş</x:v>
      </x:c>
      <x:c r="D667" t="str">
        <x:v>120255739194330399</x:v>
      </x:c>
      <x:c r="E667" t="str">
        <x:v>Instagram gönderisi: 🖐️ Parmak Ucu Defekti Nasıl...</x:v>
      </x:c>
      <x:c r="F667" t="str">
        <x:v>LINK_CLICKS</x:v>
      </x:c>
      <x:c r="G667" t="n">
        <x:v>23210</x:v>
      </x:c>
      <x:c r="H667" s="28" t="n">
        <x:v>1539.74</x:v>
      </x:c>
      <x:c r="I667" t="n">
        <x:v>25119</x:v>
      </x:c>
      <x:c r="J667" t="n">
        <x:v>533</x:v>
      </x:c>
      <x:c r="K667" t="n">
        <x:v>480</x:v>
      </x:c>
      <x:c r="L667" s="27" t="n">
        <x:f>IFERROR(K667/I667,0)</x:f>
        <x:v>0.01910904096500657</x:v>
      </x:c>
      <x:c r="M667" s="28" t="n">
        <x:f>IFERROR(H667/K667,0)</x:f>
        <x:v>3.2077916666666666</x:v>
      </x:c>
      <x:c r="N667" s="28" t="n">
        <x:f>IFERROR(H667/I667*1000,0)</x:f>
        <x:v>61.29782236554003</x:v>
      </x:c>
      <x:c r="O667" t="n">
        <x:v>1.082249</x:v>
      </x:c>
      <x:c r="P667" t="n">
        <x:v>0</x:v>
      </x:c>
      <x:c r="Q667" s="28" t="n">
        <x:v>0</x:v>
      </x:c>
      <x:c r="R667" s="28" t="n">
        <x:v>0</x:v>
      </x:c>
    </x:row>
    <x:row r="668">
      <x:c r="A668" t="str">
        <x:v>2026-08-04</x:v>
      </x:c>
      <x:c r="B668" t="str">
        <x:v>449281783851362</x:v>
      </x:c>
      <x:c r="C668" t="str">
        <x:v>Doruk Hastaneleri - SİNA ÖZEL Sağlık Hizmetleri A.ş</x:v>
      </x:c>
      <x:c r="D668" t="str">
        <x:v>120255763855030399</x:v>
      </x:c>
      <x:c r="E668" t="str">
        <x:v>Doktor - Bilinirlik Kampanyası - Çekirge</x:v>
      </x:c>
      <x:c r="F668" t="str">
        <x:v>OUTCOME_AWARENESS</x:v>
      </x:c>
      <x:c r="G668" t="n">
        <x:v>230558</x:v>
      </x:c>
      <x:c r="H668" s="28" t="n">
        <x:v>2500.13</x:v>
      </x:c>
      <x:c r="I668" t="n">
        <x:v>293784</x:v>
      </x:c>
      <x:c r="J668" t="n">
        <x:v>201</x:v>
      </x:c>
      <x:c r="K668" t="n">
        <x:v>0</x:v>
      </x:c>
      <x:c r="L668" s="27" t="n">
        <x:f>IFERROR(K668/I668,0)</x:f>
        <x:v>0</x:v>
      </x:c>
      <x:c r="M668" s="28" t="n">
        <x:f>IFERROR(H668/K668,0)</x:f>
        <x:v>0</x:v>
      </x:c>
      <x:c r="N668" s="28" t="n">
        <x:f>IFERROR(H668/I668*1000,0)</x:f>
        <x:v>8.510095852735343</x:v>
      </x:c>
      <x:c r="O668" t="n">
        <x:v>1.27423</x:v>
      </x:c>
      <x:c r="P668" t="n">
        <x:v>0</x:v>
      </x:c>
      <x:c r="Q668" s="28" t="n">
        <x:v>0</x:v>
      </x:c>
      <x:c r="R668" s="28" t="n">
        <x:v>0</x:v>
      </x:c>
    </x:row>
    <x:row r="669">
      <x:c r="A669" t="str">
        <x:v>2026-08-05</x:v>
      </x:c>
      <x:c r="B669" t="str">
        <x:v>449281783851362</x:v>
      </x:c>
      <x:c r="C669" t="str">
        <x:v>Doruk Hastaneleri - SİNA ÖZEL Sağlık Hizmetleri A.ş</x:v>
      </x:c>
      <x:c r="D669" t="str">
        <x:v>120202624613730399</x:v>
      </x:c>
      <x:c r="E669" t="str">
        <x:v>CBO / Saç Ekimi - lead / soğuk</x:v>
      </x:c>
      <x:c r="F669" t="str">
        <x:v>OUTCOME_LEADS</x:v>
      </x:c>
      <x:c r="G669" t="n">
        <x:v>1141</x:v>
      </x:c>
      <x:c r="H669" s="28" t="n">
        <x:v>690.7</x:v>
      </x:c>
      <x:c r="I669" t="n">
        <x:v>1624</x:v>
      </x:c>
      <x:c r="J669" t="n">
        <x:v>41</x:v>
      </x:c>
      <x:c r="K669" t="n">
        <x:v>36</x:v>
      </x:c>
      <x:c r="L669" s="27" t="n">
        <x:f>IFERROR(K669/I669,0)</x:f>
        <x:v>0.022167487684729065</x:v>
      </x:c>
      <x:c r="M669" s="28" t="n">
        <x:f>IFERROR(H669/K669,0)</x:f>
        <x:v>19.186111111111114</x:v>
      </x:c>
      <x:c r="N669" s="28" t="n">
        <x:f>IFERROR(H669/I669*1000,0)</x:f>
        <x:v>425.30788177339906</x:v>
      </x:c>
      <x:c r="O669" t="n">
        <x:v>1.423313</x:v>
      </x:c>
      <x:c r="P669" t="n">
        <x:v>4</x:v>
      </x:c>
      <x:c r="Q669" s="28" t="n">
        <x:v>0</x:v>
      </x:c>
      <x:c r="R669" s="28" t="n">
        <x:v>0</x:v>
      </x:c>
    </x:row>
    <x:row r="670">
      <x:c r="A670" t="str">
        <x:v>2026-08-05</x:v>
      </x:c>
      <x:c r="B670" t="str">
        <x:v>449281783851362</x:v>
      </x:c>
      <x:c r="C670" t="str">
        <x:v>Doruk Hastaneleri - SİNA ÖZEL Sağlık Hizmetleri A.ş</x:v>
      </x:c>
      <x:c r="D670" t="str">
        <x:v>120211731920800399</x:v>
      </x:c>
      <x:c r="E670" t="str">
        <x:v>ABO / Göz Kapağı Estetiği / plastik cerrahi / lead</x:v>
      </x:c>
      <x:c r="F670" t="str">
        <x:v>OUTCOME_LEADS</x:v>
      </x:c>
      <x:c r="G670" t="n">
        <x:v>909</x:v>
      </x:c>
      <x:c r="H670" s="28" t="n">
        <x:v>126.7</x:v>
      </x:c>
      <x:c r="I670" t="n">
        <x:v>1134</x:v>
      </x:c>
      <x:c r="J670" t="n">
        <x:v>8</x:v>
      </x:c>
      <x:c r="K670" t="n">
        <x:v>4</x:v>
      </x:c>
      <x:c r="L670" s="27" t="n">
        <x:f>IFERROR(K670/I670,0)</x:f>
        <x:v>0.003527336860670194</x:v>
      </x:c>
      <x:c r="M670" s="28" t="n">
        <x:f>IFERROR(H670/K670,0)</x:f>
        <x:v>31.675</x:v>
      </x:c>
      <x:c r="N670" s="28" t="n">
        <x:f>IFERROR(H670/I670*1000,0)</x:f>
        <x:v>111.72839506172839</x:v>
      </x:c>
      <x:c r="O670" t="n">
        <x:v>1.247525</x:v>
      </x:c>
      <x:c r="P670" t="n">
        <x:v>0</x:v>
      </x:c>
      <x:c r="Q670" s="28" t="n">
        <x:v>0</x:v>
      </x:c>
      <x:c r="R670" s="28" t="n">
        <x:v>0</x:v>
      </x:c>
    </x:row>
    <x:row r="671">
      <x:c r="A671" t="str">
        <x:v>2026-08-05</x:v>
      </x:c>
      <x:c r="B671" t="str">
        <x:v>449281783851362</x:v>
      </x:c>
      <x:c r="C671" t="str">
        <x:v>Doruk Hastaneleri - SİNA ÖZEL Sağlık Hizmetleri A.ş</x:v>
      </x:c>
      <x:c r="D671" t="str">
        <x:v>120211732243050399</x:v>
      </x:c>
      <x:c r="E671" t="str">
        <x:v>ABO /Kepçe Kulak / plastik cerrahi / lead</x:v>
      </x:c>
      <x:c r="F671" t="str">
        <x:v>OUTCOME_LEADS</x:v>
      </x:c>
      <x:c r="G671" t="n">
        <x:v>980</x:v>
      </x:c>
      <x:c r="H671" s="28" t="n">
        <x:v>139.68</x:v>
      </x:c>
      <x:c r="I671" t="n">
        <x:v>1274</x:v>
      </x:c>
      <x:c r="J671" t="n">
        <x:v>12</x:v>
      </x:c>
      <x:c r="K671" t="n">
        <x:v>6</x:v>
      </x:c>
      <x:c r="L671" s="27" t="n">
        <x:f>IFERROR(K671/I671,0)</x:f>
        <x:v>0.004709576138147566</x:v>
      </x:c>
      <x:c r="M671" s="28" t="n">
        <x:f>IFERROR(H671/K671,0)</x:f>
        <x:v>23.28</x:v>
      </x:c>
      <x:c r="N671" s="28" t="n">
        <x:f>IFERROR(H671/I671*1000,0)</x:f>
        <x:v>109.63893249607536</x:v>
      </x:c>
      <x:c r="O671" t="n">
        <x:v>1.3</x:v>
      </x:c>
      <x:c r="P671" t="n">
        <x:v>2</x:v>
      </x:c>
      <x:c r="Q671" s="28" t="n">
        <x:v>0</x:v>
      </x:c>
      <x:c r="R671" s="28" t="n">
        <x:v>0</x:v>
      </x:c>
    </x:row>
    <x:row r="672">
      <x:c r="A672" t="str">
        <x:v>2026-08-05</x:v>
      </x:c>
      <x:c r="B672" t="str">
        <x:v>449281783851362</x:v>
      </x:c>
      <x:c r="C672" t="str">
        <x:v>Doruk Hastaneleri - SİNA ÖZEL Sağlık Hizmetleri A.ş</x:v>
      </x:c>
      <x:c r="D672" t="str">
        <x:v>120211732311210399</x:v>
      </x:c>
      <x:c r="E672" t="str">
        <x:v>ABO / Meme Estetiği / plastik cerrahi / lead</x:v>
      </x:c>
      <x:c r="F672" t="str">
        <x:v>OUTCOME_LEADS</x:v>
      </x:c>
      <x:c r="G672" t="n">
        <x:v>2110</x:v>
      </x:c>
      <x:c r="H672" s="28" t="n">
        <x:v>442.75</x:v>
      </x:c>
      <x:c r="I672" t="n">
        <x:v>2759</x:v>
      </x:c>
      <x:c r="J672" t="n">
        <x:v>20</x:v>
      </x:c>
      <x:c r="K672" t="n">
        <x:v>11</x:v>
      </x:c>
      <x:c r="L672" s="27" t="n">
        <x:f>IFERROR(K672/I672,0)</x:f>
        <x:v>0.003986951794128307</x:v>
      </x:c>
      <x:c r="M672" s="28" t="n">
        <x:f>IFERROR(H672/K672,0)</x:f>
        <x:v>40.25</x:v>
      </x:c>
      <x:c r="N672" s="28" t="n">
        <x:f>IFERROR(H672/I672*1000,0)</x:f>
        <x:v>160.47480971366437</x:v>
      </x:c>
      <x:c r="O672" t="n">
        <x:v>1.307583</x:v>
      </x:c>
      <x:c r="P672" t="n">
        <x:v>1</x:v>
      </x:c>
      <x:c r="Q672" s="28" t="n">
        <x:v>0</x:v>
      </x:c>
      <x:c r="R672" s="28" t="n">
        <x:v>0</x:v>
      </x:c>
    </x:row>
    <x:row r="673">
      <x:c r="A673" t="str">
        <x:v>2026-08-05</x:v>
      </x:c>
      <x:c r="B673" t="str">
        <x:v>449281783851362</x:v>
      </x:c>
      <x:c r="C673" t="str">
        <x:v>Doruk Hastaneleri - SİNA ÖZEL Sağlık Hizmetleri A.ş</x:v>
      </x:c>
      <x:c r="D673" t="str">
        <x:v>120211732618490399</x:v>
      </x:c>
      <x:c r="E673" t="str">
        <x:v>ABO /Jinekomasti / plastik cerrahi / lead</x:v>
      </x:c>
      <x:c r="F673" t="str">
        <x:v>OUTCOME_LEADS</x:v>
      </x:c>
      <x:c r="G673" t="n">
        <x:v>1107</x:v>
      </x:c>
      <x:c r="H673" s="28" t="n">
        <x:v>147.87</x:v>
      </x:c>
      <x:c r="I673" t="n">
        <x:v>1402</x:v>
      </x:c>
      <x:c r="J673" t="n">
        <x:v>10</x:v>
      </x:c>
      <x:c r="K673" t="n">
        <x:v>7</x:v>
      </x:c>
      <x:c r="L673" s="27" t="n">
        <x:f>IFERROR(K673/I673,0)</x:f>
        <x:v>0.004992867332382311</x:v>
      </x:c>
      <x:c r="M673" s="28" t="n">
        <x:f>IFERROR(H673/K673,0)</x:f>
        <x:v>21.124285714285715</x:v>
      </x:c>
      <x:c r="N673" s="28" t="n">
        <x:f>IFERROR(H673/I673*1000,0)</x:f>
        <x:v>105.47075606276748</x:v>
      </x:c>
      <x:c r="O673" t="n">
        <x:v>1.266486</x:v>
      </x:c>
      <x:c r="P673" t="n">
        <x:v>0</x:v>
      </x:c>
      <x:c r="Q673" s="28" t="n">
        <x:v>0</x:v>
      </x:c>
      <x:c r="R673" s="28" t="n">
        <x:v>0</x:v>
      </x:c>
    </x:row>
    <x:row r="674">
      <x:c r="A674" t="str">
        <x:v>2026-08-05</x:v>
      </x:c>
      <x:c r="B674" t="str">
        <x:v>449281783851362</x:v>
      </x:c>
      <x:c r="C674" t="str">
        <x:v>Doruk Hastaneleri - SİNA ÖZEL Sağlık Hizmetleri A.ş</x:v>
      </x:c>
      <x:c r="D674" t="str">
        <x:v>120211732654260399</x:v>
      </x:c>
      <x:c r="E674" t="str">
        <x:v>ABO / Rinoplasti / plastik cerrahi / lead</x:v>
      </x:c>
      <x:c r="F674" t="str">
        <x:v>OUTCOME_LEADS</x:v>
      </x:c>
      <x:c r="G674" t="n">
        <x:v>1835</x:v>
      </x:c>
      <x:c r="H674" s="28" t="n">
        <x:v>425.49</x:v>
      </x:c>
      <x:c r="I674" t="n">
        <x:v>2412</x:v>
      </x:c>
      <x:c r="J674" t="n">
        <x:v>19</x:v>
      </x:c>
      <x:c r="K674" t="n">
        <x:v>11</x:v>
      </x:c>
      <x:c r="L674" s="27" t="n">
        <x:f>IFERROR(K674/I674,0)</x:f>
        <x:v>0.004560530679933665</x:v>
      </x:c>
      <x:c r="M674" s="28" t="n">
        <x:f>IFERROR(H674/K674,0)</x:f>
        <x:v>38.68090909090909</x:v>
      </x:c>
      <x:c r="N674" s="28" t="n">
        <x:f>IFERROR(H674/I674*1000,0)</x:f>
        <x:v>176.40547263681592</x:v>
      </x:c>
      <x:c r="O674" t="n">
        <x:v>1.314441</x:v>
      </x:c>
      <x:c r="P674" t="n">
        <x:v>1</x:v>
      </x:c>
      <x:c r="Q674" s="28" t="n">
        <x:v>0</x:v>
      </x:c>
      <x:c r="R674" s="28" t="n">
        <x:v>0</x:v>
      </x:c>
    </x:row>
    <x:row r="675">
      <x:c r="A675" t="str">
        <x:v>2026-08-05</x:v>
      </x:c>
      <x:c r="B675" t="str">
        <x:v>449281783851362</x:v>
      </x:c>
      <x:c r="C675" t="str">
        <x:v>Doruk Hastaneleri - SİNA ÖZEL Sağlık Hizmetleri A.ş</x:v>
      </x:c>
      <x:c r="D675" t="str">
        <x:v>120211732712890399</x:v>
      </x:c>
      <x:c r="E675" t="str">
        <x:v>ABO / Vücut Şekillendirme / plastik cerrahi / lead</x:v>
      </x:c>
      <x:c r="F675" t="str">
        <x:v>OUTCOME_LEADS</x:v>
      </x:c>
      <x:c r="G675" t="n">
        <x:v>436</x:v>
      </x:c>
      <x:c r="H675" s="28" t="n">
        <x:v>209.93</x:v>
      </x:c>
      <x:c r="I675" t="n">
        <x:v>628</x:v>
      </x:c>
      <x:c r="J675" t="n">
        <x:v>4</x:v>
      </x:c>
      <x:c r="K675" t="n">
        <x:v>3</x:v>
      </x:c>
      <x:c r="L675" s="27" t="n">
        <x:f>IFERROR(K675/I675,0)</x:f>
        <x:v>0.004777070063694267</x:v>
      </x:c>
      <x:c r="M675" s="28" t="n">
        <x:f>IFERROR(H675/K675,0)</x:f>
        <x:v>69.97666666666667</x:v>
      </x:c>
      <x:c r="N675" s="28" t="n">
        <x:f>IFERROR(H675/I675*1000,0)</x:f>
        <x:v>334.28343949044586</x:v>
      </x:c>
      <x:c r="O675" t="n">
        <x:v>1.440367</x:v>
      </x:c>
      <x:c r="P675" t="n">
        <x:v>0</x:v>
      </x:c>
      <x:c r="Q675" s="28" t="n">
        <x:v>0</x:v>
      </x:c>
      <x:c r="R675" s="28" t="n">
        <x:v>0</x:v>
      </x:c>
    </x:row>
    <x:row r="676">
      <x:c r="A676" t="str">
        <x:v>2026-08-05</x:v>
      </x:c>
      <x:c r="B676" t="str">
        <x:v>449281783851362</x:v>
      </x:c>
      <x:c r="C676" t="str">
        <x:v>Doruk Hastaneleri - SİNA ÖZEL Sağlık Hizmetleri A.ş</x:v>
      </x:c>
      <x:c r="D676" t="str">
        <x:v>120211732754080399</x:v>
      </x:c>
      <x:c r="E676" t="str">
        <x:v>ABO / Yüz Germe (Facelift) / plastik cerrahi / lead</x:v>
      </x:c>
      <x:c r="F676" t="str">
        <x:v>OUTCOME_LEADS</x:v>
      </x:c>
      <x:c r="G676" t="n">
        <x:v>313</x:v>
      </x:c>
      <x:c r="H676" s="28" t="n">
        <x:v>173.05</x:v>
      </x:c>
      <x:c r="I676" t="n">
        <x:v>378</x:v>
      </x:c>
      <x:c r="J676" t="n">
        <x:v>6</x:v>
      </x:c>
      <x:c r="K676" t="n">
        <x:v>1</x:v>
      </x:c>
      <x:c r="L676" s="27" t="n">
        <x:f>IFERROR(K676/I676,0)</x:f>
        <x:v>0.0026455026455026454</x:v>
      </x:c>
      <x:c r="M676" s="28" t="n">
        <x:f>IFERROR(H676/K676,0)</x:f>
        <x:v>173.05</x:v>
      </x:c>
      <x:c r="N676" s="28" t="n">
        <x:f>IFERROR(H676/I676*1000,0)</x:f>
        <x:v>457.8042328042328</x:v>
      </x:c>
      <x:c r="O676" t="n">
        <x:v>1.207668</x:v>
      </x:c>
      <x:c r="P676" t="n">
        <x:v>1</x:v>
      </x:c>
      <x:c r="Q676" s="28" t="n">
        <x:v>0</x:v>
      </x:c>
      <x:c r="R676" s="28" t="n">
        <x:v>0</x:v>
      </x:c>
    </x:row>
    <x:row r="677">
      <x:c r="A677" t="str">
        <x:v>2026-08-05</x:v>
      </x:c>
      <x:c r="B677" t="str">
        <x:v>449281783851362</x:v>
      </x:c>
      <x:c r="C677" t="str">
        <x:v>Doruk Hastaneleri - SİNA ÖZEL Sağlık Hizmetleri A.ş</x:v>
      </x:c>
      <x:c r="D677" t="str">
        <x:v>120214167265870399</x:v>
      </x:c>
      <x:c r="E677" t="str">
        <x:v>Baş Dönmesi ve Denge Ünitesi / lead</x:v>
      </x:c>
      <x:c r="F677" t="str">
        <x:v>OUTCOME_LEADS</x:v>
      </x:c>
      <x:c r="G677" t="n">
        <x:v>3912</x:v>
      </x:c>
      <x:c r="H677" s="28" t="n">
        <x:v>233.56</x:v>
      </x:c>
      <x:c r="I677" t="n">
        <x:v>4534</x:v>
      </x:c>
      <x:c r="J677" t="n">
        <x:v>62</x:v>
      </x:c>
      <x:c r="K677" t="n">
        <x:v>32</x:v>
      </x:c>
      <x:c r="L677" s="27" t="n">
        <x:f>IFERROR(K677/I677,0)</x:f>
        <x:v>0.0070577856197618</x:v>
      </x:c>
      <x:c r="M677" s="28" t="n">
        <x:f>IFERROR(H677/K677,0)</x:f>
        <x:v>7.29875</x:v>
      </x:c>
      <x:c r="N677" s="28" t="n">
        <x:f>IFERROR(H677/I677*1000,0)</x:f>
        <x:v>51.51301279223643</x:v>
      </x:c>
      <x:c r="O677" t="n">
        <x:v>1.158998</x:v>
      </x:c>
      <x:c r="P677" t="n">
        <x:v>2</x:v>
      </x:c>
      <x:c r="Q677" s="28" t="n">
        <x:v>0</x:v>
      </x:c>
      <x:c r="R677" s="28" t="n">
        <x:v>0</x:v>
      </x:c>
    </x:row>
    <x:row r="678">
      <x:c r="A678" t="str">
        <x:v>2026-08-05</x:v>
      </x:c>
      <x:c r="B678" t="str">
        <x:v>449281783851362</x:v>
      </x:c>
      <x:c r="C678" t="str">
        <x:v>Doruk Hastaneleri - SİNA ÖZEL Sağlık Hizmetleri A.ş</x:v>
      </x:c>
      <x:c r="D678" t="str">
        <x:v>120220089108220399</x:v>
      </x:c>
      <x:c r="E678" t="str">
        <x:v>Checkup - genel - lead</x:v>
      </x:c>
      <x:c r="F678" t="str">
        <x:v>OUTCOME_LEADS</x:v>
      </x:c>
      <x:c r="G678" t="n">
        <x:v>3690</x:v>
      </x:c>
      <x:c r="H678" s="28" t="n">
        <x:v>590.71</x:v>
      </x:c>
      <x:c r="I678" t="n">
        <x:v>4380</x:v>
      </x:c>
      <x:c r="J678" t="n">
        <x:v>45</x:v>
      </x:c>
      <x:c r="K678" t="n">
        <x:v>33</x:v>
      </x:c>
      <x:c r="L678" s="27" t="n">
        <x:f>IFERROR(K678/I678,0)</x:f>
        <x:v>0.007534246575342466</x:v>
      </x:c>
      <x:c r="M678" s="28" t="n">
        <x:f>IFERROR(H678/K678,0)</x:f>
        <x:v>17.900303030303032</x:v>
      </x:c>
      <x:c r="N678" s="28" t="n">
        <x:f>IFERROR(H678/I678*1000,0)</x:f>
        <x:v>134.86529680365297</x:v>
      </x:c>
      <x:c r="O678" t="n">
        <x:v>1.186992</x:v>
      </x:c>
      <x:c r="P678" t="n">
        <x:v>3</x:v>
      </x:c>
      <x:c r="Q678" s="28" t="n">
        <x:v>0</x:v>
      </x:c>
      <x:c r="R678" s="28" t="n">
        <x:v>0</x:v>
      </x:c>
    </x:row>
    <x:row r="679">
      <x:c r="A679" t="str">
        <x:v>2026-08-05</x:v>
      </x:c>
      <x:c r="B679" t="str">
        <x:v>170008509278498</x:v>
      </x:c>
      <x:c r="C679" t="str">
        <x:v>Doruk Hospital</x:v>
      </x:c>
      <x:c r="D679" t="str">
        <x:v>120238651325780080</x:v>
      </x:c>
      <x:c r="E679" t="str">
        <x:v>Whatsapp - Fizik Tedavi - Intensive FTR - Arap Bölgesi - Tümü - AR - Doruk İlaj Turkia</x:v>
      </x:c>
      <x:c r="F679" t="str">
        <x:v>OUTCOME_LEADS</x:v>
      </x:c>
      <x:c r="G679" t="n">
        <x:v>0</x:v>
      </x:c>
      <x:c r="H679" s="28" t="n">
        <x:v>0</x:v>
      </x:c>
      <x:c r="I679" t="n">
        <x:v>0</x:v>
      </x:c>
      <x:c r="J679" t="n">
        <x:v>0</x:v>
      </x:c>
      <x:c r="K679" t="n">
        <x:v>0</x:v>
      </x:c>
      <x:c r="L679" s="27" t="n">
        <x:f>IFERROR(K679/I679,0)</x:f>
        <x:v>0</x:v>
      </x:c>
      <x:c r="M679" s="28" t="n">
        <x:f>IFERROR(H679/K679,0)</x:f>
        <x:v>0</x:v>
      </x:c>
      <x:c r="N679" s="28" t="n">
        <x:f>IFERROR(H679/I679*1000,0)</x:f>
        <x:v>0</x:v>
      </x:c>
      <x:c r="O679" t="n">
        <x:v>0</x:v>
      </x:c>
      <x:c r="P679" t="n">
        <x:v>0</x:v>
      </x:c>
      <x:c r="Q679" s="28" t="n">
        <x:v>0</x:v>
      </x:c>
      <x:c r="R679" s="28" t="n">
        <x:v>0</x:v>
      </x:c>
    </x:row>
    <x:row r="680">
      <x:c r="A680" t="str">
        <x:v>2026-08-05</x:v>
      </x:c>
      <x:c r="B680" t="str">
        <x:v>449281783851362</x:v>
      </x:c>
      <x:c r="C680" t="str">
        <x:v>Doruk Hastaneleri - SİNA ÖZEL Sağlık Hizmetleri A.ş</x:v>
      </x:c>
      <x:c r="D680" t="str">
        <x:v>120242415465180399</x:v>
      </x:c>
      <x:c r="E680" t="str">
        <x:v>Gebe-Doğum Form Kampanyası</x:v>
      </x:c>
      <x:c r="F680" t="str">
        <x:v>OUTCOME_LEADS</x:v>
      </x:c>
      <x:c r="G680" t="n">
        <x:v>30588</x:v>
      </x:c>
      <x:c r="H680" s="28" t="n">
        <x:v>5673.02</x:v>
      </x:c>
      <x:c r="I680" t="n">
        <x:v>48003</x:v>
      </x:c>
      <x:c r="J680" t="n">
        <x:v>362</x:v>
      </x:c>
      <x:c r="K680" t="n">
        <x:v>304</x:v>
      </x:c>
      <x:c r="L680" s="27" t="n">
        <x:f>IFERROR(K680/I680,0)</x:f>
        <x:v>0.006332937524738037</x:v>
      </x:c>
      <x:c r="M680" s="28" t="n">
        <x:f>IFERROR(H680/K680,0)</x:f>
        <x:v>18.661250000000003</x:v>
      </x:c>
      <x:c r="N680" s="28" t="n">
        <x:f>IFERROR(H680/I680*1000,0)</x:f>
        <x:v>118.1805303835177</x:v>
      </x:c>
      <x:c r="O680" t="n">
        <x:v>1.569341</x:v>
      </x:c>
      <x:c r="P680" t="n">
        <x:v>30</x:v>
      </x:c>
      <x:c r="Q680" s="28" t="n">
        <x:v>0</x:v>
      </x:c>
      <x:c r="R680" s="28" t="n">
        <x:v>0</x:v>
      </x:c>
    </x:row>
    <x:row r="681">
      <x:c r="A681" t="str">
        <x:v>2026-08-05</x:v>
      </x:c>
      <x:c r="B681" t="str">
        <x:v>170008509278498</x:v>
      </x:c>
      <x:c r="C681" t="str">
        <x:v>Doruk Hospital</x:v>
      </x:c>
      <x:c r="D681" t="str">
        <x:v>120242709752170080</x:v>
      </x:c>
      <x:c r="E681" t="str">
        <x:v>Instagram gönderisi: Аппарат TrueBeam — одна из...</x:v>
      </x:c>
      <x:c r="F681" t="str">
        <x:v>LINK_CLICKS</x:v>
      </x:c>
      <x:c r="G681" t="n">
        <x:v>0</x:v>
      </x:c>
      <x:c r="H681" s="28" t="n">
        <x:v>0</x:v>
      </x:c>
      <x:c r="I681" t="n">
        <x:v>0</x:v>
      </x:c>
      <x:c r="J681" t="n">
        <x:v>0</x:v>
      </x:c>
      <x:c r="K681" t="n">
        <x:v>0</x:v>
      </x:c>
      <x:c r="L681" s="27" t="n">
        <x:f>IFERROR(K681/I681,0)</x:f>
        <x:v>0</x:v>
      </x:c>
      <x:c r="M681" s="28" t="n">
        <x:f>IFERROR(H681/K681,0)</x:f>
        <x:v>0</x:v>
      </x:c>
      <x:c r="N681" s="28" t="n">
        <x:f>IFERROR(H681/I681*1000,0)</x:f>
        <x:v>0</x:v>
      </x:c>
      <x:c r="O681" t="n">
        <x:v>0</x:v>
      </x:c>
      <x:c r="P681" t="n">
        <x:v>0</x:v>
      </x:c>
      <x:c r="Q681" s="28" t="n">
        <x:v>0</x:v>
      </x:c>
      <x:c r="R681" s="28" t="n">
        <x:v>0</x:v>
      </x:c>
    </x:row>
    <x:row r="682">
      <x:c r="A682" t="str">
        <x:v>2026-08-05</x:v>
      </x:c>
      <x:c r="B682" t="str">
        <x:v>449281783851362</x:v>
      </x:c>
      <x:c r="C682" t="str">
        <x:v>Doruk Hastaneleri - SİNA ÖZEL Sağlık Hizmetleri A.ş</x:v>
      </x:c>
      <x:c r="D682" t="str">
        <x:v>120244050701710399</x:v>
      </x:c>
      <x:c r="E682" t="str">
        <x:v>Uzman Hekim Başvuru</x:v>
      </x:c>
      <x:c r="F682" t="str">
        <x:v>OUTCOME_LEADS</x:v>
      </x:c>
      <x:c r="G682" t="n">
        <x:v>3399</x:v>
      </x:c>
      <x:c r="H682" s="28" t="n">
        <x:v>607.36</x:v>
      </x:c>
      <x:c r="I682" t="n">
        <x:v>3994</x:v>
      </x:c>
      <x:c r="J682" t="n">
        <x:v>46</x:v>
      </x:c>
      <x:c r="K682" t="n">
        <x:v>27</x:v>
      </x:c>
      <x:c r="L682" s="27" t="n">
        <x:f>IFERROR(K682/I682,0)</x:f>
        <x:v>0.006760140210315473</x:v>
      </x:c>
      <x:c r="M682" s="28" t="n">
        <x:f>IFERROR(H682/K682,0)</x:f>
        <x:v>22.494814814814816</x:v>
      </x:c>
      <x:c r="N682" s="28" t="n">
        <x:f>IFERROR(H682/I682*1000,0)</x:f>
        <x:v>152.06810215322986</x:v>
      </x:c>
      <x:c r="O682" t="n">
        <x:v>1.175051</x:v>
      </x:c>
      <x:c r="P682" t="n">
        <x:v>4</x:v>
      </x:c>
      <x:c r="Q682" s="28" t="n">
        <x:v>0</x:v>
      </x:c>
      <x:c r="R682" s="28" t="n">
        <x:v>0</x:v>
      </x:c>
    </x:row>
    <x:row r="683">
      <x:c r="A683" t="str">
        <x:v>2026-08-05</x:v>
      </x:c>
      <x:c r="B683" t="str">
        <x:v>449281783851362</x:v>
      </x:c>
      <x:c r="C683" t="str">
        <x:v>Doruk Hastaneleri - SİNA ÖZEL Sağlık Hizmetleri A.ş</x:v>
      </x:c>
      <x:c r="D683" t="str">
        <x:v>120246476228800399</x:v>
      </x:c>
      <x:c r="E683" t="str">
        <x:v>FTR Yatılı - lead</x:v>
      </x:c>
      <x:c r="F683" t="str">
        <x:v>OUTCOME_LEADS</x:v>
      </x:c>
      <x:c r="G683" t="n">
        <x:v>36704</x:v>
      </x:c>
      <x:c r="H683" s="28" t="n">
        <x:v>3585.33</x:v>
      </x:c>
      <x:c r="I683" t="n">
        <x:v>40761</x:v>
      </x:c>
      <x:c r="J683" t="n">
        <x:v>303</x:v>
      </x:c>
      <x:c r="K683" t="n">
        <x:v>174</x:v>
      </x:c>
      <x:c r="L683" s="27" t="n">
        <x:f>IFERROR(K683/I683,0)</x:f>
        <x:v>0.004268786339883712</x:v>
      </x:c>
      <x:c r="M683" s="28" t="n">
        <x:f>IFERROR(H683/K683,0)</x:f>
        <x:v>20.605344827586208</x:v>
      </x:c>
      <x:c r="N683" s="28" t="n">
        <x:f>IFERROR(H683/I683*1000,0)</x:f>
        <x:v>87.95981452859351</x:v>
      </x:c>
      <x:c r="O683" t="n">
        <x:v>1.110533</x:v>
      </x:c>
      <x:c r="P683" t="n">
        <x:v>9</x:v>
      </x:c>
      <x:c r="Q683" s="28" t="n">
        <x:v>0</x:v>
      </x:c>
      <x:c r="R683" s="28" t="n">
        <x:v>0</x:v>
      </x:c>
    </x:row>
    <x:row r="684">
      <x:c r="A684" t="str">
        <x:v>2026-08-05</x:v>
      </x:c>
      <x:c r="B684" t="str">
        <x:v>449281783851362</x:v>
      </x:c>
      <x:c r="C684" t="str">
        <x:v>Doruk Hastaneleri - SİNA ÖZEL Sağlık Hizmetleri A.ş</x:v>
      </x:c>
      <x:c r="D684" t="str">
        <x:v>120246691590090399</x:v>
      </x:c>
      <x:c r="E684" t="str">
        <x:v>Hemşire İş Başvuru - lead</x:v>
      </x:c>
      <x:c r="F684" t="str">
        <x:v>OUTCOME_LEADS</x:v>
      </x:c>
      <x:c r="G684" t="n">
        <x:v>8844</x:v>
      </x:c>
      <x:c r="H684" s="28" t="n">
        <x:v>717.36</x:v>
      </x:c>
      <x:c r="I684" t="n">
        <x:v>12464</x:v>
      </x:c>
      <x:c r="J684" t="n">
        <x:v>69</x:v>
      </x:c>
      <x:c r="K684" t="n">
        <x:v>46</x:v>
      </x:c>
      <x:c r="L684" s="27" t="n">
        <x:f>IFERROR(K684/I684,0)</x:f>
        <x:v>0.0036906290115532735</x:v>
      </x:c>
      <x:c r="M684" s="28" t="n">
        <x:f>IFERROR(H684/K684,0)</x:f>
        <x:v>15.594782608695652</x:v>
      </x:c>
      <x:c r="N684" s="28" t="n">
        <x:f>IFERROR(H684/I684*1000,0)</x:f>
        <x:v>57.55455712451862</x:v>
      </x:c>
      <x:c r="O684" t="n">
        <x:v>1.409317</x:v>
      </x:c>
      <x:c r="P684" t="n">
        <x:v>2</x:v>
      </x:c>
      <x:c r="Q684" s="28" t="n">
        <x:v>0</x:v>
      </x:c>
      <x:c r="R684" s="28" t="n">
        <x:v>0</x:v>
      </x:c>
    </x:row>
    <x:row r="685">
      <x:c r="A685" t="str">
        <x:v>2026-08-05</x:v>
      </x:c>
      <x:c r="B685" t="str">
        <x:v>449281783851362</x:v>
      </x:c>
      <x:c r="C685" t="str">
        <x:v>Doruk Hastaneleri - SİNA ÖZEL Sağlık Hizmetleri A.ş</x:v>
      </x:c>
      <x:c r="D685" t="str">
        <x:v>120246924981440399</x:v>
      </x:c>
      <x:c r="E685" t="str">
        <x:v>ÖSS-TSS - marka bilinirliği</x:v>
      </x:c>
      <x:c r="F685" t="str">
        <x:v>OUTCOME_AWARENESS</x:v>
      </x:c>
      <x:c r="G685" t="n">
        <x:v>86705</x:v>
      </x:c>
      <x:c r="H685" s="28" t="n">
        <x:v>1192.64</x:v>
      </x:c>
      <x:c r="I685" t="n">
        <x:v>90068</x:v>
      </x:c>
      <x:c r="J685" t="n">
        <x:v>96</x:v>
      </x:c>
      <x:c r="K685" t="n">
        <x:v>19</x:v>
      </x:c>
      <x:c r="L685" s="27" t="n">
        <x:f>IFERROR(K685/I685,0)</x:f>
        <x:v>0.00021095172536305903</x:v>
      </x:c>
      <x:c r="M685" s="28" t="n">
        <x:f>IFERROR(H685/K685,0)</x:f>
        <x:v>62.77052631578948</x:v>
      </x:c>
      <x:c r="N685" s="28" t="n">
        <x:f>IFERROR(H685/I685*1000,0)</x:f>
        <x:v>13.241550828263092</x:v>
      </x:c>
      <x:c r="O685" t="n">
        <x:v>1.038787</x:v>
      </x:c>
      <x:c r="P685" t="n">
        <x:v>0</x:v>
      </x:c>
      <x:c r="Q685" s="28" t="n">
        <x:v>0</x:v>
      </x:c>
      <x:c r="R685" s="28" t="n">
        <x:v>0</x:v>
      </x:c>
    </x:row>
    <x:row r="686">
      <x:c r="A686" t="str">
        <x:v>2026-08-05</x:v>
      </x:c>
      <x:c r="B686" t="str">
        <x:v>449281783851362</x:v>
      </x:c>
      <x:c r="C686" t="str">
        <x:v>Doruk Hastaneleri - SİNA ÖZEL Sağlık Hizmetleri A.ş</x:v>
      </x:c>
      <x:c r="D686" t="str">
        <x:v>120247034876600399</x:v>
      </x:c>
      <x:c r="E686" t="str">
        <x:v>Gebe-Doğum Bilinirlik</x:v>
      </x:c>
      <x:c r="F686" t="str">
        <x:v>OUTCOME_AWARENESS</x:v>
      </x:c>
      <x:c r="G686" t="n">
        <x:v>67354</x:v>
      </x:c>
      <x:c r="H686" s="28" t="n">
        <x:v>611.98</x:v>
      </x:c>
      <x:c r="I686" t="n">
        <x:v>68928</x:v>
      </x:c>
      <x:c r="J686" t="n">
        <x:v>64</x:v>
      </x:c>
      <x:c r="K686" t="n">
        <x:v>0</x:v>
      </x:c>
      <x:c r="L686" s="27" t="n">
        <x:f>IFERROR(K686/I686,0)</x:f>
        <x:v>0</x:v>
      </x:c>
      <x:c r="M686" s="28" t="n">
        <x:f>IFERROR(H686/K686,0)</x:f>
        <x:v>0</x:v>
      </x:c>
      <x:c r="N686" s="28" t="n">
        <x:f>IFERROR(H686/I686*1000,0)</x:f>
        <x:v>8.878539925719593</x:v>
      </x:c>
      <x:c r="O686" t="n">
        <x:v>1.023369</x:v>
      </x:c>
      <x:c r="P686" t="n">
        <x:v>0</x:v>
      </x:c>
      <x:c r="Q686" s="28" t="n">
        <x:v>0</x:v>
      </x:c>
      <x:c r="R686" s="28" t="n">
        <x:v>0</x:v>
      </x:c>
    </x:row>
    <x:row r="687">
      <x:c r="A687" t="str">
        <x:v>2026-08-05</x:v>
      </x:c>
      <x:c r="B687" t="str">
        <x:v>449281783851362</x:v>
      </x:c>
      <x:c r="C687" t="str">
        <x:v>Doruk Hastaneleri - SİNA ÖZEL Sağlık Hizmetleri A.ş</x:v>
      </x:c>
      <x:c r="D687" t="str">
        <x:v>120248812698040399</x:v>
      </x:c>
      <x:c r="E687" t="str">
        <x:v>ABO / Medikal Estetik lead / 16.04.2026</x:v>
      </x:c>
      <x:c r="F687" t="str">
        <x:v>OUTCOME_LEADS</x:v>
      </x:c>
      <x:c r="G687" t="n">
        <x:v>14465</x:v>
      </x:c>
      <x:c r="H687" s="28" t="n">
        <x:v>1818.12</x:v>
      </x:c>
      <x:c r="I687" t="n">
        <x:v>16512</x:v>
      </x:c>
      <x:c r="J687" t="n">
        <x:v>160</x:v>
      </x:c>
      <x:c r="K687" t="n">
        <x:v>64</x:v>
      </x:c>
      <x:c r="L687" s="27" t="n">
        <x:f>IFERROR(K687/I687,0)</x:f>
        <x:v>0.003875968992248062</x:v>
      </x:c>
      <x:c r="M687" s="28" t="n">
        <x:f>IFERROR(H687/K687,0)</x:f>
        <x:v>28.408125</x:v>
      </x:c>
      <x:c r="N687" s="28" t="n">
        <x:f>IFERROR(H687/I687*1000,0)</x:f>
        <x:v>110.10901162790697</x:v>
      </x:c>
      <x:c r="O687" t="n">
        <x:v>1.141514</x:v>
      </x:c>
      <x:c r="P687" t="n">
        <x:v>21</x:v>
      </x:c>
      <x:c r="Q687" s="28" t="n">
        <x:v>0</x:v>
      </x:c>
      <x:c r="R687" s="28" t="n">
        <x:v>0</x:v>
      </x:c>
    </x:row>
    <x:row r="688">
      <x:c r="A688" t="str">
        <x:v>2026-08-05</x:v>
      </x:c>
      <x:c r="B688" t="str">
        <x:v>449281783851362</x:v>
      </x:c>
      <x:c r="C688" t="str">
        <x:v>Doruk Hastaneleri - SİNA ÖZEL Sağlık Hizmetleri A.ş</x:v>
      </x:c>
      <x:c r="D688" t="str">
        <x:v>120249061996540399</x:v>
      </x:c>
      <x:c r="E688" t="str">
        <x:v>Doktor - Bilinirlik Kampanyası - Nilüfer</x:v>
      </x:c>
      <x:c r="F688" t="str">
        <x:v>OUTCOME_AWARENESS</x:v>
      </x:c>
      <x:c r="G688" t="n">
        <x:v>249970</x:v>
      </x:c>
      <x:c r="H688" s="28" t="n">
        <x:v>2250.68</x:v>
      </x:c>
      <x:c r="I688" t="n">
        <x:v>283211</x:v>
      </x:c>
      <x:c r="J688" t="n">
        <x:v>232</x:v>
      </x:c>
      <x:c r="K688" t="n">
        <x:v>0</x:v>
      </x:c>
      <x:c r="L688" s="27" t="n">
        <x:f>IFERROR(K688/I688,0)</x:f>
        <x:v>0</x:v>
      </x:c>
      <x:c r="M688" s="28" t="n">
        <x:f>IFERROR(H688/K688,0)</x:f>
        <x:v>0</x:v>
      </x:c>
      <x:c r="N688" s="28" t="n">
        <x:f>IFERROR(H688/I688*1000,0)</x:f>
        <x:v>7.947007708033939</x:v>
      </x:c>
      <x:c r="O688" t="n">
        <x:v>1.13298</x:v>
      </x:c>
      <x:c r="P688" t="n">
        <x:v>0</x:v>
      </x:c>
      <x:c r="Q688" s="28" t="n">
        <x:v>0</x:v>
      </x:c>
      <x:c r="R688" s="28" t="n">
        <x:v>0</x:v>
      </x:c>
    </x:row>
    <x:row r="689">
      <x:c r="A689" t="str">
        <x:v>2026-08-05</x:v>
      </x:c>
      <x:c r="B689" t="str">
        <x:v>449281783851362</x:v>
      </x:c>
      <x:c r="C689" t="str">
        <x:v>Doruk Hastaneleri - SİNA ÖZEL Sağlık Hizmetleri A.ş</x:v>
      </x:c>
      <x:c r="D689" t="str">
        <x:v>120249614228610399</x:v>
      </x:c>
      <x:c r="E689" t="str">
        <x:v>Instagram gönderisi: Bir sezon boyunca ortaya...</x:v>
      </x:c>
      <x:c r="F689" t="str">
        <x:v>LINK_CLICKS</x:v>
      </x:c>
      <x:c r="G689" t="n">
        <x:v>64221</x:v>
      </x:c>
      <x:c r="H689" s="28" t="n">
        <x:v>3270.31</x:v>
      </x:c>
      <x:c r="I689" t="n">
        <x:v>68618</x:v>
      </x:c>
      <x:c r="J689" t="n">
        <x:v>800</x:v>
      </x:c>
      <x:c r="K689" t="n">
        <x:v>797</x:v>
      </x:c>
      <x:c r="L689" s="27" t="n">
        <x:f>IFERROR(K689/I689,0)</x:f>
        <x:v>0.011615028126730596</x:v>
      </x:c>
      <x:c r="M689" s="28" t="n">
        <x:f>IFERROR(H689/K689,0)</x:f>
        <x:v>4.1032747804266</x:v>
      </x:c>
      <x:c r="N689" s="28" t="n">
        <x:f>IFERROR(H689/I689*1000,0)</x:f>
        <x:v>47.659651986359265</x:v>
      </x:c>
      <x:c r="O689" t="n">
        <x:v>1.068467</x:v>
      </x:c>
      <x:c r="P689" t="n">
        <x:v>0</x:v>
      </x:c>
      <x:c r="Q689" s="28" t="n">
        <x:v>0</x:v>
      </x:c>
      <x:c r="R689" s="28" t="n">
        <x:v>0</x:v>
      </x:c>
    </x:row>
    <x:row r="690">
      <x:c r="A690" t="str">
        <x:v>2026-08-05</x:v>
      </x:c>
      <x:c r="B690" t="str">
        <x:v>449281783851362</x:v>
      </x:c>
      <x:c r="C690" t="str">
        <x:v>Doruk Hastaneleri - SİNA ÖZEL Sağlık Hizmetleri A.ş</x:v>
      </x:c>
      <x:c r="D690" t="str">
        <x:v>120251414264130399</x:v>
      </x:c>
      <x:c r="E690" t="str">
        <x:v>Prostat Checkup - lead</x:v>
      </x:c>
      <x:c r="F690" t="str">
        <x:v>OUTCOME_LEADS</x:v>
      </x:c>
      <x:c r="G690" t="n">
        <x:v>3738</x:v>
      </x:c>
      <x:c r="H690" s="28" t="n">
        <x:v>376.73</x:v>
      </x:c>
      <x:c r="I690" t="n">
        <x:v>4531</x:v>
      </x:c>
      <x:c r="J690" t="n">
        <x:v>150</x:v>
      </x:c>
      <x:c r="K690" t="n">
        <x:v>40</x:v>
      </x:c>
      <x:c r="L690" s="27" t="n">
        <x:f>IFERROR(K690/I690,0)</x:f>
        <x:v>0.008828073273008165</x:v>
      </x:c>
      <x:c r="M690" s="28" t="n">
        <x:f>IFERROR(H690/K690,0)</x:f>
        <x:v>9.41825</x:v>
      </x:c>
      <x:c r="N690" s="28" t="n">
        <x:f>IFERROR(H690/I690*1000,0)</x:f>
        <x:v>83.14500110350917</x:v>
      </x:c>
      <x:c r="O690" t="n">
        <x:v>1.212146</x:v>
      </x:c>
      <x:c r="P690" t="n">
        <x:v>4</x:v>
      </x:c>
      <x:c r="Q690" s="28" t="n">
        <x:v>0</x:v>
      </x:c>
      <x:c r="R690" s="28" t="n">
        <x:v>0</x:v>
      </x:c>
    </x:row>
    <x:row r="691">
      <x:c r="A691" t="str">
        <x:v>2026-08-05</x:v>
      </x:c>
      <x:c r="B691" t="str">
        <x:v>449281783851362</x:v>
      </x:c>
      <x:c r="C691" t="str">
        <x:v>Doruk Hastaneleri - SİNA ÖZEL Sağlık Hizmetleri A.ş</x:v>
      </x:c>
      <x:c r="D691" t="str">
        <x:v>120252323141170399</x:v>
      </x:c>
      <x:c r="E691" t="str">
        <x:v>Instagram gönderisi: Medikal estetik alanındaki...</x:v>
      </x:c>
      <x:c r="F691" t="str">
        <x:v>LINK_CLICKS</x:v>
      </x:c>
      <x:c r="G691" t="n">
        <x:v>4272</x:v>
      </x:c>
      <x:c r="H691" s="28" t="n">
        <x:v>299.59</x:v>
      </x:c>
      <x:c r="I691" t="n">
        <x:v>4642</x:v>
      </x:c>
      <x:c r="J691" t="n">
        <x:v>84</x:v>
      </x:c>
      <x:c r="K691" t="n">
        <x:v>78</x:v>
      </x:c>
      <x:c r="L691" s="27" t="n">
        <x:f>IFERROR(K691/I691,0)</x:f>
        <x:v>0.01680310211115898</x:v>
      </x:c>
      <x:c r="M691" s="28" t="n">
        <x:f>IFERROR(H691/K691,0)</x:f>
        <x:v>3.8408974358974355</x:v>
      </x:c>
      <x:c r="N691" s="28" t="n">
        <x:f>IFERROR(H691/I691*1000,0)</x:f>
        <x:v>64.53899181387332</x:v>
      </x:c>
      <x:c r="O691" t="n">
        <x:v>1.08661</x:v>
      </x:c>
      <x:c r="P691" t="n">
        <x:v>0</x:v>
      </x:c>
      <x:c r="Q691" s="28" t="n">
        <x:v>0</x:v>
      </x:c>
      <x:c r="R691" s="28" t="n">
        <x:v>0</x:v>
      </x:c>
    </x:row>
    <x:row r="692">
      <x:c r="A692" t="str">
        <x:v>2026-08-05</x:v>
      </x:c>
      <x:c r="B692" t="str">
        <x:v>449281783851362</x:v>
      </x:c>
      <x:c r="C692" t="str">
        <x:v>Doruk Hastaneleri - SİNA ÖZEL Sağlık Hizmetleri A.ş</x:v>
      </x:c>
      <x:c r="D692" t="str">
        <x:v>120255158812950399</x:v>
      </x:c>
      <x:c r="E692" t="str">
        <x:v>Doktor - Bilinirlik Kampanyası - Yıldırım</x:v>
      </x:c>
      <x:c r="F692" t="str">
        <x:v>OUTCOME_AWARENESS</x:v>
      </x:c>
      <x:c r="G692" t="n">
        <x:v>137128</x:v>
      </x:c>
      <x:c r="H692" s="28" t="n">
        <x:v>1219.87</x:v>
      </x:c>
      <x:c r="I692" t="n">
        <x:v>152010</x:v>
      </x:c>
      <x:c r="J692" t="n">
        <x:v>81</x:v>
      </x:c>
      <x:c r="K692" t="n">
        <x:v>0</x:v>
      </x:c>
      <x:c r="L692" s="27" t="n">
        <x:f>IFERROR(K692/I692,0)</x:f>
        <x:v>0</x:v>
      </x:c>
      <x:c r="M692" s="28" t="n">
        <x:f>IFERROR(H692/K692,0)</x:f>
        <x:v>0</x:v>
      </x:c>
      <x:c r="N692" s="28" t="n">
        <x:f>IFERROR(H692/I692*1000,0)</x:f>
        <x:v>8.024932570225642</x:v>
      </x:c>
      <x:c r="O692" t="n">
        <x:v>1.108526</x:v>
      </x:c>
      <x:c r="P692" t="n">
        <x:v>0</x:v>
      </x:c>
      <x:c r="Q692" s="28" t="n">
        <x:v>0</x:v>
      </x:c>
      <x:c r="R692" s="28" t="n">
        <x:v>0</x:v>
      </x:c>
    </x:row>
    <x:row r="693">
      <x:c r="A693" t="str">
        <x:v>2026-08-05</x:v>
      </x:c>
      <x:c r="B693" t="str">
        <x:v>449281783851362</x:v>
      </x:c>
      <x:c r="C693" t="str">
        <x:v>Doruk Hastaneleri - SİNA ÖZEL Sağlık Hizmetleri A.ş</x:v>
      </x:c>
      <x:c r="D693" t="str">
        <x:v>120255738303970399</x:v>
      </x:c>
      <x:c r="E693" t="str">
        <x:v>Instagram gönderisi: 🏅 BURSA'DA BİR İLK
Özel...</x:v>
      </x:c>
      <x:c r="F693" t="str">
        <x:v>LINK_CLICKS</x:v>
      </x:c>
      <x:c r="G693" t="n">
        <x:v>9440</x:v>
      </x:c>
      <x:c r="H693" s="28" t="n">
        <x:v>663.68</x:v>
      </x:c>
      <x:c r="I693" t="n">
        <x:v>9663</x:v>
      </x:c>
      <x:c r="J693" t="n">
        <x:v>217</x:v>
      </x:c>
      <x:c r="K693" t="n">
        <x:v>212</x:v>
      </x:c>
      <x:c r="L693" s="27" t="n">
        <x:f>IFERROR(K693/I693,0)</x:f>
        <x:v>0.02193935630756494</x:v>
      </x:c>
      <x:c r="M693" s="28" t="n">
        <x:f>IFERROR(H693/K693,0)</x:f>
        <x:v>3.1305660377358486</x:v>
      </x:c>
      <x:c r="N693" s="28" t="n">
        <x:f>IFERROR(H693/I693*1000,0)</x:f>
        <x:v>68.68260374624857</x:v>
      </x:c>
      <x:c r="O693" t="n">
        <x:v>1.023623</x:v>
      </x:c>
      <x:c r="P693" t="n">
        <x:v>0</x:v>
      </x:c>
      <x:c r="Q693" s="28" t="n">
        <x:v>0</x:v>
      </x:c>
      <x:c r="R693" s="28" t="n">
        <x:v>0</x:v>
      </x:c>
    </x:row>
    <x:row r="694">
      <x:c r="A694" t="str">
        <x:v>2026-08-05</x:v>
      </x:c>
      <x:c r="B694" t="str">
        <x:v>449281783851362</x:v>
      </x:c>
      <x:c r="C694" t="str">
        <x:v>Doruk Hastaneleri - SİNA ÖZEL Sağlık Hizmetleri A.ş</x:v>
      </x:c>
      <x:c r="D694" t="str">
        <x:v>120255739080510399</x:v>
      </x:c>
      <x:c r="E694" t="str">
        <x:v>Gönderi: "👃 Rinoplasti Ameliyatı Nedir? Yumuşak Doku Neden..."</x:v>
      </x:c>
      <x:c r="F694" t="str">
        <x:v>OUTCOME_ENGAGEMENT</x:v>
      </x:c>
      <x:c r="G694" t="n">
        <x:v>11218</x:v>
      </x:c>
      <x:c r="H694" s="28" t="n">
        <x:v>756.94</x:v>
      </x:c>
      <x:c r="I694" t="n">
        <x:v>13032</x:v>
      </x:c>
      <x:c r="J694" t="n">
        <x:v>509</x:v>
      </x:c>
      <x:c r="K694" t="n">
        <x:v>213</x:v>
      </x:c>
      <x:c r="L694" s="27" t="n">
        <x:f>IFERROR(K694/I694,0)</x:f>
        <x:v>0.01634438305709024</x:v>
      </x:c>
      <x:c r="M694" s="28" t="n">
        <x:f>IFERROR(H694/K694,0)</x:f>
        <x:v>3.553708920187794</x:v>
      </x:c>
      <x:c r="N694" s="28" t="n">
        <x:f>IFERROR(H694/I694*1000,0)</x:f>
        <x:v>58.08317986494783</x:v>
      </x:c>
      <x:c r="O694" t="n">
        <x:v>1.161704</x:v>
      </x:c>
      <x:c r="P694" t="n">
        <x:v>0</x:v>
      </x:c>
      <x:c r="Q694" s="28" t="n">
        <x:v>0</x:v>
      </x:c>
      <x:c r="R694" s="28" t="n">
        <x:v>0</x:v>
      </x:c>
    </x:row>
    <x:row r="695">
      <x:c r="A695" t="str">
        <x:v>2026-08-05</x:v>
      </x:c>
      <x:c r="B695" t="str">
        <x:v>449281783851362</x:v>
      </x:c>
      <x:c r="C695" t="str">
        <x:v>Doruk Hastaneleri - SİNA ÖZEL Sağlık Hizmetleri A.ş</x:v>
      </x:c>
      <x:c r="D695" t="str">
        <x:v>120255739163090399</x:v>
      </x:c>
      <x:c r="E695" t="str">
        <x:v>Instagram gönderisi: 👃 Rinoplasti Ameliyatı...</x:v>
      </x:c>
      <x:c r="F695" t="str">
        <x:v>LINK_CLICKS</x:v>
      </x:c>
      <x:c r="G695" t="n">
        <x:v>12268</x:v>
      </x:c>
      <x:c r="H695" s="28" t="n">
        <x:v>756.06</x:v>
      </x:c>
      <x:c r="I695" t="n">
        <x:v>13017</x:v>
      </x:c>
      <x:c r="J695" t="n">
        <x:v>419</x:v>
      </x:c>
      <x:c r="K695" t="n">
        <x:v>423</x:v>
      </x:c>
      <x:c r="L695" s="27" t="n">
        <x:f>IFERROR(K695/I695,0)</x:f>
        <x:v>0.03249596681262964</x:v>
      </x:c>
      <x:c r="M695" s="28" t="n">
        <x:f>IFERROR(H695/K695,0)</x:f>
        <x:v>1.7873758865248226</x:v>
      </x:c>
      <x:c r="N695" s="28" t="n">
        <x:f>IFERROR(H695/I695*1000,0)</x:f>
        <x:v>58.08250749020511</x:v>
      </x:c>
      <x:c r="O695" t="n">
        <x:v>1.061053</x:v>
      </x:c>
      <x:c r="P695" t="n">
        <x:v>0</x:v>
      </x:c>
      <x:c r="Q695" s="28" t="n">
        <x:v>0</x:v>
      </x:c>
      <x:c r="R695" s="28" t="n">
        <x:v>0</x:v>
      </x:c>
    </x:row>
    <x:row r="696">
      <x:c r="A696" t="str">
        <x:v>2026-08-05</x:v>
      </x:c>
      <x:c r="B696" t="str">
        <x:v>449281783851362</x:v>
      </x:c>
      <x:c r="C696" t="str">
        <x:v>Doruk Hastaneleri - SİNA ÖZEL Sağlık Hizmetleri A.ş</x:v>
      </x:c>
      <x:c r="D696" t="str">
        <x:v>120255739194330399</x:v>
      </x:c>
      <x:c r="E696" t="str">
        <x:v>Instagram gönderisi: 🖐️ Parmak Ucu Defekti Nasıl...</x:v>
      </x:c>
      <x:c r="F696" t="str">
        <x:v>LINK_CLICKS</x:v>
      </x:c>
      <x:c r="G696" t="n">
        <x:v>9721</x:v>
      </x:c>
      <x:c r="H696" s="28" t="n">
        <x:v>822.76</x:v>
      </x:c>
      <x:c r="I696" t="n">
        <x:v>9958</x:v>
      </x:c>
      <x:c r="J696" t="n">
        <x:v>241</x:v>
      </x:c>
      <x:c r="K696" t="n">
        <x:v>199</x:v>
      </x:c>
      <x:c r="L696" s="27" t="n">
        <x:f>IFERROR(K696/I696,0)</x:f>
        <x:v>0.019983932516569592</x:v>
      </x:c>
      <x:c r="M696" s="28" t="n">
        <x:f>IFERROR(H696/K696,0)</x:f>
        <x:v>4.1344723618090455</x:v>
      </x:c>
      <x:c r="N696" s="28" t="n">
        <x:f>IFERROR(H696/I696*1000,0)</x:f>
        <x:v>82.62301667001405</x:v>
      </x:c>
      <x:c r="O696" t="n">
        <x:v>1.02438</x:v>
      </x:c>
      <x:c r="P696" t="n">
        <x:v>0</x:v>
      </x:c>
      <x:c r="Q696" s="28" t="n">
        <x:v>0</x:v>
      </x:c>
      <x:c r="R696" s="28" t="n">
        <x:v>0</x:v>
      </x:c>
    </x:row>
    <x:row r="697">
      <x:c r="A697" t="str">
        <x:v>2026-08-05</x:v>
      </x:c>
      <x:c r="B697" t="str">
        <x:v>449281783851362</x:v>
      </x:c>
      <x:c r="C697" t="str">
        <x:v>Doruk Hastaneleri - SİNA ÖZEL Sağlık Hizmetleri A.ş</x:v>
      </x:c>
      <x:c r="D697" t="str">
        <x:v>120255763855030399</x:v>
      </x:c>
      <x:c r="E697" t="str">
        <x:v>Doktor - Bilinirlik Kampanyası - Çekirge</x:v>
      </x:c>
      <x:c r="F697" t="str">
        <x:v>OUTCOME_AWARENESS</x:v>
      </x:c>
      <x:c r="G697" t="n">
        <x:v>116895</x:v>
      </x:c>
      <x:c r="H697" s="28" t="n">
        <x:v>1201.44</x:v>
      </x:c>
      <x:c r="I697" t="n">
        <x:v>142552</x:v>
      </x:c>
      <x:c r="J697" t="n">
        <x:v>110</x:v>
      </x:c>
      <x:c r="K697" t="n">
        <x:v>0</x:v>
      </x:c>
      <x:c r="L697" s="27" t="n">
        <x:f>IFERROR(K697/I697,0)</x:f>
        <x:v>0</x:v>
      </x:c>
      <x:c r="M697" s="28" t="n">
        <x:f>IFERROR(H697/K697,0)</x:f>
        <x:v>0</x:v>
      </x:c>
      <x:c r="N697" s="28" t="n">
        <x:f>IFERROR(H697/I697*1000,0)</x:f>
        <x:v>8.428082383972164</x:v>
      </x:c>
      <x:c r="O697" t="n">
        <x:v>1.219488</x:v>
      </x:c>
      <x:c r="P697" t="n">
        <x:v>0</x:v>
      </x:c>
      <x:c r="Q697" s="28" t="n">
        <x:v>0</x:v>
      </x:c>
      <x:c r="R697" s="28" t="n">
        <x:v>0</x:v>
      </x:c>
    </x:row>
    <x:row r="698">
      <x:c r="A698" t="str">
        <x:v>2026-08-06</x:v>
      </x:c>
      <x:c r="B698" t="str">
        <x:v>449281783851362</x:v>
      </x:c>
      <x:c r="C698" t="str">
        <x:v>Doruk Hastaneleri - SİNA ÖZEL Sağlık Hizmetleri A.ş</x:v>
      </x:c>
      <x:c r="D698" t="str">
        <x:v>120220089108220399</x:v>
      </x:c>
      <x:c r="E698" t="str">
        <x:v>Checkup - genel - lead</x:v>
      </x:c>
      <x:c r="F698" t="str">
        <x:v>OUTCOME_LEADS</x:v>
      </x:c>
      <x:c r="G698" t="n">
        <x:v>0</x:v>
      </x:c>
      <x:c r="H698" s="28" t="n">
        <x:v>0</x:v>
      </x:c>
      <x:c r="I698" t="n">
        <x:v>0</x:v>
      </x:c>
      <x:c r="J698" t="n">
        <x:v>0</x:v>
      </x:c>
      <x:c r="K698" t="n">
        <x:v>0</x:v>
      </x:c>
      <x:c r="L698" s="27" t="n">
        <x:f>IFERROR(K698/I698,0)</x:f>
        <x:v>0</x:v>
      </x:c>
      <x:c r="M698" s="28" t="n">
        <x:f>IFERROR(H698/K698,0)</x:f>
        <x:v>0</x:v>
      </x:c>
      <x:c r="N698" s="28" t="n">
        <x:f>IFERROR(H698/I698*1000,0)</x:f>
        <x:v>0</x:v>
      </x:c>
      <x:c r="O698" t="n">
        <x:v>0</x:v>
      </x:c>
      <x:c r="P698" t="n">
        <x:v>0</x:v>
      </x:c>
      <x:c r="Q698" s="28" t="n">
        <x:v>0</x:v>
      </x:c>
      <x:c r="R698" s="28" t="n">
        <x:v>0</x:v>
      </x:c>
    </x:row>
    <x:row r="699">
      <x:c r="A699" t="str">
        <x:v>2026-08-06</x:v>
      </x:c>
      <x:c r="B699" t="str">
        <x:v>170008509278498</x:v>
      </x:c>
      <x:c r="C699" t="str">
        <x:v>Doruk Hospital</x:v>
      </x:c>
      <x:c r="D699" t="str">
        <x:v>120232382033210080</x:v>
      </x:c>
      <x:c r="E699" t="str">
        <x:v>Fizik Tedavi - Intensive FTR - Türki Cumhuriyetler - Tümü - RU - Lechenie v Turtsii - lead</x:v>
      </x:c>
      <x:c r="F699" t="str">
        <x:v>OUTCOME_LEADS</x:v>
      </x:c>
      <x:c r="G699" t="n">
        <x:v>73605</x:v>
      </x:c>
      <x:c r="H699" s="28" t="n">
        <x:v>9041.23</x:v>
      </x:c>
      <x:c r="I699" t="n">
        <x:v>82917</x:v>
      </x:c>
      <x:c r="J699" t="n">
        <x:v>472</x:v>
      </x:c>
      <x:c r="K699" t="n">
        <x:v>346</x:v>
      </x:c>
      <x:c r="L699" s="27" t="n">
        <x:f>IFERROR(K699/I699,0)</x:f>
        <x:v>0.004172847546341522</x:v>
      </x:c>
      <x:c r="M699" s="28" t="n">
        <x:f>IFERROR(H699/K699,0)</x:f>
        <x:v>26.1307225433526</x:v>
      </x:c>
      <x:c r="N699" s="28" t="n">
        <x:f>IFERROR(H699/I699*1000,0)</x:f>
        <x:v>109.03952144916</x:v>
      </x:c>
      <x:c r="O699" t="n">
        <x:v>1.126513</x:v>
      </x:c>
      <x:c r="P699" t="n">
        <x:v>3</x:v>
      </x:c>
      <x:c r="Q699" s="28" t="n">
        <x:v>0</x:v>
      </x:c>
      <x:c r="R699" s="28" t="n">
        <x:v>0</x:v>
      </x:c>
    </x:row>
    <x:row r="700">
      <x:c r="A700" t="str">
        <x:v>2026-08-06</x:v>
      </x:c>
      <x:c r="B700" t="str">
        <x:v>170008509278498</x:v>
      </x:c>
      <x:c r="C700" t="str">
        <x:v>Doruk Hospital</x:v>
      </x:c>
      <x:c r="D700" t="str">
        <x:v>120238651325780080</x:v>
      </x:c>
      <x:c r="E700" t="str">
        <x:v>Whatsapp - Fizik Tedavi - Intensive FTR - Arap Bölgesi - Tümü - AR - Doruk İlaj Turkia</x:v>
      </x:c>
      <x:c r="F700" t="str">
        <x:v>OUTCOME_LEADS</x:v>
      </x:c>
      <x:c r="G700" t="n">
        <x:v>46480</x:v>
      </x:c>
      <x:c r="H700" s="28" t="n">
        <x:v>12907.67</x:v>
      </x:c>
      <x:c r="I700" t="n">
        <x:v>50329</x:v>
      </x:c>
      <x:c r="J700" t="n">
        <x:v>250</x:v>
      </x:c>
      <x:c r="K700" t="n">
        <x:v>113</x:v>
      </x:c>
      <x:c r="L700" s="27" t="n">
        <x:f>IFERROR(K700/I700,0)</x:f>
        <x:v>0.0022452264102207475</x:v>
      </x:c>
      <x:c r="M700" s="28" t="n">
        <x:f>IFERROR(H700/K700,0)</x:f>
        <x:v>114.22716814159293</x:v>
      </x:c>
      <x:c r="N700" s="28" t="n">
        <x:f>IFERROR(H700/I700*1000,0)</x:f>
        <x:v>256.4658546762304</x:v>
      </x:c>
      <x:c r="O700" t="n">
        <x:v>1.08281</x:v>
      </x:c>
      <x:c r="P700" t="n">
        <x:v>0</x:v>
      </x:c>
      <x:c r="Q700" s="28" t="n">
        <x:v>0</x:v>
      </x:c>
      <x:c r="R700" s="28" t="n">
        <x:v>0</x:v>
      </x:c>
    </x:row>
    <x:row r="701">
      <x:c r="A701" t="str">
        <x:v>2026-08-06</x:v>
      </x:c>
      <x:c r="B701" t="str">
        <x:v>449281783851362</x:v>
      </x:c>
      <x:c r="C701" t="str">
        <x:v>Doruk Hastaneleri - SİNA ÖZEL Sağlık Hizmetleri A.ş</x:v>
      </x:c>
      <x:c r="D701" t="str">
        <x:v>120242415465180399</x:v>
      </x:c>
      <x:c r="E701" t="str">
        <x:v>Gebe-Doğum Form Kampanyası</x:v>
      </x:c>
      <x:c r="F701" t="str">
        <x:v>OUTCOME_LEADS</x:v>
      </x:c>
      <x:c r="G701" t="n">
        <x:v>0</x:v>
      </x:c>
      <x:c r="H701" s="28" t="n">
        <x:v>0</x:v>
      </x:c>
      <x:c r="I701" t="n">
        <x:v>0</x:v>
      </x:c>
      <x:c r="J701" t="n">
        <x:v>0</x:v>
      </x:c>
      <x:c r="K701" t="n">
        <x:v>0</x:v>
      </x:c>
      <x:c r="L701" s="27" t="n">
        <x:f>IFERROR(K701/I701,0)</x:f>
        <x:v>0</x:v>
      </x:c>
      <x:c r="M701" s="28" t="n">
        <x:f>IFERROR(H701/K701,0)</x:f>
        <x:v>0</x:v>
      </x:c>
      <x:c r="N701" s="28" t="n">
        <x:f>IFERROR(H701/I701*1000,0)</x:f>
        <x:v>0</x:v>
      </x:c>
      <x:c r="O701" t="n">
        <x:v>0</x:v>
      </x:c>
      <x:c r="P701" t="n">
        <x:v>0</x:v>
      </x:c>
      <x:c r="Q701" s="28" t="n">
        <x:v>0</x:v>
      </x:c>
      <x:c r="R701" s="28" t="n">
        <x:v>0</x:v>
      </x:c>
    </x:row>
    <x:row r="702">
      <x:c r="A702" t="str">
        <x:v>2026-08-06</x:v>
      </x:c>
      <x:c r="B702" t="str">
        <x:v>170008509278498</x:v>
      </x:c>
      <x:c r="C702" t="str">
        <x:v>Doruk Hospital</x:v>
      </x:c>
      <x:c r="D702" t="str">
        <x:v>120242709752170080</x:v>
      </x:c>
      <x:c r="E702" t="str">
        <x:v>Instagram gönderisi: Аппарат TrueBeam — одна из...</x:v>
      </x:c>
      <x:c r="F702" t="str">
        <x:v>LINK_CLICKS</x:v>
      </x:c>
      <x:c r="G702" t="n">
        <x:v>32968</x:v>
      </x:c>
      <x:c r="H702" s="28" t="n">
        <x:v>1566.24</x:v>
      </x:c>
      <x:c r="I702" t="n">
        <x:v>35078</x:v>
      </x:c>
      <x:c r="J702" t="n">
        <x:v>712</x:v>
      </x:c>
      <x:c r="K702" t="n">
        <x:v>673</x:v>
      </x:c>
      <x:c r="L702" s="27" t="n">
        <x:f>IFERROR(K702/I702,0)</x:f>
        <x:v>0.019185814470608357</x:v>
      </x:c>
      <x:c r="M702" s="28" t="n">
        <x:f>IFERROR(H702/K702,0)</x:f>
        <x:v>2.327251114413076</x:v>
      </x:c>
      <x:c r="N702" s="28" t="n">
        <x:f>IFERROR(H702/I702*1000,0)</x:f>
        <x:v>44.65020810764582</x:v>
      </x:c>
      <x:c r="O702" t="n">
        <x:v>1.064001</x:v>
      </x:c>
      <x:c r="P702" t="n">
        <x:v>0</x:v>
      </x:c>
      <x:c r="Q702" s="28" t="n">
        <x:v>0</x:v>
      </x:c>
      <x:c r="R702" s="28" t="n">
        <x:v>0</x:v>
      </x:c>
    </x:row>
    <x:row r="703">
      <x:c r="A703" t="str">
        <x:v>2026-08-06</x:v>
      </x:c>
      <x:c r="B703" t="str">
        <x:v>449281783851362</x:v>
      </x:c>
      <x:c r="C703" t="str">
        <x:v>Doruk Hastaneleri - SİNA ÖZEL Sağlık Hizmetleri A.ş</x:v>
      </x:c>
      <x:c r="D703" t="str">
        <x:v>120248812698040399</x:v>
      </x:c>
      <x:c r="E703" t="str">
        <x:v>ABO / Medikal Estetik lead / 16.04.2026</x:v>
      </x:c>
      <x:c r="F703" t="str">
        <x:v>OUTCOME_LEADS</x:v>
      </x:c>
      <x:c r="G703" t="n">
        <x:v>0</x:v>
      </x:c>
      <x:c r="H703" s="28" t="n">
        <x:v>0</x:v>
      </x:c>
      <x:c r="I703" t="n">
        <x:v>0</x:v>
      </x:c>
      <x:c r="J703" t="n">
        <x:v>0</x:v>
      </x:c>
      <x:c r="K703" t="n">
        <x:v>0</x:v>
      </x:c>
      <x:c r="L703" s="27" t="n">
        <x:f>IFERROR(K703/I703,0)</x:f>
        <x:v>0</x:v>
      </x:c>
      <x:c r="M703" s="28" t="n">
        <x:f>IFERROR(H703/K703,0)</x:f>
        <x:v>0</x:v>
      </x:c>
      <x:c r="N703" s="28" t="n">
        <x:f>IFERROR(H703/I703*1000,0)</x:f>
        <x:v>0</x:v>
      </x:c>
      <x:c r="O703" t="n">
        <x:v>0</x:v>
      </x:c>
      <x:c r="P703" t="n">
        <x:v>0</x:v>
      </x:c>
      <x:c r="Q703" s="28" t="n">
        <x:v>0</x:v>
      </x:c>
      <x:c r="R703" s="28" t="n">
        <x:v>0</x:v>
      </x:c>
    </x:row>
    <x:row r="704">
      <x:c r="A704" t="str">
        <x:v>2026-08-07</x:v>
      </x:c>
      <x:c r="B704" t="str">
        <x:v>449281783851362</x:v>
      </x:c>
      <x:c r="C704" t="str">
        <x:v>Doruk Hastaneleri - SİNA ÖZEL Sağlık Hizmetleri A.ş</x:v>
      </x:c>
      <x:c r="D704" t="str">
        <x:v>120202624613730399</x:v>
      </x:c>
      <x:c r="E704" t="str">
        <x:v>CBO / Saç Ekimi - lead / soğuk</x:v>
      </x:c>
      <x:c r="F704" t="str">
        <x:v>OUTCOME_LEADS</x:v>
      </x:c>
      <x:c r="G704" t="n">
        <x:v>5538</x:v>
      </x:c>
      <x:c r="H704" s="28" t="n">
        <x:v>1195.98</x:v>
      </x:c>
      <x:c r="I704" t="n">
        <x:v>6675</x:v>
      </x:c>
      <x:c r="J704" t="n">
        <x:v>55</x:v>
      </x:c>
      <x:c r="K704" t="n">
        <x:v>36</x:v>
      </x:c>
      <x:c r="L704" s="27" t="n">
        <x:f>IFERROR(K704/I704,0)</x:f>
        <x:v>0.005393258426966292</x:v>
      </x:c>
      <x:c r="M704" s="28" t="n">
        <x:f>IFERROR(H704/K704,0)</x:f>
        <x:v>33.221666666666664</x:v>
      </x:c>
      <x:c r="N704" s="28" t="n">
        <x:f>IFERROR(H704/I704*1000,0)</x:f>
        <x:v>179.17303370786516</x:v>
      </x:c>
      <x:c r="O704" t="n">
        <x:v>1.205309</x:v>
      </x:c>
      <x:c r="P704" t="n">
        <x:v>4</x:v>
      </x:c>
      <x:c r="Q704" s="28" t="n">
        <x:v>0</x:v>
      </x:c>
      <x:c r="R704" s="28" t="n">
        <x:v>0</x:v>
      </x:c>
    </x:row>
    <x:row r="705">
      <x:c r="A705" t="str">
        <x:v>2026-08-07</x:v>
      </x:c>
      <x:c r="B705" t="str">
        <x:v>449281783851362</x:v>
      </x:c>
      <x:c r="C705" t="str">
        <x:v>Doruk Hastaneleri - SİNA ÖZEL Sağlık Hizmetleri A.ş</x:v>
      </x:c>
      <x:c r="D705" t="str">
        <x:v>120211731920800399</x:v>
      </x:c>
      <x:c r="E705" t="str">
        <x:v>ABO / Göz Kapağı Estetiği / plastik cerrahi / lead</x:v>
      </x:c>
      <x:c r="F705" t="str">
        <x:v>OUTCOME_LEADS</x:v>
      </x:c>
      <x:c r="G705" t="n">
        <x:v>2394</x:v>
      </x:c>
      <x:c r="H705" s="28" t="n">
        <x:v>301.69</x:v>
      </x:c>
      <x:c r="I705" t="n">
        <x:v>2838</x:v>
      </x:c>
      <x:c r="J705" t="n">
        <x:v>17</x:v>
      </x:c>
      <x:c r="K705" t="n">
        <x:v>8</x:v>
      </x:c>
      <x:c r="L705" s="27" t="n">
        <x:f>IFERROR(K705/I705,0)</x:f>
        <x:v>0.0028188865398167725</x:v>
      </x:c>
      <x:c r="M705" s="28" t="n">
        <x:f>IFERROR(H705/K705,0)</x:f>
        <x:v>37.71125</x:v>
      </x:c>
      <x:c r="N705" s="28" t="n">
        <x:f>IFERROR(H705/I705*1000,0)</x:f>
        <x:v>106.30373502466526</x:v>
      </x:c>
      <x:c r="O705" t="n">
        <x:v>1.185464</x:v>
      </x:c>
      <x:c r="P705" t="n">
        <x:v>1</x:v>
      </x:c>
      <x:c r="Q705" s="28" t="n">
        <x:v>0</x:v>
      </x:c>
      <x:c r="R705" s="28" t="n">
        <x:v>0</x:v>
      </x:c>
    </x:row>
    <x:row r="706">
      <x:c r="A706" t="str">
        <x:v>2026-08-07</x:v>
      </x:c>
      <x:c r="B706" t="str">
        <x:v>449281783851362</x:v>
      </x:c>
      <x:c r="C706" t="str">
        <x:v>Doruk Hastaneleri - SİNA ÖZEL Sağlık Hizmetleri A.ş</x:v>
      </x:c>
      <x:c r="D706" t="str">
        <x:v>120211732243050399</x:v>
      </x:c>
      <x:c r="E706" t="str">
        <x:v>ABO /Kepçe Kulak / plastik cerrahi / lead</x:v>
      </x:c>
      <x:c r="F706" t="str">
        <x:v>OUTCOME_LEADS</x:v>
      </x:c>
      <x:c r="G706" t="n">
        <x:v>5857</x:v>
      </x:c>
      <x:c r="H706" s="28" t="n">
        <x:v>299.13</x:v>
      </x:c>
      <x:c r="I706" t="n">
        <x:v>6396</x:v>
      </x:c>
      <x:c r="J706" t="n">
        <x:v>27</x:v>
      </x:c>
      <x:c r="K706" t="n">
        <x:v>18</x:v>
      </x:c>
      <x:c r="L706" s="27" t="n">
        <x:f>IFERROR(K706/I706,0)</x:f>
        <x:v>0.0028142589118198874</x:v>
      </x:c>
      <x:c r="M706" s="28" t="n">
        <x:f>IFERROR(H706/K706,0)</x:f>
        <x:v>16.618333333333332</x:v>
      </x:c>
      <x:c r="N706" s="28" t="n">
        <x:f>IFERROR(H706/I706*1000,0)</x:f>
        <x:v>46.76829268292683</x:v>
      </x:c>
      <x:c r="O706" t="n">
        <x:v>1.092027</x:v>
      </x:c>
      <x:c r="P706" t="n">
        <x:v>0</x:v>
      </x:c>
      <x:c r="Q706" s="28" t="n">
        <x:v>0</x:v>
      </x:c>
      <x:c r="R706" s="28" t="n">
        <x:v>0</x:v>
      </x:c>
    </x:row>
    <x:row r="707">
      <x:c r="A707" t="str">
        <x:v>2026-08-07</x:v>
      </x:c>
      <x:c r="B707" t="str">
        <x:v>449281783851362</x:v>
      </x:c>
      <x:c r="C707" t="str">
        <x:v>Doruk Hastaneleri - SİNA ÖZEL Sağlık Hizmetleri A.ş</x:v>
      </x:c>
      <x:c r="D707" t="str">
        <x:v>120211732311210399</x:v>
      </x:c>
      <x:c r="E707" t="str">
        <x:v>ABO / Meme Estetiği / plastik cerrahi / lead</x:v>
      </x:c>
      <x:c r="F707" t="str">
        <x:v>OUTCOME_LEADS</x:v>
      </x:c>
      <x:c r="G707" t="n">
        <x:v>5714</x:v>
      </x:c>
      <x:c r="H707" s="28" t="n">
        <x:v>916.69</x:v>
      </x:c>
      <x:c r="I707" t="n">
        <x:v>7389</x:v>
      </x:c>
      <x:c r="J707" t="n">
        <x:v>38</x:v>
      </x:c>
      <x:c r="K707" t="n">
        <x:v>26</x:v>
      </x:c>
      <x:c r="L707" s="27" t="n">
        <x:f>IFERROR(K707/I707,0)</x:f>
        <x:v>0.0035187440790364053</x:v>
      </x:c>
      <x:c r="M707" s="28" t="n">
        <x:f>IFERROR(H707/K707,0)</x:f>
        <x:v>35.25730769230769</x:v>
      </x:c>
      <x:c r="N707" s="28" t="n">
        <x:f>IFERROR(H707/I707*1000,0)</x:f>
        <x:v>124.06144268507241</x:v>
      </x:c>
      <x:c r="O707" t="n">
        <x:v>1.29314</x:v>
      </x:c>
      <x:c r="P707" t="n">
        <x:v>2</x:v>
      </x:c>
      <x:c r="Q707" s="28" t="n">
        <x:v>0</x:v>
      </x:c>
      <x:c r="R707" s="28" t="n">
        <x:v>0</x:v>
      </x:c>
    </x:row>
    <x:row r="708">
      <x:c r="A708" t="str">
        <x:v>2026-08-07</x:v>
      </x:c>
      <x:c r="B708" t="str">
        <x:v>449281783851362</x:v>
      </x:c>
      <x:c r="C708" t="str">
        <x:v>Doruk Hastaneleri - SİNA ÖZEL Sağlık Hizmetleri A.ş</x:v>
      </x:c>
      <x:c r="D708" t="str">
        <x:v>120211732618490399</x:v>
      </x:c>
      <x:c r="E708" t="str">
        <x:v>ABO /Jinekomasti / plastik cerrahi / lead</x:v>
      </x:c>
      <x:c r="F708" t="str">
        <x:v>OUTCOME_LEADS</x:v>
      </x:c>
      <x:c r="G708" t="n">
        <x:v>3715</x:v>
      </x:c>
      <x:c r="H708" s="28" t="n">
        <x:v>335.45</x:v>
      </x:c>
      <x:c r="I708" t="n">
        <x:v>4203</x:v>
      </x:c>
      <x:c r="J708" t="n">
        <x:v>17</x:v>
      </x:c>
      <x:c r="K708" t="n">
        <x:v>11</x:v>
      </x:c>
      <x:c r="L708" s="27" t="n">
        <x:f>IFERROR(K708/I708,0)</x:f>
        <x:v>0.0026171782060433026</x:v>
      </x:c>
      <x:c r="M708" s="28" t="n">
        <x:f>IFERROR(H708/K708,0)</x:f>
        <x:v>30.495454545454546</x:v>
      </x:c>
      <x:c r="N708" s="28" t="n">
        <x:f>IFERROR(H708/I708*1000,0)</x:f>
        <x:v>79.8120390197478</x:v>
      </x:c>
      <x:c r="O708" t="n">
        <x:v>1.131359</x:v>
      </x:c>
      <x:c r="P708" t="n">
        <x:v>0</x:v>
      </x:c>
      <x:c r="Q708" s="28" t="n">
        <x:v>0</x:v>
      </x:c>
      <x:c r="R708" s="28" t="n">
        <x:v>0</x:v>
      </x:c>
    </x:row>
    <x:row r="709">
      <x:c r="A709" t="str">
        <x:v>2026-08-07</x:v>
      </x:c>
      <x:c r="B709" t="str">
        <x:v>449281783851362</x:v>
      </x:c>
      <x:c r="C709" t="str">
        <x:v>Doruk Hastaneleri - SİNA ÖZEL Sağlık Hizmetleri A.ş</x:v>
      </x:c>
      <x:c r="D709" t="str">
        <x:v>120211732654260399</x:v>
      </x:c>
      <x:c r="E709" t="str">
        <x:v>ABO / Rinoplasti / plastik cerrahi / lead</x:v>
      </x:c>
      <x:c r="F709" t="str">
        <x:v>OUTCOME_LEADS</x:v>
      </x:c>
      <x:c r="G709" t="n">
        <x:v>4161</x:v>
      </x:c>
      <x:c r="H709" s="28" t="n">
        <x:v>884.83</x:v>
      </x:c>
      <x:c r="I709" t="n">
        <x:v>5427</x:v>
      </x:c>
      <x:c r="J709" t="n">
        <x:v>33</x:v>
      </x:c>
      <x:c r="K709" t="n">
        <x:v>17</x:v>
      </x:c>
      <x:c r="L709" s="27" t="n">
        <x:f>IFERROR(K709/I709,0)</x:f>
        <x:v>0.0031324857195503962</x:v>
      </x:c>
      <x:c r="M709" s="28" t="n">
        <x:f>IFERROR(H709/K709,0)</x:f>
        <x:v>52.04882352941177</x:v>
      </x:c>
      <x:c r="N709" s="28" t="n">
        <x:f>IFERROR(H709/I709*1000,0)</x:f>
        <x:v>163.042196425281</x:v>
      </x:c>
      <x:c r="O709" t="n">
        <x:v>1.304254</x:v>
      </x:c>
      <x:c r="P709" t="n">
        <x:v>1</x:v>
      </x:c>
      <x:c r="Q709" s="28" t="n">
        <x:v>0</x:v>
      </x:c>
      <x:c r="R709" s="28" t="n">
        <x:v>0</x:v>
      </x:c>
    </x:row>
    <x:row r="710">
      <x:c r="A710" t="str">
        <x:v>2026-08-07</x:v>
      </x:c>
      <x:c r="B710" t="str">
        <x:v>449281783851362</x:v>
      </x:c>
      <x:c r="C710" t="str">
        <x:v>Doruk Hastaneleri - SİNA ÖZEL Sağlık Hizmetleri A.ş</x:v>
      </x:c>
      <x:c r="D710" t="str">
        <x:v>120211732712890399</x:v>
      </x:c>
      <x:c r="E710" t="str">
        <x:v>ABO / Vücut Şekillendirme / plastik cerrahi / lead</x:v>
      </x:c>
      <x:c r="F710" t="str">
        <x:v>OUTCOME_LEADS</x:v>
      </x:c>
      <x:c r="G710" t="n">
        <x:v>1430</x:v>
      </x:c>
      <x:c r="H710" s="28" t="n">
        <x:v>326.21</x:v>
      </x:c>
      <x:c r="I710" t="n">
        <x:v>1745</x:v>
      </x:c>
      <x:c r="J710" t="n">
        <x:v>18</x:v>
      </x:c>
      <x:c r="K710" t="n">
        <x:v>12</x:v>
      </x:c>
      <x:c r="L710" s="27" t="n">
        <x:f>IFERROR(K710/I710,0)</x:f>
        <x:v>0.006876790830945559</x:v>
      </x:c>
      <x:c r="M710" s="28" t="n">
        <x:f>IFERROR(H710/K710,0)</x:f>
        <x:v>27.184166666666666</x:v>
      </x:c>
      <x:c r="N710" s="28" t="n">
        <x:f>IFERROR(H710/I710*1000,0)</x:f>
        <x:v>186.9398280802292</x:v>
      </x:c>
      <x:c r="O710" t="n">
        <x:v>1.22028</x:v>
      </x:c>
      <x:c r="P710" t="n">
        <x:v>2</x:v>
      </x:c>
      <x:c r="Q710" s="28" t="n">
        <x:v>0</x:v>
      </x:c>
      <x:c r="R710" s="28" t="n">
        <x:v>0</x:v>
      </x:c>
    </x:row>
    <x:row r="711">
      <x:c r="A711" t="str">
        <x:v>2026-08-07</x:v>
      </x:c>
      <x:c r="B711" t="str">
        <x:v>449281783851362</x:v>
      </x:c>
      <x:c r="C711" t="str">
        <x:v>Doruk Hastaneleri - SİNA ÖZEL Sağlık Hizmetleri A.ş</x:v>
      </x:c>
      <x:c r="D711" t="str">
        <x:v>120211732754080399</x:v>
      </x:c>
      <x:c r="E711" t="str">
        <x:v>ABO / Yüz Germe (Facelift) / plastik cerrahi / lead</x:v>
      </x:c>
      <x:c r="F711" t="str">
        <x:v>OUTCOME_LEADS</x:v>
      </x:c>
      <x:c r="G711" t="n">
        <x:v>866</x:v>
      </x:c>
      <x:c r="H711" s="28" t="n">
        <x:v>333.6</x:v>
      </x:c>
      <x:c r="I711" t="n">
        <x:v>1043</x:v>
      </x:c>
      <x:c r="J711" t="n">
        <x:v>14</x:v>
      </x:c>
      <x:c r="K711" t="n">
        <x:v>9</x:v>
      </x:c>
      <x:c r="L711" s="27" t="n">
        <x:f>IFERROR(K711/I711,0)</x:f>
        <x:v>0.00862895493767977</x:v>
      </x:c>
      <x:c r="M711" s="28" t="n">
        <x:f>IFERROR(H711/K711,0)</x:f>
        <x:v>37.06666666666667</x:v>
      </x:c>
      <x:c r="N711" s="28" t="n">
        <x:f>IFERROR(H711/I711*1000,0)</x:f>
        <x:v>319.8465963566635</x:v>
      </x:c>
      <x:c r="O711" t="n">
        <x:v>1.204388</x:v>
      </x:c>
      <x:c r="P711" t="n">
        <x:v>0</x:v>
      </x:c>
      <x:c r="Q711" s="28" t="n">
        <x:v>0</x:v>
      </x:c>
      <x:c r="R711" s="28" t="n">
        <x:v>0</x:v>
      </x:c>
    </x:row>
    <x:row r="712">
      <x:c r="A712" t="str">
        <x:v>2026-08-07</x:v>
      </x:c>
      <x:c r="B712" t="str">
        <x:v>449281783851362</x:v>
      </x:c>
      <x:c r="C712" t="str">
        <x:v>Doruk Hastaneleri - SİNA ÖZEL Sağlık Hizmetleri A.ş</x:v>
      </x:c>
      <x:c r="D712" t="str">
        <x:v>120214167265870399</x:v>
      </x:c>
      <x:c r="E712" t="str">
        <x:v>Baş Dönmesi ve Denge Ünitesi / lead</x:v>
      </x:c>
      <x:c r="F712" t="str">
        <x:v>OUTCOME_LEADS</x:v>
      </x:c>
      <x:c r="G712" t="n">
        <x:v>5295</x:v>
      </x:c>
      <x:c r="H712" s="28" t="n">
        <x:v>395.67</x:v>
      </x:c>
      <x:c r="I712" t="n">
        <x:v>5957</x:v>
      </x:c>
      <x:c r="J712" t="n">
        <x:v>76</x:v>
      </x:c>
      <x:c r="K712" t="n">
        <x:v>37</x:v>
      </x:c>
      <x:c r="L712" s="27" t="n">
        <x:f>IFERROR(K712/I712,0)</x:f>
        <x:v>0.006211180124223602</x:v>
      </x:c>
      <x:c r="M712" s="28" t="n">
        <x:f>IFERROR(H712/K712,0)</x:f>
        <x:v>10.693783783783784</x:v>
      </x:c>
      <x:c r="N712" s="28" t="n">
        <x:f>IFERROR(H712/I712*1000,0)</x:f>
        <x:v>66.42101729058251</x:v>
      </x:c>
      <x:c r="O712" t="n">
        <x:v>1.125024</x:v>
      </x:c>
      <x:c r="P712" t="n">
        <x:v>4</x:v>
      </x:c>
      <x:c r="Q712" s="28" t="n">
        <x:v>0</x:v>
      </x:c>
      <x:c r="R712" s="28" t="n">
        <x:v>0</x:v>
      </x:c>
    </x:row>
    <x:row r="713">
      <x:c r="A713" t="str">
        <x:v>2026-08-07</x:v>
      </x:c>
      <x:c r="B713" t="str">
        <x:v>449281783851362</x:v>
      </x:c>
      <x:c r="C713" t="str">
        <x:v>Doruk Hastaneleri - SİNA ÖZEL Sağlık Hizmetleri A.ş</x:v>
      </x:c>
      <x:c r="D713" t="str">
        <x:v>120220089108220399</x:v>
      </x:c>
      <x:c r="E713" t="str">
        <x:v>Checkup - genel - lead</x:v>
      </x:c>
      <x:c r="F713" t="str">
        <x:v>OUTCOME_LEADS</x:v>
      </x:c>
      <x:c r="G713" t="n">
        <x:v>8717</x:v>
      </x:c>
      <x:c r="H713" s="28" t="n">
        <x:v>1285.03</x:v>
      </x:c>
      <x:c r="I713" t="n">
        <x:v>10646</x:v>
      </x:c>
      <x:c r="J713" t="n">
        <x:v>69</x:v>
      </x:c>
      <x:c r="K713" t="n">
        <x:v>47</x:v>
      </x:c>
      <x:c r="L713" s="27" t="n">
        <x:f>IFERROR(K713/I713,0)</x:f>
        <x:v>0.004414803682134135</x:v>
      </x:c>
      <x:c r="M713" s="28" t="n">
        <x:f>IFERROR(H713/K713,0)</x:f>
        <x:v>27.341063829787235</x:v>
      </x:c>
      <x:c r="N713" s="28" t="n">
        <x:f>IFERROR(H713/I713*1000,0)</x:f>
        <x:v>120.70542926920909</x:v>
      </x:c>
      <x:c r="O713" t="n">
        <x:v>1.221292</x:v>
      </x:c>
      <x:c r="P713" t="n">
        <x:v>4</x:v>
      </x:c>
      <x:c r="Q713" s="28" t="n">
        <x:v>0</x:v>
      </x:c>
      <x:c r="R713" s="28" t="n">
        <x:v>0</x:v>
      </x:c>
    </x:row>
    <x:row r="714">
      <x:c r="A714" t="str">
        <x:v>2026-08-07</x:v>
      </x:c>
      <x:c r="B714" t="str">
        <x:v>170008509278498</x:v>
      </x:c>
      <x:c r="C714" t="str">
        <x:v>Doruk Hospital</x:v>
      </x:c>
      <x:c r="D714" t="str">
        <x:v>120232382033210080</x:v>
      </x:c>
      <x:c r="E714" t="str">
        <x:v>Fizik Tedavi - Intensive FTR - Türki Cumhuriyetler - Tümü - RU - Lechenie v Turtsii - lead</x:v>
      </x:c>
      <x:c r="F714" t="str">
        <x:v>OUTCOME_LEADS</x:v>
      </x:c>
      <x:c r="G714" t="n">
        <x:v>226268</x:v>
      </x:c>
      <x:c r="H714" s="28" t="n">
        <x:v>28103.25</x:v>
      </x:c>
      <x:c r="I714" t="n">
        <x:v>253860</x:v>
      </x:c>
      <x:c r="J714" t="n">
        <x:v>1372</x:v>
      </x:c>
      <x:c r="K714" t="n">
        <x:v>1043</x:v>
      </x:c>
      <x:c r="L714" s="27" t="n">
        <x:f>IFERROR(K714/I714,0)</x:f>
        <x:v>0.004108563775309226</x:v>
      </x:c>
      <x:c r="M714" s="28" t="n">
        <x:f>IFERROR(H714/K714,0)</x:f>
        <x:v>26.94463087248322</x:v>
      </x:c>
      <x:c r="N714" s="28" t="n">
        <x:f>IFERROR(H714/I714*1000,0)</x:f>
        <x:v>110.70373434176317</x:v>
      </x:c>
      <x:c r="O714" t="n">
        <x:v>1.121944</x:v>
      </x:c>
      <x:c r="P714" t="n">
        <x:v>14</x:v>
      </x:c>
      <x:c r="Q714" s="28" t="n">
        <x:v>0</x:v>
      </x:c>
      <x:c r="R714" s="28" t="n">
        <x:v>0</x:v>
      </x:c>
    </x:row>
    <x:row r="715">
      <x:c r="A715" t="str">
        <x:v>2026-08-07</x:v>
      </x:c>
      <x:c r="B715" t="str">
        <x:v>170008509278498</x:v>
      </x:c>
      <x:c r="C715" t="str">
        <x:v>Doruk Hospital</x:v>
      </x:c>
      <x:c r="D715" t="str">
        <x:v>120238651325780080</x:v>
      </x:c>
      <x:c r="E715" t="str">
        <x:v>Whatsapp - Fizik Tedavi - Intensive FTR - Arap Bölgesi - Tümü - AR - Doruk İlaj Turkia</x:v>
      </x:c>
      <x:c r="F715" t="str">
        <x:v>OUTCOME_LEADS</x:v>
      </x:c>
      <x:c r="G715" t="n">
        <x:v>97658</x:v>
      </x:c>
      <x:c r="H715" s="28" t="n">
        <x:v>31536.93</x:v>
      </x:c>
      <x:c r="I715" t="n">
        <x:v>116058</x:v>
      </x:c>
      <x:c r="J715" t="n">
        <x:v>718</x:v>
      </x:c>
      <x:c r="K715" t="n">
        <x:v>317</x:v>
      </x:c>
      <x:c r="L715" s="27" t="n">
        <x:f>IFERROR(K715/I715,0)</x:f>
        <x:v>0.0027313929242275413</x:v>
      </x:c>
      <x:c r="M715" s="28" t="n">
        <x:f>IFERROR(H715/K715,0)</x:f>
        <x:v>99.48558359621451</x:v>
      </x:c>
      <x:c r="N715" s="28" t="n">
        <x:f>IFERROR(H715/I715*1000,0)</x:f>
        <x:v>271.73421909734793</x:v>
      </x:c>
      <x:c r="O715" t="n">
        <x:v>1.188413</x:v>
      </x:c>
      <x:c r="P715" t="n">
        <x:v>0</x:v>
      </x:c>
      <x:c r="Q715" s="28" t="n">
        <x:v>0</x:v>
      </x:c>
      <x:c r="R715" s="28" t="n">
        <x:v>0</x:v>
      </x:c>
    </x:row>
    <x:row r="716">
      <x:c r="A716" t="str">
        <x:v>2026-08-07</x:v>
      </x:c>
      <x:c r="B716" t="str">
        <x:v>449281783851362</x:v>
      </x:c>
      <x:c r="C716" t="str">
        <x:v>Doruk Hastaneleri - SİNA ÖZEL Sağlık Hizmetleri A.ş</x:v>
      </x:c>
      <x:c r="D716" t="str">
        <x:v>120242415465180399</x:v>
      </x:c>
      <x:c r="E716" t="str">
        <x:v>Gebe-Doğum Form Kampanyası</x:v>
      </x:c>
      <x:c r="F716" t="str">
        <x:v>OUTCOME_LEADS</x:v>
      </x:c>
      <x:c r="G716" t="n">
        <x:v>67221</x:v>
      </x:c>
      <x:c r="H716" s="28" t="n">
        <x:v>9059.81</x:v>
      </x:c>
      <x:c r="I716" t="n">
        <x:v>103972</x:v>
      </x:c>
      <x:c r="J716" t="n">
        <x:v>533</x:v>
      </x:c>
      <x:c r="K716" t="n">
        <x:v>378</x:v>
      </x:c>
      <x:c r="L716" s="27" t="n">
        <x:f>IFERROR(K716/I716,0)</x:f>
        <x:v>0.003635594198438041</x:v>
      </x:c>
      <x:c r="M716" s="28" t="n">
        <x:f>IFERROR(H716/K716,0)</x:f>
        <x:v>23.967751322751322</x:v>
      </x:c>
      <x:c r="N716" s="28" t="n">
        <x:f>IFERROR(H716/I716*1000,0)</x:f>
        <x:v>87.1370176586004</x:v>
      </x:c>
      <x:c r="O716" t="n">
        <x:v>1.546719</x:v>
      </x:c>
      <x:c r="P716" t="n">
        <x:v>20</x:v>
      </x:c>
      <x:c r="Q716" s="28" t="n">
        <x:v>0</x:v>
      </x:c>
      <x:c r="R716" s="28" t="n">
        <x:v>0</x:v>
      </x:c>
    </x:row>
    <x:row r="717">
      <x:c r="A717" t="str">
        <x:v>2026-08-07</x:v>
      </x:c>
      <x:c r="B717" t="str">
        <x:v>170008509278498</x:v>
      </x:c>
      <x:c r="C717" t="str">
        <x:v>Doruk Hospital</x:v>
      </x:c>
      <x:c r="D717" t="str">
        <x:v>120242709752170080</x:v>
      </x:c>
      <x:c r="E717" t="str">
        <x:v>Instagram gönderisi: Аппарат TrueBeam — одна из...</x:v>
      </x:c>
      <x:c r="F717" t="str">
        <x:v>LINK_CLICKS</x:v>
      </x:c>
      <x:c r="G717" t="n">
        <x:v>78777</x:v>
      </x:c>
      <x:c r="H717" s="28" t="n">
        <x:v>4214.81</x:v>
      </x:c>
      <x:c r="I717" t="n">
        <x:v>83819</x:v>
      </x:c>
      <x:c r="J717" t="n">
        <x:v>1661</x:v>
      </x:c>
      <x:c r="K717" t="n">
        <x:v>1489</x:v>
      </x:c>
      <x:c r="L717" s="27" t="n">
        <x:f>IFERROR(K717/I717,0)</x:f>
        <x:v>0.017764468676553048</x:v>
      </x:c>
      <x:c r="M717" s="28" t="n">
        <x:f>IFERROR(H717/K717,0)</x:f>
        <x:v>2.8306312961719278</x:v>
      </x:c>
      <x:c r="N717" s="28" t="n">
        <x:f>IFERROR(H717/I717*1000,0)</x:f>
        <x:v>50.28466099571697</x:v>
      </x:c>
      <x:c r="O717" t="n">
        <x:v>1.064003</x:v>
      </x:c>
      <x:c r="P717" t="n">
        <x:v>0</x:v>
      </x:c>
      <x:c r="Q717" s="28" t="n">
        <x:v>0</x:v>
      </x:c>
      <x:c r="R717" s="28" t="n">
        <x:v>0</x:v>
      </x:c>
    </x:row>
    <x:row r="718">
      <x:c r="A718" t="str">
        <x:v>2026-08-07</x:v>
      </x:c>
      <x:c r="B718" t="str">
        <x:v>449281783851362</x:v>
      </x:c>
      <x:c r="C718" t="str">
        <x:v>Doruk Hastaneleri - SİNA ÖZEL Sağlık Hizmetleri A.ş</x:v>
      </x:c>
      <x:c r="D718" t="str">
        <x:v>120244050701710399</x:v>
      </x:c>
      <x:c r="E718" t="str">
        <x:v>Uzman Hekim Başvuru</x:v>
      </x:c>
      <x:c r="F718" t="str">
        <x:v>OUTCOME_LEADS</x:v>
      </x:c>
      <x:c r="G718" t="n">
        <x:v>7592</x:v>
      </x:c>
      <x:c r="H718" s="28" t="n">
        <x:v>1149.51</x:v>
      </x:c>
      <x:c r="I718" t="n">
        <x:v>9376</x:v>
      </x:c>
      <x:c r="J718" t="n">
        <x:v>98</x:v>
      </x:c>
      <x:c r="K718" t="n">
        <x:v>50</x:v>
      </x:c>
      <x:c r="L718" s="27" t="n">
        <x:f>IFERROR(K718/I718,0)</x:f>
        <x:v>0.005332764505119454</x:v>
      </x:c>
      <x:c r="M718" s="28" t="n">
        <x:f>IFERROR(H718/K718,0)</x:f>
        <x:v>22.9902</x:v>
      </x:c>
      <x:c r="N718" s="28" t="n">
        <x:f>IFERROR(H718/I718*1000,0)</x:f>
        <x:v>122.60132252559727</x:v>
      </x:c>
      <x:c r="O718" t="n">
        <x:v>1.234984</x:v>
      </x:c>
      <x:c r="P718" t="n">
        <x:v>11</x:v>
      </x:c>
      <x:c r="Q718" s="28" t="n">
        <x:v>0</x:v>
      </x:c>
      <x:c r="R718" s="28" t="n">
        <x:v>0</x:v>
      </x:c>
    </x:row>
    <x:row r="719">
      <x:c r="A719" t="str">
        <x:v>2026-08-07</x:v>
      </x:c>
      <x:c r="B719" t="str">
        <x:v>449281783851362</x:v>
      </x:c>
      <x:c r="C719" t="str">
        <x:v>Doruk Hastaneleri - SİNA ÖZEL Sağlık Hizmetleri A.ş</x:v>
      </x:c>
      <x:c r="D719" t="str">
        <x:v>120246476228800399</x:v>
      </x:c>
      <x:c r="E719" t="str">
        <x:v>FTR Yatılı - lead</x:v>
      </x:c>
      <x:c r="F719" t="str">
        <x:v>OUTCOME_LEADS</x:v>
      </x:c>
      <x:c r="G719" t="n">
        <x:v>53681</x:v>
      </x:c>
      <x:c r="H719" s="28" t="n">
        <x:v>4852.2</x:v>
      </x:c>
      <x:c r="I719" t="n">
        <x:v>58969</x:v>
      </x:c>
      <x:c r="J719" t="n">
        <x:v>310</x:v>
      </x:c>
      <x:c r="K719" t="n">
        <x:v>144</x:v>
      </x:c>
      <x:c r="L719" s="27" t="n">
        <x:f>IFERROR(K719/I719,0)</x:f>
        <x:v>0.00244196103037189</x:v>
      </x:c>
      <x:c r="M719" s="28" t="n">
        <x:f>IFERROR(H719/K719,0)</x:f>
        <x:v>33.69583333333333</x:v>
      </x:c>
      <x:c r="N719" s="28" t="n">
        <x:f>IFERROR(H719/I719*1000,0)</x:f>
        <x:v>82.28391188590615</x:v>
      </x:c>
      <x:c r="O719" t="n">
        <x:v>1.098508</x:v>
      </x:c>
      <x:c r="P719" t="n">
        <x:v>2</x:v>
      </x:c>
      <x:c r="Q719" s="28" t="n">
        <x:v>0</x:v>
      </x:c>
      <x:c r="R719" s="28" t="n">
        <x:v>0</x:v>
      </x:c>
    </x:row>
    <x:row r="720">
      <x:c r="A720" t="str">
        <x:v>2026-08-07</x:v>
      </x:c>
      <x:c r="B720" t="str">
        <x:v>449281783851362</x:v>
      </x:c>
      <x:c r="C720" t="str">
        <x:v>Doruk Hastaneleri - SİNA ÖZEL Sağlık Hizmetleri A.ş</x:v>
      </x:c>
      <x:c r="D720" t="str">
        <x:v>120246691590090399</x:v>
      </x:c>
      <x:c r="E720" t="str">
        <x:v>Hemşire İş Başvuru - lead</x:v>
      </x:c>
      <x:c r="F720" t="str">
        <x:v>OUTCOME_LEADS</x:v>
      </x:c>
      <x:c r="G720" t="n">
        <x:v>14805</x:v>
      </x:c>
      <x:c r="H720" s="28" t="n">
        <x:v>1406.24</x:v>
      </x:c>
      <x:c r="I720" t="n">
        <x:v>20451</x:v>
      </x:c>
      <x:c r="J720" t="n">
        <x:v>103</x:v>
      </x:c>
      <x:c r="K720" t="n">
        <x:v>71</x:v>
      </x:c>
      <x:c r="L720" s="27" t="n">
        <x:f>IFERROR(K720/I720,0)</x:f>
        <x:v>0.003471712874676055</x:v>
      </x:c>
      <x:c r="M720" s="28" t="n">
        <x:f>IFERROR(H720/K720,0)</x:f>
        <x:v>19.806197183098593</x:v>
      </x:c>
      <x:c r="N720" s="28" t="n">
        <x:f>IFERROR(H720/I720*1000,0)</x:f>
        <x:v>68.76142975893599</x:v>
      </x:c>
      <x:c r="O720" t="n">
        <x:v>1.381358</x:v>
      </x:c>
      <x:c r="P720" t="n">
        <x:v>0</x:v>
      </x:c>
      <x:c r="Q720" s="28" t="n">
        <x:v>0</x:v>
      </x:c>
      <x:c r="R720" s="28" t="n">
        <x:v>0</x:v>
      </x:c>
    </x:row>
    <x:row r="721">
      <x:c r="A721" t="str">
        <x:v>2026-08-07</x:v>
      </x:c>
      <x:c r="B721" t="str">
        <x:v>449281783851362</x:v>
      </x:c>
      <x:c r="C721" t="str">
        <x:v>Doruk Hastaneleri - SİNA ÖZEL Sağlık Hizmetleri A.ş</x:v>
      </x:c>
      <x:c r="D721" t="str">
        <x:v>120246924981440399</x:v>
      </x:c>
      <x:c r="E721" t="str">
        <x:v>ÖSS-TSS - marka bilinirliği</x:v>
      </x:c>
      <x:c r="F721" t="str">
        <x:v>OUTCOME_AWARENESS</x:v>
      </x:c>
      <x:c r="G721" t="n">
        <x:v>136386</x:v>
      </x:c>
      <x:c r="H721" s="28" t="n">
        <x:v>2776.44</x:v>
      </x:c>
      <x:c r="I721" t="n">
        <x:v>142663</x:v>
      </x:c>
      <x:c r="J721" t="n">
        <x:v>143</x:v>
      </x:c>
      <x:c r="K721" t="n">
        <x:v>37</x:v>
      </x:c>
      <x:c r="L721" s="27" t="n">
        <x:f>IFERROR(K721/I721,0)</x:f>
        <x:v>0.0002593524599931307</x:v>
      </x:c>
      <x:c r="M721" s="28" t="n">
        <x:f>IFERROR(H721/K721,0)</x:f>
        <x:v>75.03891891891892</x:v>
      </x:c>
      <x:c r="N721" s="28" t="n">
        <x:f>IFERROR(H721/I721*1000,0)</x:f>
        <x:v>19.461528216846695</x:v>
      </x:c>
      <x:c r="O721" t="n">
        <x:v>1.046024</x:v>
      </x:c>
      <x:c r="P721" t="n">
        <x:v>0</x:v>
      </x:c>
      <x:c r="Q721" s="28" t="n">
        <x:v>0</x:v>
      </x:c>
      <x:c r="R721" s="28" t="n">
        <x:v>0</x:v>
      </x:c>
    </x:row>
    <x:row r="722">
      <x:c r="A722" t="str">
        <x:v>2026-08-07</x:v>
      </x:c>
      <x:c r="B722" t="str">
        <x:v>449281783851362</x:v>
      </x:c>
      <x:c r="C722" t="str">
        <x:v>Doruk Hastaneleri - SİNA ÖZEL Sağlık Hizmetleri A.ş</x:v>
      </x:c>
      <x:c r="D722" t="str">
        <x:v>120247034876600399</x:v>
      </x:c>
      <x:c r="E722" t="str">
        <x:v>Gebe-Doğum Bilinirlik</x:v>
      </x:c>
      <x:c r="F722" t="str">
        <x:v>OUTCOME_AWARENESS</x:v>
      </x:c>
      <x:c r="G722" t="n">
        <x:v>101667</x:v>
      </x:c>
      <x:c r="H722" s="28" t="n">
        <x:v>1216.43</x:v>
      </x:c>
      <x:c r="I722" t="n">
        <x:v>106986</x:v>
      </x:c>
      <x:c r="J722" t="n">
        <x:v>101</x:v>
      </x:c>
      <x:c r="K722" t="n">
        <x:v>0</x:v>
      </x:c>
      <x:c r="L722" s="27" t="n">
        <x:f>IFERROR(K722/I722,0)</x:f>
        <x:v>0</x:v>
      </x:c>
      <x:c r="M722" s="28" t="n">
        <x:f>IFERROR(H722/K722,0)</x:f>
        <x:v>0</x:v>
      </x:c>
      <x:c r="N722" s="28" t="n">
        <x:f>IFERROR(H722/I722*1000,0)</x:f>
        <x:v>11.36999233544576</x:v>
      </x:c>
      <x:c r="O722" t="n">
        <x:v>1.052318</x:v>
      </x:c>
      <x:c r="P722" t="n">
        <x:v>0</x:v>
      </x:c>
      <x:c r="Q722" s="28" t="n">
        <x:v>0</x:v>
      </x:c>
      <x:c r="R722" s="28" t="n">
        <x:v>0</x:v>
      </x:c>
    </x:row>
    <x:row r="723">
      <x:c r="A723" t="str">
        <x:v>2026-08-07</x:v>
      </x:c>
      <x:c r="B723" t="str">
        <x:v>449281783851362</x:v>
      </x:c>
      <x:c r="C723" t="str">
        <x:v>Doruk Hastaneleri - SİNA ÖZEL Sağlık Hizmetleri A.ş</x:v>
      </x:c>
      <x:c r="D723" t="str">
        <x:v>120248812698040399</x:v>
      </x:c>
      <x:c r="E723" t="str">
        <x:v>ABO / Medikal Estetik lead / 16.04.2026</x:v>
      </x:c>
      <x:c r="F723" t="str">
        <x:v>OUTCOME_LEADS</x:v>
      </x:c>
      <x:c r="G723" t="n">
        <x:v>22880</x:v>
      </x:c>
      <x:c r="H723" s="28" t="n">
        <x:v>3139.14</x:v>
      </x:c>
      <x:c r="I723" t="n">
        <x:v>27755</x:v>
      </x:c>
      <x:c r="J723" t="n">
        <x:v>242</x:v>
      </x:c>
      <x:c r="K723" t="n">
        <x:v>96</x:v>
      </x:c>
      <x:c r="L723" s="27" t="n">
        <x:f>IFERROR(K723/I723,0)</x:f>
        <x:v>0.0034588362457214916</x:v>
      </x:c>
      <x:c r="M723" s="28" t="n">
        <x:f>IFERROR(H723/K723,0)</x:f>
        <x:v>32.699374999999996</x:v>
      </x:c>
      <x:c r="N723" s="28" t="n">
        <x:f>IFERROR(H723/I723*1000,0)</x:f>
        <x:v>113.1017834624392</x:v>
      </x:c>
      <x:c r="O723" t="n">
        <x:v>1.213068</x:v>
      </x:c>
      <x:c r="P723" t="n">
        <x:v>24</x:v>
      </x:c>
      <x:c r="Q723" s="28" t="n">
        <x:v>0</x:v>
      </x:c>
      <x:c r="R723" s="28" t="n">
        <x:v>0</x:v>
      </x:c>
    </x:row>
    <x:row r="724">
      <x:c r="A724" t="str">
        <x:v>2026-08-07</x:v>
      </x:c>
      <x:c r="B724" t="str">
        <x:v>449281783851362</x:v>
      </x:c>
      <x:c r="C724" t="str">
        <x:v>Doruk Hastaneleri - SİNA ÖZEL Sağlık Hizmetleri A.ş</x:v>
      </x:c>
      <x:c r="D724" t="str">
        <x:v>120249061996540399</x:v>
      </x:c>
      <x:c r="E724" t="str">
        <x:v>Doktor - Bilinirlik Kampanyası - Nilüfer</x:v>
      </x:c>
      <x:c r="F724" t="str">
        <x:v>OUTCOME_AWARENESS</x:v>
      </x:c>
      <x:c r="G724" t="n">
        <x:v>674102</x:v>
      </x:c>
      <x:c r="H724" s="28" t="n">
        <x:v>6702.77</x:v>
      </x:c>
      <x:c r="I724" t="n">
        <x:v>789160</x:v>
      </x:c>
      <x:c r="J724" t="n">
        <x:v>581</x:v>
      </x:c>
      <x:c r="K724" t="n">
        <x:v>0</x:v>
      </x:c>
      <x:c r="L724" s="27" t="n">
        <x:f>IFERROR(K724/I724,0)</x:f>
        <x:v>0</x:v>
      </x:c>
      <x:c r="M724" s="28" t="n">
        <x:f>IFERROR(H724/K724,0)</x:f>
        <x:v>0</x:v>
      </x:c>
      <x:c r="N724" s="28" t="n">
        <x:f>IFERROR(H724/I724*1000,0)</x:f>
        <x:v>8.493550103907953</x:v>
      </x:c>
      <x:c r="O724" t="n">
        <x:v>1.170683</x:v>
      </x:c>
      <x:c r="P724" t="n">
        <x:v>0</x:v>
      </x:c>
      <x:c r="Q724" s="28" t="n">
        <x:v>0</x:v>
      </x:c>
      <x:c r="R724" s="28" t="n">
        <x:v>0</x:v>
      </x:c>
    </x:row>
    <x:row r="725">
      <x:c r="A725" t="str">
        <x:v>2026-08-07</x:v>
      </x:c>
      <x:c r="B725" t="str">
        <x:v>449281783851362</x:v>
      </x:c>
      <x:c r="C725" t="str">
        <x:v>Doruk Hastaneleri - SİNA ÖZEL Sağlık Hizmetleri A.ş</x:v>
      </x:c>
      <x:c r="D725" t="str">
        <x:v>120249614228610399</x:v>
      </x:c>
      <x:c r="E725" t="str">
        <x:v>Instagram gönderisi: Bir sezon boyunca ortaya...</x:v>
      </x:c>
      <x:c r="F725" t="str">
        <x:v>LINK_CLICKS</x:v>
      </x:c>
      <x:c r="G725" t="n">
        <x:v>72325</x:v>
      </x:c>
      <x:c r="H725" s="28" t="n">
        <x:v>4482.23</x:v>
      </x:c>
      <x:c r="I725" t="n">
        <x:v>80404</x:v>
      </x:c>
      <x:c r="J725" t="n">
        <x:v>886</x:v>
      </x:c>
      <x:c r="K725" t="n">
        <x:v>874</x:v>
      </x:c>
      <x:c r="L725" s="27" t="n">
        <x:f>IFERROR(K725/I725,0)</x:f>
        <x:v>0.010870105964877369</x:v>
      </x:c>
      <x:c r="M725" s="28" t="n">
        <x:f>IFERROR(H725/K725,0)</x:f>
        <x:v>5.128409610983981</x:v>
      </x:c>
      <x:c r="N725" s="28" t="n">
        <x:f>IFERROR(H725/I725*1000,0)</x:f>
        <x:v>55.746355902691406</x:v>
      </x:c>
      <x:c r="O725" t="n">
        <x:v>1.111704</x:v>
      </x:c>
      <x:c r="P725" t="n">
        <x:v>0</x:v>
      </x:c>
      <x:c r="Q725" s="28" t="n">
        <x:v>0</x:v>
      </x:c>
      <x:c r="R725" s="28" t="n">
        <x:v>0</x:v>
      </x:c>
    </x:row>
    <x:row r="726">
      <x:c r="A726" t="str">
        <x:v>2026-08-07</x:v>
      </x:c>
      <x:c r="B726" t="str">
        <x:v>449281783851362</x:v>
      </x:c>
      <x:c r="C726" t="str">
        <x:v>Doruk Hastaneleri - SİNA ÖZEL Sağlık Hizmetleri A.ş</x:v>
      </x:c>
      <x:c r="D726" t="str">
        <x:v>120251414264130399</x:v>
      </x:c>
      <x:c r="E726" t="str">
        <x:v>Prostat Checkup - lead</x:v>
      </x:c>
      <x:c r="F726" t="str">
        <x:v>OUTCOME_LEADS</x:v>
      </x:c>
      <x:c r="G726" t="n">
        <x:v>8399</x:v>
      </x:c>
      <x:c r="H726" s="28" t="n">
        <x:v>753.72</x:v>
      </x:c>
      <x:c r="I726" t="n">
        <x:v>9683</x:v>
      </x:c>
      <x:c r="J726" t="n">
        <x:v>146</x:v>
      </x:c>
      <x:c r="K726" t="n">
        <x:v>99</x:v>
      </x:c>
      <x:c r="L726" s="27" t="n">
        <x:f>IFERROR(K726/I726,0)</x:f>
        <x:v>0.010224104099969019</x:v>
      </x:c>
      <x:c r="M726" s="28" t="n">
        <x:f>IFERROR(H726/K726,0)</x:f>
        <x:v>7.613333333333333</x:v>
      </x:c>
      <x:c r="N726" s="28" t="n">
        <x:f>IFERROR(H726/I726*1000,0)</x:f>
        <x:v>77.83951254776413</x:v>
      </x:c>
      <x:c r="O726" t="n">
        <x:v>1.152875</x:v>
      </x:c>
      <x:c r="P726" t="n">
        <x:v>10</x:v>
      </x:c>
      <x:c r="Q726" s="28" t="n">
        <x:v>0</x:v>
      </x:c>
      <x:c r="R726" s="28" t="n">
        <x:v>0</x:v>
      </x:c>
    </x:row>
    <x:row r="727">
      <x:c r="A727" t="str">
        <x:v>2026-08-07</x:v>
      </x:c>
      <x:c r="B727" t="str">
        <x:v>449281783851362</x:v>
      </x:c>
      <x:c r="C727" t="str">
        <x:v>Doruk Hastaneleri - SİNA ÖZEL Sağlık Hizmetleri A.ş</x:v>
      </x:c>
      <x:c r="D727" t="str">
        <x:v>120252323141170399</x:v>
      </x:c>
      <x:c r="E727" t="str">
        <x:v>Instagram gönderisi: Medikal estetik alanındaki...</x:v>
      </x:c>
      <x:c r="F727" t="str">
        <x:v>LINK_CLICKS</x:v>
      </x:c>
      <x:c r="G727" t="n">
        <x:v>8719</x:v>
      </x:c>
      <x:c r="H727" s="28" t="n">
        <x:v>583.61</x:v>
      </x:c>
      <x:c r="I727" t="n">
        <x:v>9572</x:v>
      </x:c>
      <x:c r="J727" t="n">
        <x:v>116</x:v>
      </x:c>
      <x:c r="K727" t="n">
        <x:v>111</x:v>
      </x:c>
      <x:c r="L727" s="27" t="n">
        <x:f>IFERROR(K727/I727,0)</x:f>
        <x:v>0.011596322607605515</x:v>
      </x:c>
      <x:c r="M727" s="28" t="n">
        <x:f>IFERROR(H727/K727,0)</x:f>
        <x:v>5.2577477477477474</x:v>
      </x:c>
      <x:c r="N727" s="28" t="n">
        <x:f>IFERROR(H727/I727*1000,0)</x:f>
        <x:v>60.970539072294194</x:v>
      </x:c>
      <x:c r="O727" t="n">
        <x:v>1.097832</x:v>
      </x:c>
      <x:c r="P727" t="n">
        <x:v>0</x:v>
      </x:c>
      <x:c r="Q727" s="28" t="n">
        <x:v>0</x:v>
      </x:c>
      <x:c r="R727" s="28" t="n">
        <x:v>0</x:v>
      </x:c>
    </x:row>
    <x:row r="728">
      <x:c r="A728" t="str">
        <x:v>2026-08-07</x:v>
      </x:c>
      <x:c r="B728" t="str">
        <x:v>449281783851362</x:v>
      </x:c>
      <x:c r="C728" t="str">
        <x:v>Doruk Hastaneleri - SİNA ÖZEL Sağlık Hizmetleri A.ş</x:v>
      </x:c>
      <x:c r="D728" t="str">
        <x:v>120255158812950399</x:v>
      </x:c>
      <x:c r="E728" t="str">
        <x:v>Doktor - Bilinirlik Kampanyası - Yıldırım</x:v>
      </x:c>
      <x:c r="F728" t="str">
        <x:v>OUTCOME_AWARENESS</x:v>
      </x:c>
      <x:c r="G728" t="n">
        <x:v>366023</x:v>
      </x:c>
      <x:c r="H728" s="28" t="n">
        <x:v>3324.97</x:v>
      </x:c>
      <x:c r="I728" t="n">
        <x:v>391437</x:v>
      </x:c>
      <x:c r="J728" t="n">
        <x:v>216</x:v>
      </x:c>
      <x:c r="K728" t="n">
        <x:v>0</x:v>
      </x:c>
      <x:c r="L728" s="27" t="n">
        <x:f>IFERROR(K728/I728,0)</x:f>
        <x:v>0</x:v>
      </x:c>
      <x:c r="M728" s="28" t="n">
        <x:f>IFERROR(H728/K728,0)</x:f>
        <x:v>0</x:v>
      </x:c>
      <x:c r="N728" s="28" t="n">
        <x:f>IFERROR(H728/I728*1000,0)</x:f>
        <x:v>8.494265999381764</x:v>
      </x:c>
      <x:c r="O728" t="n">
        <x:v>1.069433</x:v>
      </x:c>
      <x:c r="P728" t="n">
        <x:v>0</x:v>
      </x:c>
      <x:c r="Q728" s="28" t="n">
        <x:v>0</x:v>
      </x:c>
      <x:c r="R728" s="28" t="n">
        <x:v>0</x:v>
      </x:c>
    </x:row>
    <x:row r="729">
      <x:c r="A729" t="str">
        <x:v>2026-08-07</x:v>
      </x:c>
      <x:c r="B729" t="str">
        <x:v>449281783851362</x:v>
      </x:c>
      <x:c r="C729" t="str">
        <x:v>Doruk Hastaneleri - SİNA ÖZEL Sağlık Hizmetleri A.ş</x:v>
      </x:c>
      <x:c r="D729" t="str">
        <x:v>120255738303970399</x:v>
      </x:c>
      <x:c r="E729" t="str">
        <x:v>Instagram gönderisi: 🏅 BURSA'DA BİR İLK
Özel...</x:v>
      </x:c>
      <x:c r="F729" t="str">
        <x:v>LINK_CLICKS</x:v>
      </x:c>
      <x:c r="G729" t="n">
        <x:v>20273</x:v>
      </x:c>
      <x:c r="H729" s="28" t="n">
        <x:v>1085.89</x:v>
      </x:c>
      <x:c r="I729" t="n">
        <x:v>21756</x:v>
      </x:c>
      <x:c r="J729" t="n">
        <x:v>333</x:v>
      </x:c>
      <x:c r="K729" t="n">
        <x:v>329</x:v>
      </x:c>
      <x:c r="L729" s="27" t="n">
        <x:f>IFERROR(K729/I729,0)</x:f>
        <x:v>0.015122265122265123</x:v>
      </x:c>
      <x:c r="M729" s="28" t="n">
        <x:f>IFERROR(H729/K729,0)</x:f>
        <x:v>3.3005775075987844</x:v>
      </x:c>
      <x:c r="N729" s="28" t="n">
        <x:f>IFERROR(H729/I729*1000,0)</x:f>
        <x:v>49.912208126493844</x:v>
      </x:c>
      <x:c r="O729" t="n">
        <x:v>1.073151</x:v>
      </x:c>
      <x:c r="P729" t="n">
        <x:v>0</x:v>
      </x:c>
      <x:c r="Q729" s="28" t="n">
        <x:v>0</x:v>
      </x:c>
      <x:c r="R729" s="28" t="n">
        <x:v>0</x:v>
      </x:c>
    </x:row>
    <x:row r="730">
      <x:c r="A730" t="str">
        <x:v>2026-08-07</x:v>
      </x:c>
      <x:c r="B730" t="str">
        <x:v>449281783851362</x:v>
      </x:c>
      <x:c r="C730" t="str">
        <x:v>Doruk Hastaneleri - SİNA ÖZEL Sağlık Hizmetleri A.ş</x:v>
      </x:c>
      <x:c r="D730" t="str">
        <x:v>120255739080510399</x:v>
      </x:c>
      <x:c r="E730" t="str">
        <x:v>Gönderi: "👃 Rinoplasti Ameliyatı Nedir? Yumuşak Doku Neden..."</x:v>
      </x:c>
      <x:c r="F730" t="str">
        <x:v>OUTCOME_ENGAGEMENT</x:v>
      </x:c>
      <x:c r="G730" t="n">
        <x:v>22193</x:v>
      </x:c>
      <x:c r="H730" s="28" t="n">
        <x:v>1311.03</x:v>
      </x:c>
      <x:c r="I730" t="n">
        <x:v>24186</x:v>
      </x:c>
      <x:c r="J730" t="n">
        <x:v>737</x:v>
      </x:c>
      <x:c r="K730" t="n">
        <x:v>264</x:v>
      </x:c>
      <x:c r="L730" s="27" t="n">
        <x:f>IFERROR(K730/I730,0)</x:f>
        <x:v>0.010915405606549243</x:v>
      </x:c>
      <x:c r="M730" s="28" t="n">
        <x:f>IFERROR(H730/K730,0)</x:f>
        <x:v>4.966022727272727</x:v>
      </x:c>
      <x:c r="N730" s="28" t="n">
        <x:f>IFERROR(H730/I730*1000,0)</x:f>
        <x:v>54.206152319523696</x:v>
      </x:c>
      <x:c r="O730" t="n">
        <x:v>1.089803</x:v>
      </x:c>
      <x:c r="P730" t="n">
        <x:v>0</x:v>
      </x:c>
      <x:c r="Q730" s="28" t="n">
        <x:v>0</x:v>
      </x:c>
      <x:c r="R730" s="28" t="n">
        <x:v>0</x:v>
      </x:c>
    </x:row>
    <x:row r="731">
      <x:c r="A731" t="str">
        <x:v>2026-08-07</x:v>
      </x:c>
      <x:c r="B731" t="str">
        <x:v>449281783851362</x:v>
      </x:c>
      <x:c r="C731" t="str">
        <x:v>Doruk Hastaneleri - SİNA ÖZEL Sağlık Hizmetleri A.ş</x:v>
      </x:c>
      <x:c r="D731" t="str">
        <x:v>120255763855030399</x:v>
      </x:c>
      <x:c r="E731" t="str">
        <x:v>Doktor - Bilinirlik Kampanyası - Çekirge</x:v>
      </x:c>
      <x:c r="F731" t="str">
        <x:v>OUTCOME_AWARENESS</x:v>
      </x:c>
      <x:c r="G731" t="n">
        <x:v>235372</x:v>
      </x:c>
      <x:c r="H731" s="28" t="n">
        <x:v>2574.15</x:v>
      </x:c>
      <x:c r="I731" t="n">
        <x:v>285273</x:v>
      </x:c>
      <x:c r="J731" t="n">
        <x:v>221</x:v>
      </x:c>
      <x:c r="K731" t="n">
        <x:v>0</x:v>
      </x:c>
      <x:c r="L731" s="27" t="n">
        <x:f>IFERROR(K731/I731,0)</x:f>
        <x:v>0</x:v>
      </x:c>
      <x:c r="M731" s="28" t="n">
        <x:f>IFERROR(H731/K731,0)</x:f>
        <x:v>0</x:v>
      </x:c>
      <x:c r="N731" s="28" t="n">
        <x:f>IFERROR(H731/I731*1000,0)</x:f>
        <x:v>9.02346173665226</x:v>
      </x:c>
      <x:c r="O731" t="n">
        <x:v>1.212009</x:v>
      </x:c>
      <x:c r="P731" t="n">
        <x:v>0</x:v>
      </x:c>
      <x:c r="Q731" s="28" t="n">
        <x:v>0</x:v>
      </x:c>
      <x:c r="R731" s="28" t="n">
        <x:v>0</x:v>
      </x:c>
    </x:row>
    <x:row r="732">
      <x:c r="A732" t="str">
        <x:v>2026-08-08</x:v>
      </x:c>
      <x:c r="B732" t="str">
        <x:v>170008509278498</x:v>
      </x:c>
      <x:c r="C732" t="str">
        <x:v>Doruk Hospital</x:v>
      </x:c>
      <x:c r="D732" t="str">
        <x:v>120232382033210080</x:v>
      </x:c>
      <x:c r="E732" t="str">
        <x:v>Fizik Tedavi - Intensive FTR - Türki Cumhuriyetler - Tümü - RU - Lechenie v Turtsii - lead</x:v>
      </x:c>
      <x:c r="F732" t="str">
        <x:v>OUTCOME_LEADS</x:v>
      </x:c>
      <x:c r="G732" t="n">
        <x:v>8376</x:v>
      </x:c>
      <x:c r="H732" s="28" t="n">
        <x:v>873.98</x:v>
      </x:c>
      <x:c r="I732" t="n">
        <x:v>8719</x:v>
      </x:c>
      <x:c r="J732" t="n">
        <x:v>49</x:v>
      </x:c>
      <x:c r="K732" t="n">
        <x:v>41</x:v>
      </x:c>
      <x:c r="L732" s="27" t="n">
        <x:f>IFERROR(K732/I732,0)</x:f>
        <x:v>0.004702374125473105</x:v>
      </x:c>
      <x:c r="M732" s="28" t="n">
        <x:f>IFERROR(H732/K732,0)</x:f>
        <x:v>21.31658536585366</x:v>
      </x:c>
      <x:c r="N732" s="28" t="n">
        <x:f>IFERROR(H732/I732*1000,0)</x:f>
        <x:v>100.23855946782888</x:v>
      </x:c>
      <x:c r="O732" t="n">
        <x:v>1.04095</x:v>
      </x:c>
      <x:c r="P732" t="n">
        <x:v>0</x:v>
      </x:c>
      <x:c r="Q732" s="28" t="n">
        <x:v>0</x:v>
      </x:c>
      <x:c r="R732" s="28" t="n">
        <x:v>0</x:v>
      </x:c>
    </x:row>
    <x:row r="733">
      <x:c r="A733" t="str">
        <x:v>2026-08-08</x:v>
      </x:c>
      <x:c r="B733" t="str">
        <x:v>170008509278498</x:v>
      </x:c>
      <x:c r="C733" t="str">
        <x:v>Doruk Hospital</x:v>
      </x:c>
      <x:c r="D733" t="str">
        <x:v>120238651325780080</x:v>
      </x:c>
      <x:c r="E733" t="str">
        <x:v>Whatsapp - Fizik Tedavi - Intensive FTR - Arap Bölgesi - Tümü - AR - Doruk İlaj Turkia</x:v>
      </x:c>
      <x:c r="F733" t="str">
        <x:v>OUTCOME_LEADS</x:v>
      </x:c>
      <x:c r="G733" t="n">
        <x:v>8646</x:v>
      </x:c>
      <x:c r="H733" s="28" t="n">
        <x:v>1545.71</x:v>
      </x:c>
      <x:c r="I733" t="n">
        <x:v>8646</x:v>
      </x:c>
      <x:c r="J733" t="n">
        <x:v>39</x:v>
      </x:c>
      <x:c r="K733" t="n">
        <x:v>14</x:v>
      </x:c>
      <x:c r="L733" s="27" t="n">
        <x:f>IFERROR(K733/I733,0)</x:f>
        <x:v>0.0016192458940550544</x:v>
      </x:c>
      <x:c r="M733" s="28" t="n">
        <x:f>IFERROR(H733/K733,0)</x:f>
        <x:v>110.40785714285714</x:v>
      </x:c>
      <x:c r="N733" s="28" t="n">
        <x:f>IFERROR(H733/I733*1000,0)</x:f>
        <x:v>178.77746934998845</x:v>
      </x:c>
      <x:c r="O733" t="n">
        <x:v>1</x:v>
      </x:c>
      <x:c r="P733" t="n">
        <x:v>0</x:v>
      </x:c>
      <x:c r="Q733" s="28" t="n">
        <x:v>0</x:v>
      </x:c>
      <x:c r="R733" s="28" t="n">
        <x:v>0</x:v>
      </x:c>
    </x:row>
    <x:row r="734">
      <x:c r="A734" t="str">
        <x:v>2026-08-08</x:v>
      </x:c>
      <x:c r="B734" t="str">
        <x:v>170008509278498</x:v>
      </x:c>
      <x:c r="C734" t="str">
        <x:v>Doruk Hospital</x:v>
      </x:c>
      <x:c r="D734" t="str">
        <x:v>120242709752170080</x:v>
      </x:c>
      <x:c r="E734" t="str">
        <x:v>Instagram gönderisi: Аппарат TrueBeam — одна из...</x:v>
      </x:c>
      <x:c r="F734" t="str">
        <x:v>LINK_CLICKS</x:v>
      </x:c>
      <x:c r="G734" t="n">
        <x:v>649</x:v>
      </x:c>
      <x:c r="H734" s="28" t="n">
        <x:v>33</x:v>
      </x:c>
      <x:c r="I734" t="n">
        <x:v>657</x:v>
      </x:c>
      <x:c r="J734" t="n">
        <x:v>10</x:v>
      </x:c>
      <x:c r="K734" t="n">
        <x:v>9</x:v>
      </x:c>
      <x:c r="L734" s="27" t="n">
        <x:f>IFERROR(K734/I734,0)</x:f>
        <x:v>0.0136986301369863</x:v>
      </x:c>
      <x:c r="M734" s="28" t="n">
        <x:f>IFERROR(H734/K734,0)</x:f>
        <x:v>3.6666666666666665</x:v>
      </x:c>
      <x:c r="N734" s="28" t="n">
        <x:f>IFERROR(H734/I734*1000,0)</x:f>
        <x:v>50.2283105022831</x:v>
      </x:c>
      <x:c r="O734" t="n">
        <x:v>1.012327</x:v>
      </x:c>
      <x:c r="P734" t="n">
        <x:v>0</x:v>
      </x:c>
      <x:c r="Q734" s="28" t="n">
        <x:v>0</x:v>
      </x:c>
      <x:c r="R734" s="28" t="n">
        <x:v>0</x:v>
      </x:c>
    </x:row>
    <x:row r="735">
      <x:c r="A735" t="str">
        <x:v>2026-08-08</x:v>
      </x:c>
      <x:c r="B735" t="str">
        <x:v>449281783851362</x:v>
      </x:c>
      <x:c r="C735" t="str">
        <x:v>Doruk Hastaneleri - SİNA ÖZEL Sağlık Hizmetleri A.ş</x:v>
      </x:c>
      <x:c r="D735" t="str">
        <x:v>120251414264130399</x:v>
      </x:c>
      <x:c r="E735" t="str">
        <x:v>Prostat Checkup - lead</x:v>
      </x:c>
      <x:c r="F735" t="str">
        <x:v>OUTCOME_LEADS</x:v>
      </x:c>
      <x:c r="G735" t="n">
        <x:v>0</x:v>
      </x:c>
      <x:c r="H735" s="28" t="n">
        <x:v>0</x:v>
      </x:c>
      <x:c r="I735" t="n">
        <x:v>0</x:v>
      </x:c>
      <x:c r="J735" t="n">
        <x:v>0</x:v>
      </x:c>
      <x:c r="K735" t="n">
        <x:v>0</x:v>
      </x:c>
      <x:c r="L735" s="27" t="n">
        <x:f>IFERROR(K735/I735,0)</x:f>
        <x:v>0</x:v>
      </x:c>
      <x:c r="M735" s="28" t="n">
        <x:f>IFERROR(H735/K735,0)</x:f>
        <x:v>0</x:v>
      </x:c>
      <x:c r="N735" s="28" t="n">
        <x:f>IFERROR(H735/I735*1000,0)</x:f>
        <x:v>0</x:v>
      </x:c>
      <x:c r="O735" t="n">
        <x:v>0</x:v>
      </x:c>
      <x:c r="P735" t="n">
        <x:v>0</x:v>
      </x:c>
      <x:c r="Q735" s="28" t="n">
        <x:v>0</x:v>
      </x:c>
      <x:c r="R735" s="28" t="n">
        <x:v>0</x:v>
      </x:c>
    </x:row>
    <x:row r="736">
      <x:c r="A736" t="str">
        <x:v>2026-08-09</x:v>
      </x:c>
      <x:c r="B736" t="str">
        <x:v>449281783851362</x:v>
      </x:c>
      <x:c r="C736" t="str">
        <x:v>Doruk Hastaneleri - SİNA ÖZEL Sağlık Hizmetleri A.ş</x:v>
      </x:c>
      <x:c r="D736" t="str">
        <x:v>120248812698040399</x:v>
      </x:c>
      <x:c r="E736" t="str">
        <x:v>ABO / Medikal Estetik lead / 16.04.2026</x:v>
      </x:c>
      <x:c r="F736" t="str">
        <x:v>OUTCOME_LEADS</x:v>
      </x:c>
      <x:c r="G736" t="n">
        <x:v>0</x:v>
      </x:c>
      <x:c r="H736" s="28" t="n">
        <x:v>0</x:v>
      </x:c>
      <x:c r="I736" t="n">
        <x:v>0</x:v>
      </x:c>
      <x:c r="J736" t="n">
        <x:v>0</x:v>
      </x:c>
      <x:c r="K736" t="n">
        <x:v>0</x:v>
      </x:c>
      <x:c r="L736" s="27" t="n">
        <x:f>IFERROR(K736/I736,0)</x:f>
        <x:v>0</x:v>
      </x:c>
      <x:c r="M736" s="28" t="n">
        <x:f>IFERROR(H736/K736,0)</x:f>
        <x:v>0</x:v>
      </x:c>
      <x:c r="N736" s="28" t="n">
        <x:f>IFERROR(H736/I736*1000,0)</x:f>
        <x:v>0</x:v>
      </x:c>
      <x:c r="O736" t="n">
        <x:v>0</x:v>
      </x:c>
      <x:c r="P736" t="n">
        <x:v>0</x:v>
      </x:c>
      <x:c r="Q736" s="28" t="n">
        <x:v>0</x:v>
      </x:c>
      <x:c r="R736" s="28" t="n">
        <x:v>0</x:v>
      </x:c>
    </x:row>
  </x:sheetData>
  <x:mergeCells>
    <x:mergeCell ref="A1:R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220001220703125" hidden="0" customWidth="1"/>
    <x:col min="2" max="2" width="40.88999938964844" hidden="0" customWidth="1"/>
    <x:col min="3" max="3" width="40.220001220703125" hidden="0" customWidth="1"/>
    <x:col min="4" max="4" width="49.439998626708984" hidden="0" customWidth="1"/>
  </x:cols>
  <x:sheetData>
    <x:row r="1" ht="28" customHeight="1">
      <x:c r="A1" s="4" t="str">
        <x:v>Kaynak, Kapsam ve İzolasyon Notu</x:v>
      </x:c>
      <x:c r="B1" s="4" t="str">
        <x:v>Kaynak, Kapsam ve İzolasyon Notu</x:v>
      </x:c>
      <x:c r="C1" s="4" t="str">
        <x:v>Kaynak, Kapsam ve İzolasyon Notu</x:v>
      </x:c>
      <x:c r="D1" s="4" t="str">
        <x:v>Kaynak, Kapsam ve İzolasyon Notu</x:v>
      </x:c>
    </x:row>
    <x:row r="3">
      <x:c r="A3" s="45" t="str">
        <x:v>Kaynak</x:v>
      </x:c>
      <x:c r="B3" s="41" t="str">
        <x:v>https://graph.facebook.com/v23.0/me/adaccounts</x:v>
      </x:c>
      <x:c r="C3" s="41" t="str">
        <x:v>Yalnız GET</x:v>
      </x:c>
      <x:c r="D3" s="41" t="str">
        <x:v>Erişilebilir reklam hesapları</x:v>
      </x:c>
    </x:row>
    <x:row r="4">
      <x:c r="A4" s="45" t="str">
        <x:v>Kaynak</x:v>
      </x:c>
      <x:c r="B4" s="41" t="str">
        <x:v>https://graph.facebook.com/v23.0/act_&lt;id&gt;/campaigns</x:v>
      </x:c>
      <x:c r="C4" s="41" t="str">
        <x:v>Yalnız GET</x:v>
      </x:c>
      <x:c r="D4" s="41" t="str">
        <x:v>Kampanya yapılandırması</x:v>
      </x:c>
    </x:row>
    <x:row r="5">
      <x:c r="A5" s="45" t="str">
        <x:v>Kaynak</x:v>
      </x:c>
      <x:c r="B5" s="41" t="str">
        <x:v>https://graph.facebook.com/v23.0/act_&lt;id&gt;/insights</x:v>
      </x:c>
      <x:c r="C5" s="41" t="str">
        <x:v>Yalnız GET</x:v>
      </x:c>
      <x:c r="D5" s="41" t="str">
        <x:v>Son 30 gün, kampanya/gün</x:v>
      </x:c>
    </x:row>
    <x:row r="6">
      <x:c r="A6" s="45" t="str">
        <x:v>Veritabanı</x:v>
      </x:c>
      <x:c r="B6" s="41" t="str">
        <x:v>Kullanılmadı</x:v>
      </x:c>
      <x:c r="C6" s="41" t="str">
        <x:v>—</x:v>
      </x:c>
      <x:c r="D6" s="41" t="str">
        <x:v>PostgreSQL migration ve uygulama persistence’ı tamamen dışarıda</x:v>
      </x:c>
    </x:row>
    <x:row r="7">
      <x:c r="A7" s="45" t="str">
        <x:v>Token</x:v>
      </x:c>
      <x:c r="B7" s="41" t="str">
        <x:v>Excel’e yazılmadı</x:v>
      </x:c>
      <x:c r="C7" s="41" t="str">
        <x:v>—</x:v>
      </x:c>
      <x:c r="D7" s="41" t="str">
        <x:v>Authorization header yalnız çalışma anında kullanıldı</x:v>
      </x:c>
    </x:row>
    <x:row r="8">
      <x:c r="A8" s="45" t="str">
        <x:v>Sınır</x:v>
      </x:c>
      <x:c r="B8" s="41" t="str">
        <x:v>Hesap 10 sayfa; kampanya 4; insight 20</x:v>
      </x:c>
      <x:c r="C8" s="41" t="str">
        <x:v>—</x:v>
      </x:c>
      <x:c r="D8" s="41" t="str">
        <x:v>Sınır aşılırsa dışa aktarma sessizce eksik veri üretmeden durur</x:v>
      </x:c>
    </x:row>
    <x:row r="9">
      <x:c r="A9" s="45" t="str">
        <x:v>Yorum</x:v>
      </x:c>
      <x:c r="B9" s="41" t="str">
        <x:v>CTR = Link Tıklaması / Gösterim</x:v>
      </x:c>
      <x:c r="C9" s="41" t="str">
        <x:v>Formül</x:v>
      </x:c>
      <x:c r="D9" s="41" t="str">
        <x:v>CPC ve CPM günlük performans sekmesindeki görünür formüllerdir</x:v>
      </x:c>
    </x:row>
  </x:sheetData>
  <x:mergeCells>
    <x:mergeCell ref="A1:D1"/>
  </x:mergeCells>
  <x:pageMargins left="0.7" right="0.7" top="0.75" bottom="0.75" header="0.3" footer="0.3"/>
</x:worksheet>
</file>